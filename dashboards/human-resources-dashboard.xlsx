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template81/"/>
    </mc:Choice>
  </mc:AlternateContent>
  <xr:revisionPtr revIDLastSave="1" documentId="13_ncr:1_{0769413E-A6DF-4865-AE15-65DE4646BF09}" xr6:coauthVersionLast="47" xr6:coauthVersionMax="47" xr10:uidLastSave="{A8F578FF-1325-4EE0-8E59-CFD674C22C8B}"/>
  <bookViews>
    <workbookView xWindow="-120" yWindow="-120" windowWidth="20730" windowHeight="11310" tabRatio="663" xr2:uid="{D4115149-0B7E-4F2E-876F-51BC9848B0E1}"/>
  </bookViews>
  <sheets>
    <sheet name="DASHBOARD" sheetId="1" r:id="rId1"/>
    <sheet name="Processing" sheetId="2" r:id="rId2"/>
    <sheet name="Control" sheetId="5" r:id="rId3"/>
    <sheet name="Data" sheetId="4" r:id="rId4"/>
    <sheet name="Resources" sheetId="3" r:id="rId5"/>
  </sheets>
  <definedNames>
    <definedName name="mydata">Data!$A$1:$AC$366</definedName>
    <definedName name="Slicer_Day">#N/A</definedName>
    <definedName name="Slicer_Month">#N/A</definedName>
    <definedName name="Slicer_Week">#N/A</definedName>
  </definedNames>
  <calcPr calcId="191029"/>
  <pivotCaches>
    <pivotCache cacheId="7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0" i="4" l="1"/>
  <c r="AC18" i="4"/>
  <c r="AC26" i="4"/>
  <c r="AC34" i="4"/>
  <c r="AC42" i="4"/>
  <c r="AC50" i="4"/>
  <c r="AC58" i="4"/>
  <c r="AC66" i="4"/>
  <c r="AC74" i="4"/>
  <c r="AC82" i="4"/>
  <c r="AC90" i="4"/>
  <c r="AC98" i="4"/>
  <c r="AC106" i="4"/>
  <c r="AC114" i="4"/>
  <c r="AC122" i="4"/>
  <c r="AC130" i="4"/>
  <c r="AC138" i="4"/>
  <c r="AC146" i="4"/>
  <c r="AC154" i="4"/>
  <c r="AC162" i="4"/>
  <c r="AC170" i="4"/>
  <c r="AC178" i="4"/>
  <c r="AC186" i="4"/>
  <c r="AC194" i="4"/>
  <c r="AC202" i="4"/>
  <c r="AC210" i="4"/>
  <c r="AC218" i="4"/>
  <c r="AC226" i="4"/>
  <c r="AC234" i="4"/>
  <c r="AC242" i="4"/>
  <c r="AC250" i="4"/>
  <c r="AC258" i="4"/>
  <c r="AC266" i="4"/>
  <c r="AC274" i="4"/>
  <c r="AC282" i="4"/>
  <c r="AC290" i="4"/>
  <c r="AC298" i="4"/>
  <c r="AC306" i="4"/>
  <c r="AC314" i="4"/>
  <c r="AC322" i="4"/>
  <c r="AC330" i="4"/>
  <c r="AC338" i="4"/>
  <c r="AC346" i="4"/>
  <c r="AC354" i="4"/>
  <c r="AC362" i="4"/>
  <c r="AC3" i="4"/>
  <c r="AC4" i="4"/>
  <c r="AC5" i="4"/>
  <c r="AC6" i="4"/>
  <c r="AC7" i="4"/>
  <c r="AC8" i="4"/>
  <c r="AC9" i="4"/>
  <c r="AC11" i="4"/>
  <c r="AC12" i="4"/>
  <c r="AC13" i="4"/>
  <c r="AC14" i="4"/>
  <c r="AC15" i="4"/>
  <c r="AC16" i="4"/>
  <c r="AC17" i="4"/>
  <c r="AC19" i="4"/>
  <c r="AC20" i="4"/>
  <c r="AC21" i="4"/>
  <c r="AC22" i="4"/>
  <c r="AC23" i="4"/>
  <c r="AC24" i="4"/>
  <c r="AC25" i="4"/>
  <c r="AC27" i="4"/>
  <c r="AC28" i="4"/>
  <c r="AC29" i="4"/>
  <c r="AC30" i="4"/>
  <c r="AC31" i="4"/>
  <c r="AC32" i="4"/>
  <c r="AC33" i="4"/>
  <c r="AC35" i="4"/>
  <c r="AC36" i="4"/>
  <c r="AC37" i="4"/>
  <c r="AC38" i="4"/>
  <c r="AC39" i="4"/>
  <c r="AC40" i="4"/>
  <c r="AC41" i="4"/>
  <c r="AC43" i="4"/>
  <c r="AC44" i="4"/>
  <c r="AC45" i="4"/>
  <c r="AC46" i="4"/>
  <c r="AC47" i="4"/>
  <c r="AC48" i="4"/>
  <c r="AC49" i="4"/>
  <c r="AC51" i="4"/>
  <c r="AC52" i="4"/>
  <c r="AC53" i="4"/>
  <c r="AC54" i="4"/>
  <c r="AC55" i="4"/>
  <c r="AC56" i="4"/>
  <c r="AC57" i="4"/>
  <c r="AC59" i="4"/>
  <c r="AC60" i="4"/>
  <c r="AC61" i="4"/>
  <c r="AC62" i="4"/>
  <c r="AC63" i="4"/>
  <c r="AC64" i="4"/>
  <c r="AC65" i="4"/>
  <c r="AC67" i="4"/>
  <c r="AC68" i="4"/>
  <c r="AC69" i="4"/>
  <c r="AC70" i="4"/>
  <c r="AC71" i="4"/>
  <c r="AC72" i="4"/>
  <c r="AC73" i="4"/>
  <c r="AC75" i="4"/>
  <c r="AC76" i="4"/>
  <c r="AC77" i="4"/>
  <c r="AC78" i="4"/>
  <c r="AC79" i="4"/>
  <c r="AC80" i="4"/>
  <c r="AC81" i="4"/>
  <c r="AC83" i="4"/>
  <c r="AC84" i="4"/>
  <c r="AC85" i="4"/>
  <c r="AC86" i="4"/>
  <c r="AC87" i="4"/>
  <c r="AC88" i="4"/>
  <c r="AC89" i="4"/>
  <c r="AC91" i="4"/>
  <c r="AC92" i="4"/>
  <c r="AC93" i="4"/>
  <c r="AC94" i="4"/>
  <c r="AC95" i="4"/>
  <c r="AC96" i="4"/>
  <c r="AC97" i="4"/>
  <c r="AC99" i="4"/>
  <c r="AC100" i="4"/>
  <c r="AC101" i="4"/>
  <c r="AC102" i="4"/>
  <c r="AC103" i="4"/>
  <c r="AC104" i="4"/>
  <c r="AC105" i="4"/>
  <c r="AC107" i="4"/>
  <c r="AC108" i="4"/>
  <c r="AC109" i="4"/>
  <c r="AC110" i="4"/>
  <c r="AC111" i="4"/>
  <c r="AC112" i="4"/>
  <c r="AC113" i="4"/>
  <c r="AC115" i="4"/>
  <c r="AC116" i="4"/>
  <c r="AC117" i="4"/>
  <c r="AC118" i="4"/>
  <c r="AC119" i="4"/>
  <c r="AC120" i="4"/>
  <c r="AC121" i="4"/>
  <c r="AC123" i="4"/>
  <c r="AC124" i="4"/>
  <c r="AC125" i="4"/>
  <c r="AC126" i="4"/>
  <c r="AC127" i="4"/>
  <c r="AC128" i="4"/>
  <c r="AC129" i="4"/>
  <c r="AC131" i="4"/>
  <c r="AC132" i="4"/>
  <c r="AC133" i="4"/>
  <c r="AC134" i="4"/>
  <c r="AC135" i="4"/>
  <c r="AC136" i="4"/>
  <c r="AC137" i="4"/>
  <c r="AC139" i="4"/>
  <c r="AC140" i="4"/>
  <c r="AC141" i="4"/>
  <c r="AC142" i="4"/>
  <c r="AC143" i="4"/>
  <c r="AC144" i="4"/>
  <c r="AC145" i="4"/>
  <c r="AC147" i="4"/>
  <c r="AC148" i="4"/>
  <c r="AC149" i="4"/>
  <c r="AC150" i="4"/>
  <c r="AC151" i="4"/>
  <c r="AC152" i="4"/>
  <c r="AC153" i="4"/>
  <c r="AC155" i="4"/>
  <c r="AC156" i="4"/>
  <c r="AC157" i="4"/>
  <c r="AC158" i="4"/>
  <c r="AC159" i="4"/>
  <c r="AC160" i="4"/>
  <c r="AC161" i="4"/>
  <c r="AC163" i="4"/>
  <c r="AC164" i="4"/>
  <c r="AC165" i="4"/>
  <c r="AC166" i="4"/>
  <c r="AC167" i="4"/>
  <c r="AC168" i="4"/>
  <c r="AC169" i="4"/>
  <c r="AC171" i="4"/>
  <c r="AC172" i="4"/>
  <c r="AC173" i="4"/>
  <c r="AC174" i="4"/>
  <c r="AC175" i="4"/>
  <c r="AC176" i="4"/>
  <c r="AC177" i="4"/>
  <c r="AC179" i="4"/>
  <c r="AC180" i="4"/>
  <c r="AC181" i="4"/>
  <c r="AC182" i="4"/>
  <c r="AC183" i="4"/>
  <c r="AC184" i="4"/>
  <c r="AC185" i="4"/>
  <c r="AC187" i="4"/>
  <c r="AC188" i="4"/>
  <c r="AC189" i="4"/>
  <c r="AC190" i="4"/>
  <c r="AC191" i="4"/>
  <c r="AC192" i="4"/>
  <c r="AC193" i="4"/>
  <c r="AC195" i="4"/>
  <c r="AC196" i="4"/>
  <c r="AC197" i="4"/>
  <c r="AC198" i="4"/>
  <c r="AC199" i="4"/>
  <c r="AC200" i="4"/>
  <c r="AC201" i="4"/>
  <c r="AC203" i="4"/>
  <c r="AC204" i="4"/>
  <c r="AC205" i="4"/>
  <c r="AC206" i="4"/>
  <c r="AC207" i="4"/>
  <c r="AC208" i="4"/>
  <c r="AC209" i="4"/>
  <c r="AC211" i="4"/>
  <c r="AC212" i="4"/>
  <c r="AC213" i="4"/>
  <c r="AC214" i="4"/>
  <c r="AC215" i="4"/>
  <c r="AC216" i="4"/>
  <c r="AC217" i="4"/>
  <c r="AC219" i="4"/>
  <c r="AC220" i="4"/>
  <c r="AC221" i="4"/>
  <c r="AC222" i="4"/>
  <c r="AC223" i="4"/>
  <c r="AC224" i="4"/>
  <c r="AC225" i="4"/>
  <c r="AC227" i="4"/>
  <c r="AC228" i="4"/>
  <c r="AC229" i="4"/>
  <c r="AC230" i="4"/>
  <c r="AC231" i="4"/>
  <c r="AC232" i="4"/>
  <c r="AC233" i="4"/>
  <c r="AC235" i="4"/>
  <c r="AC236" i="4"/>
  <c r="AC237" i="4"/>
  <c r="AC238" i="4"/>
  <c r="AC239" i="4"/>
  <c r="AC240" i="4"/>
  <c r="AC241" i="4"/>
  <c r="AC243" i="4"/>
  <c r="AC244" i="4"/>
  <c r="AC245" i="4"/>
  <c r="AC246" i="4"/>
  <c r="AC247" i="4"/>
  <c r="AC248" i="4"/>
  <c r="AC249" i="4"/>
  <c r="AC251" i="4"/>
  <c r="AC252" i="4"/>
  <c r="AC253" i="4"/>
  <c r="AC254" i="4"/>
  <c r="AC255" i="4"/>
  <c r="AC256" i="4"/>
  <c r="AC257" i="4"/>
  <c r="AC259" i="4"/>
  <c r="AC260" i="4"/>
  <c r="AC261" i="4"/>
  <c r="AC262" i="4"/>
  <c r="AC263" i="4"/>
  <c r="AC264" i="4"/>
  <c r="AC265" i="4"/>
  <c r="AC267" i="4"/>
  <c r="AC268" i="4"/>
  <c r="AC269" i="4"/>
  <c r="AC270" i="4"/>
  <c r="AC271" i="4"/>
  <c r="AC272" i="4"/>
  <c r="AC273" i="4"/>
  <c r="AC275" i="4"/>
  <c r="AC276" i="4"/>
  <c r="AC277" i="4"/>
  <c r="AC278" i="4"/>
  <c r="AC279" i="4"/>
  <c r="AC280" i="4"/>
  <c r="AC281" i="4"/>
  <c r="AC283" i="4"/>
  <c r="AC284" i="4"/>
  <c r="AC285" i="4"/>
  <c r="AC286" i="4"/>
  <c r="AC287" i="4"/>
  <c r="AC288" i="4"/>
  <c r="AC289" i="4"/>
  <c r="AC291" i="4"/>
  <c r="AC292" i="4"/>
  <c r="AC293" i="4"/>
  <c r="AC294" i="4"/>
  <c r="AC295" i="4"/>
  <c r="AC296" i="4"/>
  <c r="AC297" i="4"/>
  <c r="AC299" i="4"/>
  <c r="AC300" i="4"/>
  <c r="AC301" i="4"/>
  <c r="AC302" i="4"/>
  <c r="AC303" i="4"/>
  <c r="AC304" i="4"/>
  <c r="AC305" i="4"/>
  <c r="AC307" i="4"/>
  <c r="AC308" i="4"/>
  <c r="AC309" i="4"/>
  <c r="AC310" i="4"/>
  <c r="AC311" i="4"/>
  <c r="AC312" i="4"/>
  <c r="AC313" i="4"/>
  <c r="AC315" i="4"/>
  <c r="AC316" i="4"/>
  <c r="AC317" i="4"/>
  <c r="AC318" i="4"/>
  <c r="AC319" i="4"/>
  <c r="AC320" i="4"/>
  <c r="AC321" i="4"/>
  <c r="AC323" i="4"/>
  <c r="AC324" i="4"/>
  <c r="AC325" i="4"/>
  <c r="AC326" i="4"/>
  <c r="AC327" i="4"/>
  <c r="AC328" i="4"/>
  <c r="AC329" i="4"/>
  <c r="AC331" i="4"/>
  <c r="AC332" i="4"/>
  <c r="AC333" i="4"/>
  <c r="AC334" i="4"/>
  <c r="AC335" i="4"/>
  <c r="AC336" i="4"/>
  <c r="AC337" i="4"/>
  <c r="AC339" i="4"/>
  <c r="AC340" i="4"/>
  <c r="AC341" i="4"/>
  <c r="AC342" i="4"/>
  <c r="AC343" i="4"/>
  <c r="AC344" i="4"/>
  <c r="AC345" i="4"/>
  <c r="AC347" i="4"/>
  <c r="AC348" i="4"/>
  <c r="AC349" i="4"/>
  <c r="AC350" i="4"/>
  <c r="AC351" i="4"/>
  <c r="AC352" i="4"/>
  <c r="AC353" i="4"/>
  <c r="AC355" i="4"/>
  <c r="AC356" i="4"/>
  <c r="AC357" i="4"/>
  <c r="AC358" i="4"/>
  <c r="AC359" i="4"/>
  <c r="AC360" i="4"/>
  <c r="AC361" i="4"/>
  <c r="AC363" i="4"/>
  <c r="AC364" i="4"/>
  <c r="AC365" i="4"/>
  <c r="AC366" i="4"/>
  <c r="C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M7" i="2"/>
  <c r="L6" i="2"/>
  <c r="D50" i="2"/>
  <c r="O30" i="2"/>
  <c r="J30" i="2"/>
  <c r="E23" i="2"/>
  <c r="F30" i="2"/>
  <c r="E30" i="2"/>
  <c r="O32" i="2"/>
  <c r="J34" i="2"/>
  <c r="F21" i="2"/>
  <c r="L4" i="2"/>
  <c r="L5" i="2"/>
  <c r="N8" i="2"/>
  <c r="G33" i="2"/>
  <c r="N19" i="2"/>
  <c r="F20" i="2"/>
  <c r="G34" i="2"/>
  <c r="D30" i="2"/>
  <c r="D2" i="2"/>
  <c r="F24" i="2"/>
  <c r="J31" i="2"/>
  <c r="L41" i="2"/>
  <c r="N6" i="2"/>
  <c r="N7" i="2"/>
  <c r="M6" i="2"/>
  <c r="I33" i="2"/>
  <c r="F19" i="2"/>
  <c r="E22" i="2"/>
  <c r="I34" i="2"/>
  <c r="D5" i="2"/>
  <c r="F23" i="2"/>
  <c r="E19" i="2"/>
  <c r="E34" i="2"/>
  <c r="M9" i="2"/>
  <c r="M5" i="2"/>
  <c r="N3" i="2"/>
  <c r="E33" i="2"/>
  <c r="E21" i="2"/>
  <c r="F33" i="2"/>
  <c r="J33" i="2"/>
  <c r="F22" i="2"/>
  <c r="E31" i="2"/>
  <c r="F32" i="2"/>
  <c r="G31" i="2"/>
  <c r="M4" i="2"/>
  <c r="L8" i="2"/>
  <c r="M3" i="2"/>
  <c r="H30" i="2"/>
  <c r="E32" i="2"/>
  <c r="H33" i="2"/>
  <c r="D32" i="2"/>
  <c r="E24" i="2"/>
  <c r="J32" i="2"/>
  <c r="H32" i="2"/>
  <c r="L9" i="2"/>
  <c r="I31" i="2"/>
  <c r="L7" i="2"/>
  <c r="N5" i="2"/>
  <c r="L3" i="2"/>
  <c r="E20" i="2"/>
  <c r="G32" i="2"/>
  <c r="N20" i="2"/>
  <c r="E9" i="2"/>
  <c r="H34" i="2"/>
  <c r="E13" i="2"/>
  <c r="D34" i="2"/>
  <c r="I30" i="2"/>
  <c r="D31" i="2"/>
  <c r="N9" i="2"/>
  <c r="M8" i="2"/>
  <c r="O31" i="2"/>
  <c r="F31" i="2"/>
  <c r="H31" i="2"/>
  <c r="N18" i="2"/>
  <c r="E25" i="2"/>
  <c r="F34" i="2"/>
  <c r="I32" i="2"/>
  <c r="G30" i="2"/>
  <c r="F25" i="2"/>
  <c r="D33" i="2"/>
  <c r="N4" i="2"/>
  <c r="N10" i="2" l="1"/>
  <c r="M10" i="2"/>
  <c r="N2" i="2"/>
  <c r="M2" i="2"/>
  <c r="L10" i="2"/>
  <c r="L2" i="2"/>
  <c r="H18" i="2"/>
  <c r="H19" i="2"/>
  <c r="E18" i="2"/>
  <c r="E26" i="2"/>
  <c r="F18" i="2"/>
  <c r="F26" i="2"/>
  <c r="AC2" i="4"/>
  <c r="Q4" i="2"/>
  <c r="O8" i="2"/>
  <c r="Q8" i="2"/>
  <c r="Q3" i="2"/>
  <c r="P5" i="2"/>
  <c r="P7" i="2"/>
  <c r="O7" i="2"/>
  <c r="P6" i="2"/>
  <c r="Q7" i="2"/>
  <c r="P8" i="2"/>
  <c r="P4" i="2"/>
  <c r="O5" i="2"/>
  <c r="O4" i="2"/>
  <c r="O6" i="2"/>
  <c r="P9" i="2"/>
  <c r="D44" i="2"/>
  <c r="O9" i="2"/>
  <c r="D42" i="2"/>
  <c r="Q9" i="2"/>
  <c r="O3" i="2"/>
  <c r="Q5" i="2"/>
  <c r="D46" i="2"/>
  <c r="P3" i="2"/>
  <c r="Q6" i="2"/>
  <c r="R6" i="2" l="1"/>
  <c r="S3" i="2"/>
  <c r="R5" i="2"/>
  <c r="S2" i="2"/>
  <c r="R9" i="2"/>
  <c r="R7" i="2"/>
  <c r="S4" i="2"/>
  <c r="R3" i="2"/>
  <c r="R8" i="2"/>
  <c r="R4" i="2"/>
  <c r="R20" i="2"/>
  <c r="R19" i="2"/>
  <c r="R18" i="2"/>
  <c r="T3" i="2" l="1" a="1"/>
  <c r="T2" i="2" a="1"/>
  <c r="T4" i="2" a="1"/>
  <c r="Q19" i="2"/>
  <c r="Q18" i="2"/>
  <c r="Q20" i="2"/>
  <c r="D48" i="2"/>
  <c r="E2" i="2"/>
  <c r="N41" i="2"/>
  <c r="D9" i="2"/>
  <c r="L46" i="2"/>
  <c r="M46" i="2" s="1"/>
  <c r="L44" i="2"/>
  <c r="M44" i="2" s="1"/>
  <c r="L42" i="2"/>
  <c r="M42" i="2" s="1"/>
  <c r="M20" i="2" l="1"/>
  <c r="P20" i="2"/>
  <c r="O16" i="2"/>
  <c r="O19" i="2" s="1"/>
  <c r="P19" i="2"/>
  <c r="M19" i="2"/>
  <c r="M18" i="2"/>
  <c r="O18" i="2" s="1"/>
  <c r="P18" i="2"/>
  <c r="O20" i="2" l="1"/>
  <c r="F42" i="2" l="1"/>
  <c r="F46" i="2"/>
  <c r="F44" i="2"/>
  <c r="E46" i="2"/>
  <c r="G46" i="2" s="1"/>
  <c r="E44" i="2"/>
  <c r="G44" i="2" s="1"/>
  <c r="E42" i="2"/>
  <c r="G42" i="2" s="1"/>
  <c r="D35" i="2"/>
  <c r="E35" i="2"/>
  <c r="F35" i="2"/>
  <c r="G35" i="2"/>
  <c r="H35" i="2"/>
  <c r="I35" i="2"/>
  <c r="J35" i="2"/>
  <c r="H37" i="2"/>
  <c r="G37" i="2"/>
  <c r="I37" i="2"/>
  <c r="F37" i="2"/>
  <c r="J37" i="2"/>
  <c r="D37" i="2"/>
  <c r="E37" i="2"/>
  <c r="I19" i="2" l="1"/>
  <c r="I18" i="2"/>
  <c r="J19" i="2"/>
  <c r="J18" i="2"/>
  <c r="E5" i="2" l="1"/>
  <c r="A2" i="2" l="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 i="2"/>
  <c r="D10" i="2"/>
  <c r="F9" i="2" l="1"/>
  <c r="E10" i="2"/>
  <c r="G9" i="2" s="1"/>
  <c r="D13" i="2" l="1"/>
  <c r="D14" i="2" s="1"/>
  <c r="F13" i="2" l="1"/>
  <c r="E14" i="2"/>
  <c r="G1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<sst xmlns="http://schemas.openxmlformats.org/spreadsheetml/2006/main" count="904" uniqueCount="118">
  <si>
    <t>█</t>
  </si>
  <si>
    <t>Alt + 219</t>
  </si>
  <si>
    <t>Dia</t>
  </si>
  <si>
    <t>X</t>
  </si>
  <si>
    <t>Y</t>
  </si>
  <si>
    <t>SU</t>
  </si>
  <si>
    <t>MO</t>
  </si>
  <si>
    <t>TU</t>
  </si>
  <si>
    <t>WE</t>
  </si>
  <si>
    <t>TH</t>
  </si>
  <si>
    <t>FR</t>
  </si>
  <si>
    <t>SA</t>
  </si>
  <si>
    <t>Day</t>
  </si>
  <si>
    <t>Down</t>
  </si>
  <si>
    <t>Top</t>
  </si>
  <si>
    <t>Cursor</t>
  </si>
  <si>
    <t>Correct</t>
  </si>
  <si>
    <t>Cursors</t>
  </si>
  <si>
    <t>Indent</t>
  </si>
  <si>
    <t>Progress</t>
  </si>
  <si>
    <t>End</t>
  </si>
  <si>
    <t>Loss of Working Time</t>
  </si>
  <si>
    <t>Max-Norm</t>
  </si>
  <si>
    <t>Employee Engagement Rate</t>
  </si>
  <si>
    <t>Employee Satisfaction Rate</t>
  </si>
  <si>
    <t>EER</t>
  </si>
  <si>
    <t>ESR</t>
  </si>
  <si>
    <t>ABSENTEEISM RATE</t>
  </si>
  <si>
    <t>PRESENCE</t>
  </si>
  <si>
    <t>Applicant to Job Ratio</t>
  </si>
  <si>
    <t xml:space="preserve"> Top 3 Employee Productivity</t>
  </si>
  <si>
    <t>AVERAGE</t>
  </si>
  <si>
    <t>Top-1</t>
  </si>
  <si>
    <t>Top-3</t>
  </si>
  <si>
    <t>Top-2</t>
  </si>
  <si>
    <t>Rank</t>
  </si>
  <si>
    <t>Top 3 KPI Achievement</t>
  </si>
  <si>
    <t>Recruiter 1</t>
  </si>
  <si>
    <t>Recruiter 2</t>
  </si>
  <si>
    <t>Recruiter 3</t>
  </si>
  <si>
    <t>Recruiter 4</t>
  </si>
  <si>
    <t>Recruiter 5</t>
  </si>
  <si>
    <t>Recruiters</t>
  </si>
  <si>
    <t>Interviews</t>
  </si>
  <si>
    <t>Employee Turnover</t>
  </si>
  <si>
    <t>Filling Vacancies</t>
  </si>
  <si>
    <t>Adaptation</t>
  </si>
  <si>
    <t>Education</t>
  </si>
  <si>
    <t>Labels Done</t>
  </si>
  <si>
    <t>Date</t>
  </si>
  <si>
    <t>Month</t>
  </si>
  <si>
    <t>Saturday</t>
  </si>
  <si>
    <t>Week</t>
  </si>
  <si>
    <t>JAN</t>
  </si>
  <si>
    <t>FEB</t>
  </si>
  <si>
    <t>MAR</t>
  </si>
  <si>
    <t>APR</t>
  </si>
  <si>
    <t>MAY</t>
  </si>
  <si>
    <t>JUN</t>
  </si>
  <si>
    <t>JUL</t>
  </si>
  <si>
    <t>AUG</t>
  </si>
  <si>
    <t>SEP</t>
  </si>
  <si>
    <t>OCT</t>
  </si>
  <si>
    <t>NOV</t>
  </si>
  <si>
    <t>DEC</t>
  </si>
  <si>
    <t>Sunday</t>
  </si>
  <si>
    <t>Monday</t>
  </si>
  <si>
    <t>Tuesday</t>
  </si>
  <si>
    <t>Wednesday</t>
  </si>
  <si>
    <t>Thursday</t>
  </si>
  <si>
    <t>Friday</t>
  </si>
  <si>
    <t>Rang 1</t>
  </si>
  <si>
    <t>Rang 2</t>
  </si>
  <si>
    <t>Rang 3</t>
  </si>
  <si>
    <t>indent</t>
  </si>
  <si>
    <t>APJO</t>
  </si>
  <si>
    <t>Vacancies vs Resumes</t>
  </si>
  <si>
    <t>General Productivity</t>
  </si>
  <si>
    <t>Vacancies</t>
  </si>
  <si>
    <t>Resumes</t>
  </si>
  <si>
    <t>Loss of  Working Time</t>
  </si>
  <si>
    <t>KPI 1</t>
  </si>
  <si>
    <t>KPI 2</t>
  </si>
  <si>
    <t>KPI 3</t>
  </si>
  <si>
    <t>Row Labels</t>
  </si>
  <si>
    <t>Grand Total</t>
  </si>
  <si>
    <t>Average of PRESENCE</t>
  </si>
  <si>
    <t>Average of EER</t>
  </si>
  <si>
    <t>Average of ESR</t>
  </si>
  <si>
    <t>start</t>
  </si>
  <si>
    <t>end</t>
  </si>
  <si>
    <t>Sum of Vacancies</t>
  </si>
  <si>
    <t>Sum of Resumes</t>
  </si>
  <si>
    <t>Sum of Recruiter 1</t>
  </si>
  <si>
    <t>Sum of Recruiter 2</t>
  </si>
  <si>
    <t>Sum of Recruiter 3</t>
  </si>
  <si>
    <t>Sum of Recruiter 4</t>
  </si>
  <si>
    <t>Sum of Recruiter 5</t>
  </si>
  <si>
    <t>Sum of Top-1</t>
  </si>
  <si>
    <t>Sum of Top-2</t>
  </si>
  <si>
    <t>Sum of Top-3</t>
  </si>
  <si>
    <t>Sales Plan</t>
  </si>
  <si>
    <t>Sum of Sales Plan</t>
  </si>
  <si>
    <t>Average of KPI 1</t>
  </si>
  <si>
    <t>Average of KPI 2</t>
  </si>
  <si>
    <t>Average of KPI 3</t>
  </si>
  <si>
    <t>Average of Loss of  Working Time</t>
  </si>
  <si>
    <t>Average of General Productivity</t>
  </si>
  <si>
    <t>Average of Filling Vacancies</t>
  </si>
  <si>
    <t>Average of Adaptation</t>
  </si>
  <si>
    <t>Average of Education</t>
  </si>
  <si>
    <t>Sum of Rang 1</t>
  </si>
  <si>
    <t>Sum of Rang 2</t>
  </si>
  <si>
    <t>Sum of Rang 3</t>
  </si>
  <si>
    <t>Cur1</t>
  </si>
  <si>
    <t>Cur2</t>
  </si>
  <si>
    <t>Cur3</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</si>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</sst>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4" x14ac:knownFonts="1">
    <font>
      <sz val="11"/>
      <color theme="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7">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9" fontId="0" fillId="0" borderId="0" xfId="0" applyNumberFormat="1"/>
    <xf numFmtId="0" fontId="0" fillId="2" borderId="0" xfId="0" applyFill="1"/>
    <xf numFmtId="0" fontId="0" fillId="0" borderId="0" xfId="0" applyAlignment="1">
      <alignment horizontal="center"/>
    </xf>
    <xf numFmtId="9" fontId="0" fillId="0" borderId="0" xfId="0" applyNumberFormat="1" applyAlignment="1">
      <alignment horizontal="center"/>
    </xf>
    <xf numFmtId="164" fontId="0" fillId="0" borderId="0" xfId="0" applyNumberFormat="1"/>
    <xf numFmtId="0" fontId="0" fillId="0" borderId="1" xfId="0" applyBorder="1"/>
    <xf numFmtId="0" fontId="0" fillId="0" borderId="2" xfId="0" applyBorder="1"/>
    <xf numFmtId="0" fontId="0" fillId="0" borderId="3" xfId="0" applyBorder="1" applyAlignment="1">
      <alignment horizontal="center"/>
    </xf>
    <xf numFmtId="9" fontId="0" fillId="0" borderId="4" xfId="0" applyNumberFormat="1" applyBorder="1"/>
    <xf numFmtId="165" fontId="0" fillId="0" borderId="3" xfId="0" applyNumberFormat="1" applyBorder="1" applyAlignment="1">
      <alignment horizontal="center"/>
    </xf>
    <xf numFmtId="164" fontId="0" fillId="0" borderId="5" xfId="0" applyNumberFormat="1" applyBorder="1" applyAlignment="1">
      <alignment horizontal="center"/>
    </xf>
    <xf numFmtId="164" fontId="0" fillId="0" borderId="6" xfId="0" applyNumberFormat="1" applyBorder="1" applyAlignment="1">
      <alignment horizontal="center"/>
    </xf>
    <xf numFmtId="2" fontId="0" fillId="0" borderId="3" xfId="0" applyNumberFormat="1" applyBorder="1" applyAlignment="1">
      <alignment horizontal="center"/>
    </xf>
    <xf numFmtId="9" fontId="0" fillId="0" borderId="0" xfId="1" applyFont="1" applyAlignment="1">
      <alignment horizontal="center"/>
    </xf>
    <xf numFmtId="0" fontId="0" fillId="0" borderId="0" xfId="0" applyAlignment="1">
      <alignment horizontal="left"/>
    </xf>
    <xf numFmtId="10" fontId="0" fillId="0" borderId="0" xfId="0" applyNumberFormat="1" applyAlignment="1">
      <alignment horizontal="center"/>
    </xf>
    <xf numFmtId="0" fontId="3" fillId="0" borderId="0" xfId="0" applyFont="1" applyAlignment="1">
      <alignment horizontal="center"/>
    </xf>
    <xf numFmtId="0" fontId="0" fillId="0" borderId="0" xfId="1" applyNumberFormat="1" applyFont="1"/>
    <xf numFmtId="0" fontId="0" fillId="0" borderId="0" xfId="0" applyAlignment="1">
      <alignment horizontal="right"/>
    </xf>
    <xf numFmtId="14" fontId="0" fillId="0" borderId="0" xfId="0" applyNumberFormat="1"/>
    <xf numFmtId="0" fontId="3" fillId="0" borderId="0" xfId="0" applyFont="1" applyAlignment="1">
      <alignment horizontal="center" vertical="center" wrapText="1"/>
    </xf>
    <xf numFmtId="14" fontId="3" fillId="0" borderId="0" xfId="0" applyNumberFormat="1" applyFont="1" applyAlignment="1">
      <alignment horizontal="center" vertical="center"/>
    </xf>
    <xf numFmtId="0" fontId="3" fillId="0" borderId="0" xfId="0" applyFont="1" applyAlignment="1">
      <alignment horizontal="center" vertical="center"/>
    </xf>
    <xf numFmtId="0" fontId="0" fillId="0" borderId="0" xfId="0" pivotButton="1"/>
    <xf numFmtId="0" fontId="0" fillId="0" borderId="0" xfId="1" applyNumberFormat="1" applyFont="1" applyAlignment="1">
      <alignment horizontal="center"/>
    </xf>
    <xf numFmtId="0" fontId="3" fillId="0" borderId="0" xfId="0" applyFont="1" applyAlignment="1">
      <alignment horizontal="center"/>
    </xf>
    <xf numFmtId="0" fontId="0" fillId="0" borderId="0" xfId="0" applyNumberFormat="1"/>
  </cellXfs>
  <cellStyles count="2">
    <cellStyle name="Normal" xfId="0" builtinId="0"/>
    <cellStyle name="Percent" xfId="1" builtinId="5"/>
  </cellStyles>
  <dxfs count="2">
    <dxf>
      <font>
        <color theme="7" tint="0.79998168889431442"/>
      </font>
      <fill>
        <patternFill>
          <bgColor theme="1"/>
        </patternFill>
      </fill>
      <border>
        <left/>
        <right/>
        <top/>
        <bottom/>
        <vertical/>
        <horizontal/>
      </border>
    </dxf>
    <dxf>
      <font>
        <color theme="7" tint="0.79998168889431442"/>
      </font>
      <fill>
        <patternFill patternType="solid">
          <fgColor auto="1"/>
          <bgColor theme="1"/>
        </patternFill>
      </fill>
      <border diagonalUp="0" diagonalDown="0">
        <left/>
        <right/>
        <top/>
        <bottom/>
        <vertical/>
        <horizontal/>
      </border>
    </dxf>
  </dxfs>
  <tableStyles count="1" defaultTableStyle="TableStyleMedium2" defaultPivotStyle="PivotStyleLight16">
    <tableStyle name="SlicerStyleLight1 2" pivot="0" table="0" count="10" xr9:uid="{51F1759D-7040-48A9-A283-1A6C139128A3}">
      <tableStyleElement type="wholeTable" dxfId="1"/>
      <tableStyleElement type="headerRow" dxfId="0"/>
    </tableStyle>
  </tableStyles>
  <colors>
    <mruColors>
      <color rgb="FF1A1A26"/>
      <color rgb="FF54596E"/>
      <color rgb="FF782BDB"/>
      <color rgb="FFFF00FF"/>
      <color rgb="FF6AEDEB"/>
      <color rgb="FF3DBEFF"/>
      <color rgb="FF09DBAC"/>
      <color rgb="FFF85C23"/>
      <color rgb="FFD11792"/>
      <color rgb="FF29D85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1"/>
            </patternFill>
          </fill>
          <border>
            <left style="thin">
              <color rgb="FFCCCCCC"/>
            </left>
            <right style="thin">
              <color rgb="FFCCCCCC"/>
            </right>
            <top style="thin">
              <color rgb="FFCCCCCC"/>
            </top>
            <bottom style="thin">
              <color rgb="FFCCCCCC"/>
            </bottom>
            <vertical/>
            <horizontal/>
          </border>
        </dxf>
        <dxf>
          <font>
            <color theme="7" tint="0.79998168889431442"/>
          </font>
          <fill>
            <gradientFill degree="135">
              <stop position="0">
                <color rgb="FF54596E"/>
              </stop>
              <stop position="1">
                <color rgb="FF1A1A26"/>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solid">
              <fgColor rgb="FFFFFFFF"/>
              <bgColor theme="1"/>
            </patternFill>
          </fill>
          <border>
            <left style="thin">
              <color theme="1" tint="0.24994659260841701"/>
            </left>
            <right style="thin">
              <color theme="1" tint="0.24994659260841701"/>
            </right>
            <top style="thin">
              <color theme="1" tint="0.24994659260841701"/>
            </top>
            <bottom style="thin">
              <color theme="1" tint="0.24994659260841701"/>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2.png"/></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microsoft.com/office/2011/relationships/chartColorStyle" Target="colors5.xml"/><Relationship Id="rId1" Type="http://schemas.microsoft.com/office/2011/relationships/chartStyle" Target="style5.xml"/><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microsoft.com/office/2011/relationships/chartColorStyle" Target="colors7.xml"/><Relationship Id="rId1" Type="http://schemas.microsoft.com/office/2011/relationships/chartStyle" Target="style7.xml"/><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Processing!$C$4</c:f>
              <c:strCache>
                <c:ptCount val="1"/>
                <c:pt idx="0">
                  <c:v>Dia</c:v>
                </c:pt>
              </c:strCache>
            </c:strRef>
          </c:tx>
          <c:spPr>
            <a:noFill/>
            <a:ln w="12700">
              <a:solidFill>
                <a:schemeClr val="tx1"/>
              </a:solidFill>
            </a:ln>
          </c:spPr>
          <c:dPt>
            <c:idx val="0"/>
            <c:bubble3D val="0"/>
            <c:spPr>
              <a:noFill/>
              <a:ln w="12700">
                <a:solidFill>
                  <a:schemeClr val="tx1"/>
                </a:solidFill>
              </a:ln>
              <a:effectLst/>
            </c:spPr>
            <c:extLst>
              <c:ext xmlns:c16="http://schemas.microsoft.com/office/drawing/2014/chart" uri="{C3380CC4-5D6E-409C-BE32-E72D297353CC}">
                <c16:uniqueId val="{00000001-8162-448F-A651-36ADD22F76A5}"/>
              </c:ext>
            </c:extLst>
          </c:dPt>
          <c:dPt>
            <c:idx val="1"/>
            <c:bubble3D val="0"/>
            <c:spPr>
              <a:noFill/>
              <a:ln w="12700">
                <a:solidFill>
                  <a:schemeClr val="tx1"/>
                </a:solidFill>
              </a:ln>
              <a:effectLst/>
            </c:spPr>
            <c:extLst>
              <c:ext xmlns:c16="http://schemas.microsoft.com/office/drawing/2014/chart" uri="{C3380CC4-5D6E-409C-BE32-E72D297353CC}">
                <c16:uniqueId val="{00000003-8162-448F-A651-36ADD22F76A5}"/>
              </c:ext>
            </c:extLst>
          </c:dPt>
          <c:dPt>
            <c:idx val="2"/>
            <c:bubble3D val="0"/>
            <c:spPr>
              <a:noFill/>
              <a:ln w="12700">
                <a:solidFill>
                  <a:schemeClr val="tx1"/>
                </a:solidFill>
              </a:ln>
              <a:effectLst/>
            </c:spPr>
            <c:extLst>
              <c:ext xmlns:c16="http://schemas.microsoft.com/office/drawing/2014/chart" uri="{C3380CC4-5D6E-409C-BE32-E72D297353CC}">
                <c16:uniqueId val="{00000005-8162-448F-A651-36ADD22F76A5}"/>
              </c:ext>
            </c:extLst>
          </c:dPt>
          <c:dPt>
            <c:idx val="3"/>
            <c:bubble3D val="0"/>
            <c:spPr>
              <a:noFill/>
              <a:ln w="12700">
                <a:solidFill>
                  <a:schemeClr val="tx1"/>
                </a:solidFill>
              </a:ln>
              <a:effectLst/>
            </c:spPr>
            <c:extLst>
              <c:ext xmlns:c16="http://schemas.microsoft.com/office/drawing/2014/chart" uri="{C3380CC4-5D6E-409C-BE32-E72D297353CC}">
                <c16:uniqueId val="{00000007-8162-448F-A651-36ADD22F76A5}"/>
              </c:ext>
            </c:extLst>
          </c:dPt>
          <c:dPt>
            <c:idx val="4"/>
            <c:bubble3D val="0"/>
            <c:spPr>
              <a:noFill/>
              <a:ln w="12700">
                <a:solidFill>
                  <a:schemeClr val="tx1"/>
                </a:solidFill>
              </a:ln>
              <a:effectLst/>
            </c:spPr>
            <c:extLst>
              <c:ext xmlns:c16="http://schemas.microsoft.com/office/drawing/2014/chart" uri="{C3380CC4-5D6E-409C-BE32-E72D297353CC}">
                <c16:uniqueId val="{00000009-8162-448F-A651-36ADD22F76A5}"/>
              </c:ext>
            </c:extLst>
          </c:dPt>
          <c:dPt>
            <c:idx val="5"/>
            <c:bubble3D val="0"/>
            <c:spPr>
              <a:noFill/>
              <a:ln w="12700">
                <a:solidFill>
                  <a:schemeClr val="tx1"/>
                </a:solidFill>
              </a:ln>
              <a:effectLst/>
            </c:spPr>
            <c:extLst>
              <c:ext xmlns:c16="http://schemas.microsoft.com/office/drawing/2014/chart" uri="{C3380CC4-5D6E-409C-BE32-E72D297353CC}">
                <c16:uniqueId val="{0000000B-8162-448F-A651-36ADD22F76A5}"/>
              </c:ext>
            </c:extLst>
          </c:dPt>
          <c:dPt>
            <c:idx val="6"/>
            <c:bubble3D val="0"/>
            <c:spPr>
              <a:noFill/>
              <a:ln w="12700">
                <a:solidFill>
                  <a:schemeClr val="tx1"/>
                </a:solidFill>
              </a:ln>
              <a:effectLst/>
            </c:spPr>
            <c:extLst>
              <c:ext xmlns:c16="http://schemas.microsoft.com/office/drawing/2014/chart" uri="{C3380CC4-5D6E-409C-BE32-E72D297353CC}">
                <c16:uniqueId val="{0000000D-8162-448F-A651-36ADD22F76A5}"/>
              </c:ext>
            </c:extLst>
          </c:dPt>
          <c:dPt>
            <c:idx val="7"/>
            <c:bubble3D val="0"/>
            <c:spPr>
              <a:noFill/>
              <a:ln w="12700">
                <a:solidFill>
                  <a:schemeClr val="tx1"/>
                </a:solidFill>
              </a:ln>
              <a:effectLst/>
            </c:spPr>
            <c:extLst>
              <c:ext xmlns:c16="http://schemas.microsoft.com/office/drawing/2014/chart" uri="{C3380CC4-5D6E-409C-BE32-E72D297353CC}">
                <c16:uniqueId val="{0000000F-8162-448F-A651-36ADD22F76A5}"/>
              </c:ext>
            </c:extLst>
          </c:dPt>
          <c:dPt>
            <c:idx val="8"/>
            <c:bubble3D val="0"/>
            <c:spPr>
              <a:noFill/>
              <a:ln w="12700">
                <a:solidFill>
                  <a:schemeClr val="tx1"/>
                </a:solidFill>
              </a:ln>
              <a:effectLst/>
            </c:spPr>
            <c:extLst>
              <c:ext xmlns:c16="http://schemas.microsoft.com/office/drawing/2014/chart" uri="{C3380CC4-5D6E-409C-BE32-E72D297353CC}">
                <c16:uniqueId val="{00000011-8162-448F-A651-36ADD22F76A5}"/>
              </c:ext>
            </c:extLst>
          </c:dPt>
          <c:dPt>
            <c:idx val="9"/>
            <c:bubble3D val="0"/>
            <c:spPr>
              <a:noFill/>
              <a:ln w="12700">
                <a:solidFill>
                  <a:schemeClr val="tx1"/>
                </a:solidFill>
              </a:ln>
              <a:effectLst/>
            </c:spPr>
            <c:extLst>
              <c:ext xmlns:c16="http://schemas.microsoft.com/office/drawing/2014/chart" uri="{C3380CC4-5D6E-409C-BE32-E72D297353CC}">
                <c16:uniqueId val="{00000013-8162-448F-A651-36ADD22F76A5}"/>
              </c:ext>
            </c:extLst>
          </c:dPt>
          <c:dPt>
            <c:idx val="10"/>
            <c:bubble3D val="0"/>
            <c:spPr>
              <a:noFill/>
              <a:ln w="12700">
                <a:solidFill>
                  <a:schemeClr val="tx1"/>
                </a:solidFill>
              </a:ln>
              <a:effectLst/>
            </c:spPr>
            <c:extLst>
              <c:ext xmlns:c16="http://schemas.microsoft.com/office/drawing/2014/chart" uri="{C3380CC4-5D6E-409C-BE32-E72D297353CC}">
                <c16:uniqueId val="{00000015-8162-448F-A651-36ADD22F76A5}"/>
              </c:ext>
            </c:extLst>
          </c:dPt>
          <c:dPt>
            <c:idx val="11"/>
            <c:bubble3D val="0"/>
            <c:spPr>
              <a:noFill/>
              <a:ln w="12700">
                <a:solidFill>
                  <a:schemeClr val="tx1"/>
                </a:solidFill>
              </a:ln>
              <a:effectLst/>
            </c:spPr>
            <c:extLst>
              <c:ext xmlns:c16="http://schemas.microsoft.com/office/drawing/2014/chart" uri="{C3380CC4-5D6E-409C-BE32-E72D297353CC}">
                <c16:uniqueId val="{00000017-8162-448F-A651-36ADD22F76A5}"/>
              </c:ext>
            </c:extLst>
          </c:dPt>
          <c:dPt>
            <c:idx val="12"/>
            <c:bubble3D val="0"/>
            <c:spPr>
              <a:noFill/>
              <a:ln w="12700">
                <a:solidFill>
                  <a:schemeClr val="tx1"/>
                </a:solidFill>
              </a:ln>
              <a:effectLst/>
            </c:spPr>
            <c:extLst>
              <c:ext xmlns:c16="http://schemas.microsoft.com/office/drawing/2014/chart" uri="{C3380CC4-5D6E-409C-BE32-E72D297353CC}">
                <c16:uniqueId val="{00000019-8162-448F-A651-36ADD22F76A5}"/>
              </c:ext>
            </c:extLst>
          </c:dPt>
          <c:dPt>
            <c:idx val="13"/>
            <c:bubble3D val="0"/>
            <c:spPr>
              <a:noFill/>
              <a:ln w="12700">
                <a:solidFill>
                  <a:schemeClr val="tx1"/>
                </a:solidFill>
              </a:ln>
              <a:effectLst/>
            </c:spPr>
            <c:extLst>
              <c:ext xmlns:c16="http://schemas.microsoft.com/office/drawing/2014/chart" uri="{C3380CC4-5D6E-409C-BE32-E72D297353CC}">
                <c16:uniqueId val="{0000001B-8162-448F-A651-36ADD22F76A5}"/>
              </c:ext>
            </c:extLst>
          </c:dPt>
          <c:dPt>
            <c:idx val="14"/>
            <c:bubble3D val="0"/>
            <c:spPr>
              <a:noFill/>
              <a:ln w="12700">
                <a:solidFill>
                  <a:schemeClr val="tx1"/>
                </a:solidFill>
              </a:ln>
              <a:effectLst/>
            </c:spPr>
            <c:extLst>
              <c:ext xmlns:c16="http://schemas.microsoft.com/office/drawing/2014/chart" uri="{C3380CC4-5D6E-409C-BE32-E72D297353CC}">
                <c16:uniqueId val="{0000001D-8162-448F-A651-36ADD22F76A5}"/>
              </c:ext>
            </c:extLst>
          </c:dPt>
          <c:val>
            <c:numRef>
              <c:f>Processing!$C$5:$C$19</c:f>
              <c:numCache>
                <c:formatCode>General</c:formatCode>
                <c:ptCount val="1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numCache>
            </c:numRef>
          </c:val>
          <c:extLst>
            <c:ext xmlns:c16="http://schemas.microsoft.com/office/drawing/2014/chart" uri="{C3380CC4-5D6E-409C-BE32-E72D297353CC}">
              <c16:uniqueId val="{0000001E-8162-448F-A651-36ADD22F76A5}"/>
            </c:ext>
          </c:extLst>
        </c:ser>
        <c:dLbls>
          <c:showLegendKey val="0"/>
          <c:showVal val="0"/>
          <c:showCatName val="0"/>
          <c:showSerName val="0"/>
          <c:showPercent val="0"/>
          <c:showBubbleSize val="0"/>
          <c:showLeaderLines val="1"/>
        </c:dLbls>
        <c:firstSliceAng val="0"/>
      </c:pieChart>
      <c:pieChart>
        <c:varyColors val="1"/>
        <c:ser>
          <c:idx val="1"/>
          <c:order val="1"/>
          <c:tx>
            <c:strRef>
              <c:f>Processing!#REF!</c:f>
              <c:strCache>
                <c:ptCount val="1"/>
                <c:pt idx="0">
                  <c:v>#REF!</c:v>
                </c:pt>
              </c:strCache>
            </c:strRef>
          </c:tx>
          <c:spPr>
            <a:solidFill>
              <a:schemeClr val="tx1"/>
            </a:solidFill>
          </c:spPr>
          <c:dPt>
            <c:idx val="0"/>
            <c:bubble3D val="0"/>
            <c:spPr>
              <a:gradFill flip="none" rotWithShape="1">
                <a:gsLst>
                  <a:gs pos="62000">
                    <a:schemeClr val="bg1">
                      <a:alpha val="0"/>
                    </a:schemeClr>
                  </a:gs>
                  <a:gs pos="0">
                    <a:schemeClr val="bg1"/>
                  </a:gs>
                </a:gsLst>
                <a:lin ang="5400000" scaled="0"/>
                <a:tileRect/>
              </a:gradFill>
              <a:ln w="19050">
                <a:solidFill>
                  <a:schemeClr val="lt1"/>
                </a:solidFill>
              </a:ln>
              <a:effectLst/>
            </c:spPr>
            <c:extLst>
              <c:ext xmlns:c16="http://schemas.microsoft.com/office/drawing/2014/chart" uri="{C3380CC4-5D6E-409C-BE32-E72D297353CC}">
                <c16:uniqueId val="{00000020-8162-448F-A651-36ADD22F76A5}"/>
              </c:ext>
            </c:extLst>
          </c:dPt>
          <c:dPt>
            <c:idx val="1"/>
            <c:bubble3D val="0"/>
            <c:spPr>
              <a:noFill/>
              <a:ln w="19050">
                <a:noFill/>
              </a:ln>
              <a:effectLst/>
            </c:spPr>
            <c:extLst>
              <c:ext xmlns:c16="http://schemas.microsoft.com/office/drawing/2014/chart" uri="{C3380CC4-5D6E-409C-BE32-E72D297353CC}">
                <c16:uniqueId val="{00000022-8162-448F-A651-36ADD22F76A5}"/>
              </c:ext>
            </c:extLst>
          </c:dPt>
          <c:dPt>
            <c:idx val="2"/>
            <c:bubble3D val="0"/>
            <c:spPr>
              <a:solidFill>
                <a:schemeClr val="tx1"/>
              </a:solidFill>
              <a:ln w="19050">
                <a:noFill/>
              </a:ln>
              <a:effectLst/>
            </c:spPr>
            <c:extLst>
              <c:ext xmlns:c16="http://schemas.microsoft.com/office/drawing/2014/chart" uri="{C3380CC4-5D6E-409C-BE32-E72D297353CC}">
                <c16:uniqueId val="{00000024-8162-448F-A651-36ADD22F76A5}"/>
              </c:ext>
            </c:extLst>
          </c:dPt>
          <c:val>
            <c:numRef>
              <c:f>Processing!$D$5:$F$5</c:f>
              <c:numCache>
                <c:formatCode>0.0%</c:formatCode>
                <c:ptCount val="3"/>
                <c:pt idx="0" formatCode="0%">
                  <c:v>0.57129276712328758</c:v>
                </c:pt>
                <c:pt idx="1">
                  <c:v>0.42870723287671242</c:v>
                </c:pt>
                <c:pt idx="2" formatCode="0%">
                  <c:v>0.5</c:v>
                </c:pt>
              </c:numCache>
            </c:numRef>
          </c:val>
          <c:extLst>
            <c:ext xmlns:c16="http://schemas.microsoft.com/office/drawing/2014/chart" uri="{C3380CC4-5D6E-409C-BE32-E72D297353CC}">
              <c16:uniqueId val="{00000025-8162-448F-A651-36ADD22F76A5}"/>
            </c:ext>
          </c:extLst>
        </c:ser>
        <c:dLbls>
          <c:showLegendKey val="0"/>
          <c:showVal val="0"/>
          <c:showCatName val="0"/>
          <c:showSerName val="0"/>
          <c:showPercent val="0"/>
          <c:showBubbleSize val="0"/>
          <c:showLeaderLines val="1"/>
        </c:dLbls>
        <c:firstSliceAng val="24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gradFill flip="none" rotWithShape="1">
              <a:gsLst>
                <a:gs pos="17000">
                  <a:srgbClr val="8A2BF1">
                    <a:alpha val="10000"/>
                  </a:srgbClr>
                </a:gs>
                <a:gs pos="100000">
                  <a:srgbClr val="8A2BF1">
                    <a:alpha val="70000"/>
                  </a:srgbClr>
                </a:gs>
              </a:gsLst>
              <a:lin ang="5400000" scaled="1"/>
              <a:tileRect/>
            </a:gradFill>
            <a:ln>
              <a:noFill/>
            </a:ln>
            <a:effectLst/>
          </c:spPr>
          <c:cat>
            <c:strRef>
              <c:f>Processing!$D$18:$D$26</c:f>
              <c:strCache>
                <c:ptCount val="9"/>
                <c:pt idx="0">
                  <c:v>APJO</c:v>
                </c:pt>
                <c:pt idx="1">
                  <c:v>Sunday</c:v>
                </c:pt>
                <c:pt idx="2">
                  <c:v>Monday</c:v>
                </c:pt>
                <c:pt idx="3">
                  <c:v>Tuesday</c:v>
                </c:pt>
                <c:pt idx="4">
                  <c:v>Wednesday</c:v>
                </c:pt>
                <c:pt idx="5">
                  <c:v>Thursday</c:v>
                </c:pt>
                <c:pt idx="6">
                  <c:v>Friday</c:v>
                </c:pt>
                <c:pt idx="7">
                  <c:v>Saturday</c:v>
                </c:pt>
                <c:pt idx="8">
                  <c:v>end</c:v>
                </c:pt>
              </c:strCache>
            </c:strRef>
          </c:cat>
          <c:val>
            <c:numRef>
              <c:f>Processing!$E$18:$E$26</c:f>
              <c:numCache>
                <c:formatCode>General</c:formatCode>
                <c:ptCount val="9"/>
                <c:pt idx="0">
                  <c:v>836</c:v>
                </c:pt>
                <c:pt idx="1">
                  <c:v>1254</c:v>
                </c:pt>
                <c:pt idx="2">
                  <c:v>1219</c:v>
                </c:pt>
                <c:pt idx="3">
                  <c:v>1130</c:v>
                </c:pt>
                <c:pt idx="4">
                  <c:v>1072</c:v>
                </c:pt>
                <c:pt idx="5">
                  <c:v>1226</c:v>
                </c:pt>
                <c:pt idx="6">
                  <c:v>1108</c:v>
                </c:pt>
                <c:pt idx="7">
                  <c:v>1208</c:v>
                </c:pt>
                <c:pt idx="8">
                  <c:v>805.33333333333337</c:v>
                </c:pt>
              </c:numCache>
            </c:numRef>
          </c:val>
          <c:extLst>
            <c:ext xmlns:c16="http://schemas.microsoft.com/office/drawing/2014/chart" uri="{C3380CC4-5D6E-409C-BE32-E72D297353CC}">
              <c16:uniqueId val="{00000000-CDC0-4B15-882D-0E9608B7BEBE}"/>
            </c:ext>
          </c:extLst>
        </c:ser>
        <c:ser>
          <c:idx val="1"/>
          <c:order val="1"/>
          <c:spPr>
            <a:gradFill flip="none" rotWithShape="1">
              <a:gsLst>
                <a:gs pos="15000">
                  <a:schemeClr val="accent1">
                    <a:lumMod val="60000"/>
                    <a:lumOff val="40000"/>
                    <a:alpha val="10000"/>
                  </a:schemeClr>
                </a:gs>
                <a:gs pos="100000">
                  <a:schemeClr val="accent1">
                    <a:lumMod val="60000"/>
                    <a:lumOff val="40000"/>
                    <a:alpha val="70000"/>
                  </a:schemeClr>
                </a:gs>
              </a:gsLst>
              <a:lin ang="5400000" scaled="1"/>
              <a:tileRect/>
            </a:gradFill>
            <a:ln w="25400">
              <a:noFill/>
            </a:ln>
            <a:effectLst/>
          </c:spPr>
          <c:cat>
            <c:strRef>
              <c:f>Processing!$D$18:$D$26</c:f>
              <c:strCache>
                <c:ptCount val="9"/>
                <c:pt idx="0">
                  <c:v>APJO</c:v>
                </c:pt>
                <c:pt idx="1">
                  <c:v>Sunday</c:v>
                </c:pt>
                <c:pt idx="2">
                  <c:v>Monday</c:v>
                </c:pt>
                <c:pt idx="3">
                  <c:v>Tuesday</c:v>
                </c:pt>
                <c:pt idx="4">
                  <c:v>Wednesday</c:v>
                </c:pt>
                <c:pt idx="5">
                  <c:v>Thursday</c:v>
                </c:pt>
                <c:pt idx="6">
                  <c:v>Friday</c:v>
                </c:pt>
                <c:pt idx="7">
                  <c:v>Saturday</c:v>
                </c:pt>
                <c:pt idx="8">
                  <c:v>end</c:v>
                </c:pt>
              </c:strCache>
            </c:strRef>
          </c:cat>
          <c:val>
            <c:numRef>
              <c:f>Processing!$F$18:$F$26</c:f>
              <c:numCache>
                <c:formatCode>General</c:formatCode>
                <c:ptCount val="9"/>
                <c:pt idx="0">
                  <c:v>858.66666666666663</c:v>
                </c:pt>
                <c:pt idx="1">
                  <c:v>1288</c:v>
                </c:pt>
                <c:pt idx="2">
                  <c:v>1179</c:v>
                </c:pt>
                <c:pt idx="3">
                  <c:v>1050</c:v>
                </c:pt>
                <c:pt idx="4">
                  <c:v>1096</c:v>
                </c:pt>
                <c:pt idx="5">
                  <c:v>1095</c:v>
                </c:pt>
                <c:pt idx="6">
                  <c:v>1240</c:v>
                </c:pt>
                <c:pt idx="7">
                  <c:v>1135</c:v>
                </c:pt>
                <c:pt idx="8">
                  <c:v>756.66666666666663</c:v>
                </c:pt>
              </c:numCache>
            </c:numRef>
          </c:val>
          <c:extLst>
            <c:ext xmlns:c16="http://schemas.microsoft.com/office/drawing/2014/chart" uri="{C3380CC4-5D6E-409C-BE32-E72D297353CC}">
              <c16:uniqueId val="{00000001-CDC0-4B15-882D-0E9608B7BEBE}"/>
            </c:ext>
          </c:extLst>
        </c:ser>
        <c:dLbls>
          <c:showLegendKey val="0"/>
          <c:showVal val="0"/>
          <c:showCatName val="0"/>
          <c:showSerName val="0"/>
          <c:showPercent val="0"/>
          <c:showBubbleSize val="0"/>
        </c:dLbls>
        <c:axId val="253789647"/>
        <c:axId val="253788207"/>
      </c:areaChart>
      <c:lineChart>
        <c:grouping val="standard"/>
        <c:varyColors val="0"/>
        <c:ser>
          <c:idx val="2"/>
          <c:order val="2"/>
          <c:spPr>
            <a:ln w="19050" cap="rnd">
              <a:solidFill>
                <a:srgbClr val="8A2BF1"/>
              </a:solidFill>
              <a:round/>
            </a:ln>
            <a:effectLst/>
          </c:spPr>
          <c:marker>
            <c:symbol val="circle"/>
            <c:size val="5"/>
            <c:spPr>
              <a:solidFill>
                <a:schemeClr val="bg1"/>
              </a:solidFill>
              <a:ln w="19050">
                <a:solidFill>
                  <a:srgbClr val="8A2BF1"/>
                </a:solidFill>
              </a:ln>
              <a:effectLst/>
            </c:spPr>
          </c:marker>
          <c:val>
            <c:numRef>
              <c:f>Processing!$E$18:$E$26</c:f>
              <c:numCache>
                <c:formatCode>General</c:formatCode>
                <c:ptCount val="9"/>
                <c:pt idx="0">
                  <c:v>836</c:v>
                </c:pt>
                <c:pt idx="1">
                  <c:v>1254</c:v>
                </c:pt>
                <c:pt idx="2">
                  <c:v>1219</c:v>
                </c:pt>
                <c:pt idx="3">
                  <c:v>1130</c:v>
                </c:pt>
                <c:pt idx="4">
                  <c:v>1072</c:v>
                </c:pt>
                <c:pt idx="5">
                  <c:v>1226</c:v>
                </c:pt>
                <c:pt idx="6">
                  <c:v>1108</c:v>
                </c:pt>
                <c:pt idx="7">
                  <c:v>1208</c:v>
                </c:pt>
                <c:pt idx="8">
                  <c:v>805.33333333333337</c:v>
                </c:pt>
              </c:numCache>
            </c:numRef>
          </c:val>
          <c:smooth val="0"/>
          <c:extLst>
            <c:ext xmlns:c16="http://schemas.microsoft.com/office/drawing/2014/chart" uri="{C3380CC4-5D6E-409C-BE32-E72D297353CC}">
              <c16:uniqueId val="{00000002-CDC0-4B15-882D-0E9608B7BEBE}"/>
            </c:ext>
          </c:extLst>
        </c:ser>
        <c:ser>
          <c:idx val="3"/>
          <c:order val="3"/>
          <c:spPr>
            <a:ln w="19050" cap="rnd">
              <a:solidFill>
                <a:schemeClr val="accent1">
                  <a:lumMod val="60000"/>
                  <a:lumOff val="40000"/>
                </a:schemeClr>
              </a:solidFill>
              <a:round/>
            </a:ln>
            <a:effectLst/>
          </c:spPr>
          <c:marker>
            <c:symbol val="circle"/>
            <c:size val="5"/>
            <c:spPr>
              <a:solidFill>
                <a:schemeClr val="tx1"/>
              </a:solidFill>
              <a:ln w="19050">
                <a:solidFill>
                  <a:schemeClr val="accent1">
                    <a:lumMod val="60000"/>
                    <a:lumOff val="40000"/>
                  </a:schemeClr>
                </a:solidFill>
              </a:ln>
              <a:effectLst/>
            </c:spPr>
          </c:marker>
          <c:val>
            <c:numRef>
              <c:f>Processing!$F$18:$F$26</c:f>
              <c:numCache>
                <c:formatCode>General</c:formatCode>
                <c:ptCount val="9"/>
                <c:pt idx="0">
                  <c:v>858.66666666666663</c:v>
                </c:pt>
                <c:pt idx="1">
                  <c:v>1288</c:v>
                </c:pt>
                <c:pt idx="2">
                  <c:v>1179</c:v>
                </c:pt>
                <c:pt idx="3">
                  <c:v>1050</c:v>
                </c:pt>
                <c:pt idx="4">
                  <c:v>1096</c:v>
                </c:pt>
                <c:pt idx="5">
                  <c:v>1095</c:v>
                </c:pt>
                <c:pt idx="6">
                  <c:v>1240</c:v>
                </c:pt>
                <c:pt idx="7">
                  <c:v>1135</c:v>
                </c:pt>
                <c:pt idx="8">
                  <c:v>756.66666666666663</c:v>
                </c:pt>
              </c:numCache>
            </c:numRef>
          </c:val>
          <c:smooth val="0"/>
          <c:extLst>
            <c:ext xmlns:c16="http://schemas.microsoft.com/office/drawing/2014/chart" uri="{C3380CC4-5D6E-409C-BE32-E72D297353CC}">
              <c16:uniqueId val="{00000003-CDC0-4B15-882D-0E9608B7BEBE}"/>
            </c:ext>
          </c:extLst>
        </c:ser>
        <c:dLbls>
          <c:showLegendKey val="0"/>
          <c:showVal val="0"/>
          <c:showCatName val="0"/>
          <c:showSerName val="0"/>
          <c:showPercent val="0"/>
          <c:showBubbleSize val="0"/>
        </c:dLbls>
        <c:marker val="1"/>
        <c:smooth val="0"/>
        <c:axId val="253789647"/>
        <c:axId val="253788207"/>
      </c:lineChart>
      <c:catAx>
        <c:axId val="253789647"/>
        <c:scaling>
          <c:orientation val="minMax"/>
        </c:scaling>
        <c:delete val="1"/>
        <c:axPos val="b"/>
        <c:numFmt formatCode="General" sourceLinked="1"/>
        <c:majorTickMark val="out"/>
        <c:minorTickMark val="none"/>
        <c:tickLblPos val="nextTo"/>
        <c:crossAx val="253788207"/>
        <c:crosses val="autoZero"/>
        <c:auto val="1"/>
        <c:lblAlgn val="ctr"/>
        <c:lblOffset val="100"/>
        <c:noMultiLvlLbl val="0"/>
      </c:catAx>
      <c:valAx>
        <c:axId val="253788207"/>
        <c:scaling>
          <c:orientation val="minMax"/>
        </c:scaling>
        <c:delete val="1"/>
        <c:axPos val="l"/>
        <c:numFmt formatCode="General" sourceLinked="1"/>
        <c:majorTickMark val="none"/>
        <c:minorTickMark val="none"/>
        <c:tickLblPos val="nextTo"/>
        <c:crossAx val="2537896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noFill/>
            <a:ln>
              <a:noFill/>
            </a:ln>
            <a:effectLst/>
          </c:spPr>
          <c:invertIfNegative val="0"/>
          <c:val>
            <c:numRef>
              <c:f>Processing!$H$18:$H$19</c:f>
              <c:numCache>
                <c:formatCode>0%</c:formatCode>
                <c:ptCount val="2"/>
                <c:pt idx="0">
                  <c:v>0.50411042944785278</c:v>
                </c:pt>
                <c:pt idx="1">
                  <c:v>0.49588957055214722</c:v>
                </c:pt>
              </c:numCache>
            </c:numRef>
          </c:val>
          <c:extLst>
            <c:ext xmlns:c16="http://schemas.microsoft.com/office/drawing/2014/chart" uri="{C3380CC4-5D6E-409C-BE32-E72D297353CC}">
              <c16:uniqueId val="{00000000-3656-4529-8A35-0EF2F2D8D662}"/>
            </c:ext>
          </c:extLst>
        </c:ser>
        <c:ser>
          <c:idx val="1"/>
          <c:order val="1"/>
          <c:spPr>
            <a:solidFill>
              <a:schemeClr val="accent2"/>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2-3656-4529-8A35-0EF2F2D8D662}"/>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4-3656-4529-8A35-0EF2F2D8D662}"/>
              </c:ext>
            </c:extLst>
          </c:dPt>
          <c:val>
            <c:numRef>
              <c:f>Processing!$I$18:$I$19</c:f>
              <c:numCache>
                <c:formatCode>0%</c:formatCode>
                <c:ptCount val="2"/>
                <c:pt idx="0">
                  <c:v>0.2</c:v>
                </c:pt>
                <c:pt idx="1">
                  <c:v>0.2</c:v>
                </c:pt>
              </c:numCache>
            </c:numRef>
          </c:val>
          <c:extLst>
            <c:ext xmlns:c16="http://schemas.microsoft.com/office/drawing/2014/chart" uri="{C3380CC4-5D6E-409C-BE32-E72D297353CC}">
              <c16:uniqueId val="{00000005-3656-4529-8A35-0EF2F2D8D662}"/>
            </c:ext>
          </c:extLst>
        </c:ser>
        <c:ser>
          <c:idx val="2"/>
          <c:order val="2"/>
          <c:spPr>
            <a:solidFill>
              <a:schemeClr val="tx1">
                <a:alpha val="70000"/>
              </a:schemeClr>
            </a:solidFill>
            <a:ln>
              <a:noFill/>
            </a:ln>
            <a:effectLst/>
          </c:spPr>
          <c:invertIfNegative val="0"/>
          <c:val>
            <c:numRef>
              <c:f>Processing!$J$18:$J$19</c:f>
              <c:numCache>
                <c:formatCode>0%</c:formatCode>
                <c:ptCount val="2"/>
                <c:pt idx="0">
                  <c:v>0.49588957055214722</c:v>
                </c:pt>
                <c:pt idx="1">
                  <c:v>0.50411042944785278</c:v>
                </c:pt>
              </c:numCache>
            </c:numRef>
          </c:val>
          <c:extLst>
            <c:ext xmlns:c16="http://schemas.microsoft.com/office/drawing/2014/chart" uri="{C3380CC4-5D6E-409C-BE32-E72D297353CC}">
              <c16:uniqueId val="{00000006-3656-4529-8A35-0EF2F2D8D662}"/>
            </c:ext>
          </c:extLst>
        </c:ser>
        <c:dLbls>
          <c:showLegendKey val="0"/>
          <c:showVal val="0"/>
          <c:showCatName val="0"/>
          <c:showSerName val="0"/>
          <c:showPercent val="0"/>
          <c:showBubbleSize val="0"/>
        </c:dLbls>
        <c:gapWidth val="170"/>
        <c:overlap val="100"/>
        <c:axId val="113639695"/>
        <c:axId val="113641135"/>
      </c:barChart>
      <c:catAx>
        <c:axId val="113639695"/>
        <c:scaling>
          <c:orientation val="minMax"/>
        </c:scaling>
        <c:delete val="1"/>
        <c:axPos val="l"/>
        <c:majorTickMark val="none"/>
        <c:minorTickMark val="none"/>
        <c:tickLblPos val="nextTo"/>
        <c:crossAx val="113641135"/>
        <c:crosses val="autoZero"/>
        <c:auto val="1"/>
        <c:lblAlgn val="ctr"/>
        <c:lblOffset val="100"/>
        <c:noMultiLvlLbl val="0"/>
      </c:catAx>
      <c:valAx>
        <c:axId val="113641135"/>
        <c:scaling>
          <c:orientation val="minMax"/>
        </c:scaling>
        <c:delete val="1"/>
        <c:axPos val="b"/>
        <c:numFmt formatCode="0%" sourceLinked="1"/>
        <c:majorTickMark val="none"/>
        <c:minorTickMark val="none"/>
        <c:tickLblPos val="nextTo"/>
        <c:crossAx val="11363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Processing!$L$1</c:f>
              <c:strCache>
                <c:ptCount val="1"/>
                <c:pt idx="0">
                  <c:v>Rang 3</c:v>
                </c:pt>
              </c:strCache>
            </c:strRef>
          </c:tx>
          <c:spPr>
            <a:gradFill>
              <a:gsLst>
                <a:gs pos="0">
                  <a:srgbClr val="6AEDEB">
                    <a:alpha val="70000"/>
                  </a:srgbClr>
                </a:gs>
                <a:gs pos="100000">
                  <a:schemeClr val="tx1">
                    <a:alpha val="0"/>
                  </a:schemeClr>
                </a:gs>
              </a:gsLst>
              <a:lin ang="5400000" scaled="1"/>
            </a:gradFill>
            <a:ln>
              <a:noFill/>
            </a:ln>
            <a:effectLst/>
          </c:spPr>
          <c:cat>
            <c:strRef>
              <c:f>Processing!$K$2:$K$10</c:f>
              <c:strCache>
                <c:ptCount val="9"/>
                <c:pt idx="0">
                  <c:v>start</c:v>
                </c:pt>
                <c:pt idx="1">
                  <c:v>Sunday</c:v>
                </c:pt>
                <c:pt idx="2">
                  <c:v>Monday</c:v>
                </c:pt>
                <c:pt idx="3">
                  <c:v>Tuesday</c:v>
                </c:pt>
                <c:pt idx="4">
                  <c:v>Wednesday</c:v>
                </c:pt>
                <c:pt idx="5">
                  <c:v>Thursday</c:v>
                </c:pt>
                <c:pt idx="6">
                  <c:v>Friday</c:v>
                </c:pt>
                <c:pt idx="7">
                  <c:v>Saturday</c:v>
                </c:pt>
                <c:pt idx="8">
                  <c:v>end</c:v>
                </c:pt>
              </c:strCache>
            </c:strRef>
          </c:cat>
          <c:val>
            <c:numRef>
              <c:f>Processing!$L$2:$L$10</c:f>
              <c:numCache>
                <c:formatCode>General</c:formatCode>
                <c:ptCount val="9"/>
                <c:pt idx="0">
                  <c:v>941.33333333333337</c:v>
                </c:pt>
                <c:pt idx="1">
                  <c:v>1412</c:v>
                </c:pt>
                <c:pt idx="2">
                  <c:v>1489</c:v>
                </c:pt>
                <c:pt idx="3">
                  <c:v>1397</c:v>
                </c:pt>
                <c:pt idx="4">
                  <c:v>1544</c:v>
                </c:pt>
                <c:pt idx="5">
                  <c:v>1528</c:v>
                </c:pt>
                <c:pt idx="6">
                  <c:v>1486</c:v>
                </c:pt>
                <c:pt idx="7">
                  <c:v>1405</c:v>
                </c:pt>
                <c:pt idx="8">
                  <c:v>936.66666666666663</c:v>
                </c:pt>
              </c:numCache>
            </c:numRef>
          </c:val>
          <c:extLst>
            <c:ext xmlns:c16="http://schemas.microsoft.com/office/drawing/2014/chart" uri="{C3380CC4-5D6E-409C-BE32-E72D297353CC}">
              <c16:uniqueId val="{00000000-5DA6-48CF-8637-7EDA47E4A9E6}"/>
            </c:ext>
          </c:extLst>
        </c:ser>
        <c:ser>
          <c:idx val="1"/>
          <c:order val="1"/>
          <c:tx>
            <c:strRef>
              <c:f>Processing!$M$1</c:f>
              <c:strCache>
                <c:ptCount val="1"/>
                <c:pt idx="0">
                  <c:v>Rang 2</c:v>
                </c:pt>
              </c:strCache>
            </c:strRef>
          </c:tx>
          <c:spPr>
            <a:gradFill>
              <a:gsLst>
                <a:gs pos="0">
                  <a:srgbClr val="FF00FF">
                    <a:alpha val="70000"/>
                  </a:srgbClr>
                </a:gs>
                <a:gs pos="100000">
                  <a:schemeClr val="tx1">
                    <a:alpha val="0"/>
                  </a:schemeClr>
                </a:gs>
              </a:gsLst>
              <a:lin ang="5400000" scaled="1"/>
            </a:gradFill>
            <a:ln>
              <a:noFill/>
            </a:ln>
            <a:effectLst/>
          </c:spPr>
          <c:cat>
            <c:strRef>
              <c:f>Processing!$K$2:$K$10</c:f>
              <c:strCache>
                <c:ptCount val="9"/>
                <c:pt idx="0">
                  <c:v>start</c:v>
                </c:pt>
                <c:pt idx="1">
                  <c:v>Sunday</c:v>
                </c:pt>
                <c:pt idx="2">
                  <c:v>Monday</c:v>
                </c:pt>
                <c:pt idx="3">
                  <c:v>Tuesday</c:v>
                </c:pt>
                <c:pt idx="4">
                  <c:v>Wednesday</c:v>
                </c:pt>
                <c:pt idx="5">
                  <c:v>Thursday</c:v>
                </c:pt>
                <c:pt idx="6">
                  <c:v>Friday</c:v>
                </c:pt>
                <c:pt idx="7">
                  <c:v>Saturday</c:v>
                </c:pt>
                <c:pt idx="8">
                  <c:v>end</c:v>
                </c:pt>
              </c:strCache>
            </c:strRef>
          </c:cat>
          <c:val>
            <c:numRef>
              <c:f>Processing!$M$2:$M$10</c:f>
              <c:numCache>
                <c:formatCode>General</c:formatCode>
                <c:ptCount val="9"/>
                <c:pt idx="0">
                  <c:v>2235.3333333333335</c:v>
                </c:pt>
                <c:pt idx="1">
                  <c:v>3353</c:v>
                </c:pt>
                <c:pt idx="2">
                  <c:v>3440</c:v>
                </c:pt>
                <c:pt idx="3">
                  <c:v>3422</c:v>
                </c:pt>
                <c:pt idx="4">
                  <c:v>3474</c:v>
                </c:pt>
                <c:pt idx="5">
                  <c:v>3267</c:v>
                </c:pt>
                <c:pt idx="6">
                  <c:v>3382</c:v>
                </c:pt>
                <c:pt idx="7">
                  <c:v>3397</c:v>
                </c:pt>
                <c:pt idx="8">
                  <c:v>2264.6666666666665</c:v>
                </c:pt>
              </c:numCache>
            </c:numRef>
          </c:val>
          <c:extLst>
            <c:ext xmlns:c16="http://schemas.microsoft.com/office/drawing/2014/chart" uri="{C3380CC4-5D6E-409C-BE32-E72D297353CC}">
              <c16:uniqueId val="{00000001-5DA6-48CF-8637-7EDA47E4A9E6}"/>
            </c:ext>
          </c:extLst>
        </c:ser>
        <c:ser>
          <c:idx val="2"/>
          <c:order val="2"/>
          <c:tx>
            <c:strRef>
              <c:f>Processing!$N$1</c:f>
              <c:strCache>
                <c:ptCount val="1"/>
                <c:pt idx="0">
                  <c:v>Rang 1</c:v>
                </c:pt>
              </c:strCache>
            </c:strRef>
          </c:tx>
          <c:spPr>
            <a:gradFill>
              <a:gsLst>
                <a:gs pos="0">
                  <a:srgbClr val="782BDB">
                    <a:alpha val="70000"/>
                  </a:srgbClr>
                </a:gs>
                <a:gs pos="100000">
                  <a:schemeClr val="tx1">
                    <a:alpha val="0"/>
                  </a:schemeClr>
                </a:gs>
              </a:gsLst>
              <a:lin ang="5400000" scaled="1"/>
            </a:gradFill>
            <a:ln>
              <a:noFill/>
            </a:ln>
            <a:effectLst/>
          </c:spPr>
          <c:cat>
            <c:strRef>
              <c:f>Processing!$K$2:$K$10</c:f>
              <c:strCache>
                <c:ptCount val="9"/>
                <c:pt idx="0">
                  <c:v>start</c:v>
                </c:pt>
                <c:pt idx="1">
                  <c:v>Sunday</c:v>
                </c:pt>
                <c:pt idx="2">
                  <c:v>Monday</c:v>
                </c:pt>
                <c:pt idx="3">
                  <c:v>Tuesday</c:v>
                </c:pt>
                <c:pt idx="4">
                  <c:v>Wednesday</c:v>
                </c:pt>
                <c:pt idx="5">
                  <c:v>Thursday</c:v>
                </c:pt>
                <c:pt idx="6">
                  <c:v>Friday</c:v>
                </c:pt>
                <c:pt idx="7">
                  <c:v>Saturday</c:v>
                </c:pt>
                <c:pt idx="8">
                  <c:v>end</c:v>
                </c:pt>
              </c:strCache>
            </c:strRef>
          </c:cat>
          <c:val>
            <c:numRef>
              <c:f>Processing!$N$2:$N$10</c:f>
              <c:numCache>
                <c:formatCode>General</c:formatCode>
                <c:ptCount val="9"/>
                <c:pt idx="0">
                  <c:v>3056.6666666666665</c:v>
                </c:pt>
                <c:pt idx="1">
                  <c:v>4585</c:v>
                </c:pt>
                <c:pt idx="2">
                  <c:v>4651</c:v>
                </c:pt>
                <c:pt idx="3">
                  <c:v>4645</c:v>
                </c:pt>
                <c:pt idx="4">
                  <c:v>4743</c:v>
                </c:pt>
                <c:pt idx="5">
                  <c:v>4571</c:v>
                </c:pt>
                <c:pt idx="6">
                  <c:v>4614</c:v>
                </c:pt>
                <c:pt idx="7">
                  <c:v>4686</c:v>
                </c:pt>
                <c:pt idx="8">
                  <c:v>3124</c:v>
                </c:pt>
              </c:numCache>
            </c:numRef>
          </c:val>
          <c:extLst>
            <c:ext xmlns:c16="http://schemas.microsoft.com/office/drawing/2014/chart" uri="{C3380CC4-5D6E-409C-BE32-E72D297353CC}">
              <c16:uniqueId val="{00000002-5DA6-48CF-8637-7EDA47E4A9E6}"/>
            </c:ext>
          </c:extLst>
        </c:ser>
        <c:dLbls>
          <c:showLegendKey val="0"/>
          <c:showVal val="0"/>
          <c:showCatName val="0"/>
          <c:showSerName val="0"/>
          <c:showPercent val="0"/>
          <c:showBubbleSize val="0"/>
        </c:dLbls>
        <c:axId val="276672255"/>
        <c:axId val="276652095"/>
      </c:areaChart>
      <c:lineChart>
        <c:grouping val="standard"/>
        <c:varyColors val="0"/>
        <c:ser>
          <c:idx val="3"/>
          <c:order val="3"/>
          <c:tx>
            <c:v>Line1</c:v>
          </c:tx>
          <c:spPr>
            <a:ln w="38100" cap="rnd">
              <a:solidFill>
                <a:srgbClr val="6AEDEB"/>
              </a:solidFill>
              <a:round/>
            </a:ln>
            <a:effectLst>
              <a:outerShdw blurRad="50800" dist="38100" dir="5400000" algn="t" rotWithShape="0">
                <a:prstClr val="black">
                  <a:alpha val="40000"/>
                </a:prstClr>
              </a:outerShdw>
            </a:effectLst>
          </c:spPr>
          <c:marker>
            <c:symbol val="none"/>
          </c:marker>
          <c:val>
            <c:numRef>
              <c:f>Processing!$L$2:$L$10</c:f>
              <c:numCache>
                <c:formatCode>General</c:formatCode>
                <c:ptCount val="9"/>
                <c:pt idx="0">
                  <c:v>941.33333333333337</c:v>
                </c:pt>
                <c:pt idx="1">
                  <c:v>1412</c:v>
                </c:pt>
                <c:pt idx="2">
                  <c:v>1489</c:v>
                </c:pt>
                <c:pt idx="3">
                  <c:v>1397</c:v>
                </c:pt>
                <c:pt idx="4">
                  <c:v>1544</c:v>
                </c:pt>
                <c:pt idx="5">
                  <c:v>1528</c:v>
                </c:pt>
                <c:pt idx="6">
                  <c:v>1486</c:v>
                </c:pt>
                <c:pt idx="7">
                  <c:v>1405</c:v>
                </c:pt>
                <c:pt idx="8">
                  <c:v>936.66666666666663</c:v>
                </c:pt>
              </c:numCache>
            </c:numRef>
          </c:val>
          <c:smooth val="1"/>
          <c:extLst>
            <c:ext xmlns:c16="http://schemas.microsoft.com/office/drawing/2014/chart" uri="{C3380CC4-5D6E-409C-BE32-E72D297353CC}">
              <c16:uniqueId val="{00000003-5DA6-48CF-8637-7EDA47E4A9E6}"/>
            </c:ext>
          </c:extLst>
        </c:ser>
        <c:ser>
          <c:idx val="4"/>
          <c:order val="4"/>
          <c:tx>
            <c:v>Line2</c:v>
          </c:tx>
          <c:spPr>
            <a:ln w="38100" cap="rnd">
              <a:solidFill>
                <a:srgbClr val="FF00FF"/>
              </a:solidFill>
              <a:round/>
            </a:ln>
            <a:effectLst>
              <a:outerShdw blurRad="50800" dist="38100" dir="5400000" algn="t" rotWithShape="0">
                <a:prstClr val="black">
                  <a:alpha val="40000"/>
                </a:prstClr>
              </a:outerShdw>
            </a:effectLst>
          </c:spPr>
          <c:marker>
            <c:symbol val="none"/>
          </c:marker>
          <c:val>
            <c:numRef>
              <c:f>Processing!$M$2:$M$10</c:f>
              <c:numCache>
                <c:formatCode>General</c:formatCode>
                <c:ptCount val="9"/>
                <c:pt idx="0">
                  <c:v>2235.3333333333335</c:v>
                </c:pt>
                <c:pt idx="1">
                  <c:v>3353</c:v>
                </c:pt>
                <c:pt idx="2">
                  <c:v>3440</c:v>
                </c:pt>
                <c:pt idx="3">
                  <c:v>3422</c:v>
                </c:pt>
                <c:pt idx="4">
                  <c:v>3474</c:v>
                </c:pt>
                <c:pt idx="5">
                  <c:v>3267</c:v>
                </c:pt>
                <c:pt idx="6">
                  <c:v>3382</c:v>
                </c:pt>
                <c:pt idx="7">
                  <c:v>3397</c:v>
                </c:pt>
                <c:pt idx="8">
                  <c:v>2264.6666666666665</c:v>
                </c:pt>
              </c:numCache>
            </c:numRef>
          </c:val>
          <c:smooth val="1"/>
          <c:extLst>
            <c:ext xmlns:c16="http://schemas.microsoft.com/office/drawing/2014/chart" uri="{C3380CC4-5D6E-409C-BE32-E72D297353CC}">
              <c16:uniqueId val="{00000004-5DA6-48CF-8637-7EDA47E4A9E6}"/>
            </c:ext>
          </c:extLst>
        </c:ser>
        <c:ser>
          <c:idx val="5"/>
          <c:order val="5"/>
          <c:tx>
            <c:v>Line3</c:v>
          </c:tx>
          <c:spPr>
            <a:ln w="38100" cap="rnd">
              <a:solidFill>
                <a:srgbClr val="782BDB"/>
              </a:solidFill>
              <a:round/>
            </a:ln>
            <a:effectLst>
              <a:outerShdw blurRad="50800" dist="38100" dir="5400000" algn="t" rotWithShape="0">
                <a:prstClr val="black">
                  <a:alpha val="40000"/>
                </a:prstClr>
              </a:outerShdw>
            </a:effectLst>
          </c:spPr>
          <c:marker>
            <c:symbol val="none"/>
          </c:marker>
          <c:val>
            <c:numRef>
              <c:f>Processing!$N$2:$N$10</c:f>
              <c:numCache>
                <c:formatCode>General</c:formatCode>
                <c:ptCount val="9"/>
                <c:pt idx="0">
                  <c:v>3056.6666666666665</c:v>
                </c:pt>
                <c:pt idx="1">
                  <c:v>4585</c:v>
                </c:pt>
                <c:pt idx="2">
                  <c:v>4651</c:v>
                </c:pt>
                <c:pt idx="3">
                  <c:v>4645</c:v>
                </c:pt>
                <c:pt idx="4">
                  <c:v>4743</c:v>
                </c:pt>
                <c:pt idx="5">
                  <c:v>4571</c:v>
                </c:pt>
                <c:pt idx="6">
                  <c:v>4614</c:v>
                </c:pt>
                <c:pt idx="7">
                  <c:v>4686</c:v>
                </c:pt>
                <c:pt idx="8">
                  <c:v>3124</c:v>
                </c:pt>
              </c:numCache>
            </c:numRef>
          </c:val>
          <c:smooth val="1"/>
          <c:extLst>
            <c:ext xmlns:c16="http://schemas.microsoft.com/office/drawing/2014/chart" uri="{C3380CC4-5D6E-409C-BE32-E72D297353CC}">
              <c16:uniqueId val="{00000005-5DA6-48CF-8637-7EDA47E4A9E6}"/>
            </c:ext>
          </c:extLst>
        </c:ser>
        <c:dLbls>
          <c:showLegendKey val="0"/>
          <c:showVal val="0"/>
          <c:showCatName val="0"/>
          <c:showSerName val="0"/>
          <c:showPercent val="0"/>
          <c:showBubbleSize val="0"/>
        </c:dLbls>
        <c:marker val="1"/>
        <c:smooth val="0"/>
        <c:axId val="276672255"/>
        <c:axId val="276652095"/>
      </c:lineChart>
      <c:scatterChart>
        <c:scatterStyle val="lineMarker"/>
        <c:varyColors val="0"/>
        <c:ser>
          <c:idx val="6"/>
          <c:order val="6"/>
          <c:tx>
            <c:strRef>
              <c:f>Processing!$S$1</c:f>
              <c:strCache>
                <c:ptCount val="1"/>
                <c:pt idx="0">
                  <c:v>Cursors</c:v>
                </c:pt>
              </c:strCache>
            </c:strRef>
          </c:tx>
          <c:spPr>
            <a:ln w="25400" cap="rnd">
              <a:noFill/>
              <a:round/>
            </a:ln>
            <a:effectLst>
              <a:outerShdw blurRad="50800" dist="38100" dir="5400000" algn="t" rotWithShape="0">
                <a:prstClr val="black">
                  <a:alpha val="40000"/>
                </a:prstClr>
              </a:outerShdw>
            </a:effectLst>
          </c:spPr>
          <c:marker>
            <c:symbol val="circle"/>
            <c:size val="10"/>
            <c:spPr>
              <a:solidFill>
                <a:schemeClr val="accent1">
                  <a:lumMod val="60000"/>
                </a:schemeClr>
              </a:solidFill>
              <a:ln w="9525">
                <a:noFill/>
              </a:ln>
              <a:effectLst>
                <a:outerShdw blurRad="50800" dist="38100" dir="5400000" algn="t" rotWithShape="0">
                  <a:prstClr val="black">
                    <a:alpha val="40000"/>
                  </a:prstClr>
                </a:outerShdw>
              </a:effectLst>
            </c:spPr>
          </c:marker>
          <c:dPt>
            <c:idx val="0"/>
            <c:marker>
              <c:symbol val="circle"/>
              <c:size val="10"/>
              <c:spPr>
                <a:solidFill>
                  <a:srgbClr val="6AEDEB"/>
                </a:solidFill>
                <a:ln w="9525">
                  <a:noFill/>
                </a:ln>
                <a:effectLst>
                  <a:outerShdw blurRad="50800" dist="38100" dir="5400000" algn="t" rotWithShape="0">
                    <a:prstClr val="black">
                      <a:alpha val="40000"/>
                    </a:prstClr>
                  </a:outerShdw>
                </a:effectLst>
              </c:spPr>
            </c:marker>
            <c:bubble3D val="0"/>
            <c:extLst>
              <c:ext xmlns:c16="http://schemas.microsoft.com/office/drawing/2014/chart" uri="{C3380CC4-5D6E-409C-BE32-E72D297353CC}">
                <c16:uniqueId val="{00000006-5DA6-48CF-8637-7EDA47E4A9E6}"/>
              </c:ext>
            </c:extLst>
          </c:dPt>
          <c:dPt>
            <c:idx val="1"/>
            <c:marker>
              <c:symbol val="circle"/>
              <c:size val="10"/>
              <c:spPr>
                <a:solidFill>
                  <a:srgbClr val="FF00FF"/>
                </a:solidFill>
                <a:ln w="9525">
                  <a:noFill/>
                </a:ln>
                <a:effectLst>
                  <a:outerShdw blurRad="50800" dist="38100" dir="5400000" algn="t" rotWithShape="0">
                    <a:prstClr val="black">
                      <a:alpha val="40000"/>
                    </a:prstClr>
                  </a:outerShdw>
                </a:effectLst>
              </c:spPr>
            </c:marker>
            <c:bubble3D val="0"/>
            <c:extLst>
              <c:ext xmlns:c16="http://schemas.microsoft.com/office/drawing/2014/chart" uri="{C3380CC4-5D6E-409C-BE32-E72D297353CC}">
                <c16:uniqueId val="{00000007-5DA6-48CF-8637-7EDA47E4A9E6}"/>
              </c:ext>
            </c:extLst>
          </c:dPt>
          <c:dPt>
            <c:idx val="2"/>
            <c:marker>
              <c:symbol val="circle"/>
              <c:size val="10"/>
              <c:spPr>
                <a:solidFill>
                  <a:srgbClr val="782BDB"/>
                </a:solidFill>
                <a:ln w="9525">
                  <a:noFill/>
                </a:ln>
                <a:effectLst>
                  <a:outerShdw blurRad="50800" dist="38100" dir="5400000" algn="t" rotWithShape="0">
                    <a:prstClr val="black">
                      <a:alpha val="40000"/>
                    </a:prstClr>
                  </a:outerShdw>
                </a:effectLst>
              </c:spPr>
            </c:marker>
            <c:bubble3D val="0"/>
            <c:extLst>
              <c:ext xmlns:c16="http://schemas.microsoft.com/office/drawing/2014/chart" uri="{C3380CC4-5D6E-409C-BE32-E72D297353CC}">
                <c16:uniqueId val="{00000008-5DA6-48CF-8637-7EDA47E4A9E6}"/>
              </c:ext>
            </c:extLst>
          </c:dPt>
          <c:xVal>
            <c:numRef>
              <c:f>Processing!$T$2:$T$4</c:f>
              <c:numCache>
                <c:formatCode>General</c:formatCode>
                <c:ptCount val="3"/>
                <c:pt idx="0">
                  <c:v>5</c:v>
                </c:pt>
                <c:pt idx="1">
                  <c:v>5</c:v>
                </c:pt>
                <c:pt idx="2">
                  <c:v>5</c:v>
                </c:pt>
              </c:numCache>
            </c:numRef>
          </c:xVal>
          <c:yVal>
            <c:numRef>
              <c:f>Processing!$S$2:$S$4</c:f>
              <c:numCache>
                <c:formatCode>General</c:formatCode>
                <c:ptCount val="3"/>
                <c:pt idx="0">
                  <c:v>1544</c:v>
                </c:pt>
                <c:pt idx="1">
                  <c:v>3474</c:v>
                </c:pt>
                <c:pt idx="2">
                  <c:v>4743</c:v>
                </c:pt>
              </c:numCache>
            </c:numRef>
          </c:yVal>
          <c:smooth val="0"/>
          <c:extLst>
            <c:ext xmlns:c16="http://schemas.microsoft.com/office/drawing/2014/chart" uri="{C3380CC4-5D6E-409C-BE32-E72D297353CC}">
              <c16:uniqueId val="{00000009-5DA6-48CF-8637-7EDA47E4A9E6}"/>
            </c:ext>
          </c:extLst>
        </c:ser>
        <c:dLbls>
          <c:showLegendKey val="0"/>
          <c:showVal val="0"/>
          <c:showCatName val="0"/>
          <c:showSerName val="0"/>
          <c:showPercent val="0"/>
          <c:showBubbleSize val="0"/>
        </c:dLbls>
        <c:axId val="276672255"/>
        <c:axId val="276652095"/>
      </c:scatterChart>
      <c:catAx>
        <c:axId val="276672255"/>
        <c:scaling>
          <c:orientation val="minMax"/>
        </c:scaling>
        <c:delete val="1"/>
        <c:axPos val="b"/>
        <c:numFmt formatCode="General" sourceLinked="1"/>
        <c:majorTickMark val="out"/>
        <c:minorTickMark val="none"/>
        <c:tickLblPos val="nextTo"/>
        <c:crossAx val="276652095"/>
        <c:crosses val="autoZero"/>
        <c:auto val="1"/>
        <c:lblAlgn val="ctr"/>
        <c:lblOffset val="100"/>
        <c:noMultiLvlLbl val="0"/>
      </c:catAx>
      <c:valAx>
        <c:axId val="276652095"/>
        <c:scaling>
          <c:orientation val="minMax"/>
        </c:scaling>
        <c:delete val="1"/>
        <c:axPos val="l"/>
        <c:numFmt formatCode="General" sourceLinked="1"/>
        <c:majorTickMark val="none"/>
        <c:minorTickMark val="none"/>
        <c:tickLblPos val="nextTo"/>
        <c:crossAx val="27667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6337-4F3F-8E74-E874C2BC4D35}"/>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6337-4F3F-8E74-E874C2BC4D35}"/>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6337-4F3F-8E74-E874C2BC4D35}"/>
              </c:ext>
            </c:extLst>
          </c:dPt>
          <c:val>
            <c:numRef>
              <c:f>Processing!$M$18:$M$20</c:f>
              <c:numCache>
                <c:formatCode>0%</c:formatCode>
                <c:ptCount val="3"/>
                <c:pt idx="0">
                  <c:v>0.05</c:v>
                </c:pt>
                <c:pt idx="1">
                  <c:v>0.05</c:v>
                </c:pt>
                <c:pt idx="2">
                  <c:v>0.05</c:v>
                </c:pt>
              </c:numCache>
            </c:numRef>
          </c:val>
          <c:extLst>
            <c:ext xmlns:c16="http://schemas.microsoft.com/office/drawing/2014/chart" uri="{C3380CC4-5D6E-409C-BE32-E72D297353CC}">
              <c16:uniqueId val="{00000006-6337-4F3F-8E74-E874C2BC4D35}"/>
            </c:ext>
          </c:extLst>
        </c:ser>
        <c:ser>
          <c:idx val="1"/>
          <c:order val="1"/>
          <c:spPr>
            <a:solidFill>
              <a:schemeClr val="accent2"/>
            </a:solidFill>
            <a:ln>
              <a:noFill/>
            </a:ln>
            <a:effectLst/>
          </c:spPr>
          <c:invertIfNegative val="0"/>
          <c:dPt>
            <c:idx val="0"/>
            <c:invertIfNegative val="0"/>
            <c:bubble3D val="0"/>
            <c:spPr>
              <a:gradFill>
                <a:gsLst>
                  <a:gs pos="0">
                    <a:srgbClr val="782BDB"/>
                  </a:gs>
                  <a:gs pos="100000">
                    <a:srgbClr val="FF00FF"/>
                  </a:gs>
                </a:gsLst>
                <a:lin ang="0" scaled="0"/>
              </a:gradFill>
              <a:ln>
                <a:noFill/>
              </a:ln>
              <a:effectLst/>
            </c:spPr>
            <c:extLst>
              <c:ext xmlns:c16="http://schemas.microsoft.com/office/drawing/2014/chart" uri="{C3380CC4-5D6E-409C-BE32-E72D297353CC}">
                <c16:uniqueId val="{00000008-6337-4F3F-8E74-E874C2BC4D35}"/>
              </c:ext>
            </c:extLst>
          </c:dPt>
          <c:dPt>
            <c:idx val="1"/>
            <c:invertIfNegative val="0"/>
            <c:bubble3D val="0"/>
            <c:spPr>
              <a:gradFill>
                <a:gsLst>
                  <a:gs pos="0">
                    <a:srgbClr val="29D85F"/>
                  </a:gs>
                  <a:gs pos="100000">
                    <a:srgbClr val="09DBAC"/>
                  </a:gs>
                </a:gsLst>
                <a:lin ang="0" scaled="0"/>
              </a:gradFill>
              <a:ln>
                <a:noFill/>
              </a:ln>
              <a:effectLst/>
            </c:spPr>
            <c:extLst>
              <c:ext xmlns:c16="http://schemas.microsoft.com/office/drawing/2014/chart" uri="{C3380CC4-5D6E-409C-BE32-E72D297353CC}">
                <c16:uniqueId val="{0000000A-6337-4F3F-8E74-E874C2BC4D35}"/>
              </c:ext>
            </c:extLst>
          </c:dPt>
          <c:dPt>
            <c:idx val="2"/>
            <c:invertIfNegative val="0"/>
            <c:bubble3D val="0"/>
            <c:spPr>
              <a:gradFill>
                <a:gsLst>
                  <a:gs pos="100000">
                    <a:srgbClr val="F85C23"/>
                  </a:gs>
                  <a:gs pos="0">
                    <a:srgbClr val="D11792"/>
                  </a:gs>
                </a:gsLst>
                <a:lin ang="0" scaled="0"/>
              </a:gradFill>
              <a:ln>
                <a:noFill/>
              </a:ln>
              <a:effectLst/>
            </c:spPr>
            <c:extLst>
              <c:ext xmlns:c16="http://schemas.microsoft.com/office/drawing/2014/chart" uri="{C3380CC4-5D6E-409C-BE32-E72D297353CC}">
                <c16:uniqueId val="{0000000C-6337-4F3F-8E74-E874C2BC4D35}"/>
              </c:ext>
            </c:extLst>
          </c:dPt>
          <c:val>
            <c:numRef>
              <c:f>Processing!$N$18:$N$20</c:f>
              <c:numCache>
                <c:formatCode>0%</c:formatCode>
                <c:ptCount val="3"/>
                <c:pt idx="0">
                  <c:v>0.59561643835616429</c:v>
                </c:pt>
                <c:pt idx="1">
                  <c:v>0.58850843835616429</c:v>
                </c:pt>
                <c:pt idx="2">
                  <c:v>0.52975342465753461</c:v>
                </c:pt>
              </c:numCache>
            </c:numRef>
          </c:val>
          <c:extLst>
            <c:ext xmlns:c16="http://schemas.microsoft.com/office/drawing/2014/chart" uri="{C3380CC4-5D6E-409C-BE32-E72D297353CC}">
              <c16:uniqueId val="{0000000D-6337-4F3F-8E74-E874C2BC4D35}"/>
            </c:ext>
          </c:extLst>
        </c:ser>
        <c:ser>
          <c:idx val="2"/>
          <c:order val="2"/>
          <c:spPr>
            <a:solidFill>
              <a:schemeClr val="accent3"/>
            </a:solid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F-6337-4F3F-8E74-E874C2BC4D35}"/>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11-6337-4F3F-8E74-E874C2BC4D35}"/>
              </c:ext>
            </c:extLst>
          </c:dPt>
          <c:dPt>
            <c:idx val="2"/>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13-6337-4F3F-8E74-E874C2BC4D35}"/>
              </c:ext>
            </c:extLst>
          </c:dPt>
          <c:val>
            <c:numRef>
              <c:f>Processing!$O$18:$O$20</c:f>
              <c:numCache>
                <c:formatCode>0%</c:formatCode>
                <c:ptCount val="3"/>
                <c:pt idx="0">
                  <c:v>0.05</c:v>
                </c:pt>
                <c:pt idx="1">
                  <c:v>0.05</c:v>
                </c:pt>
                <c:pt idx="2">
                  <c:v>0.05</c:v>
                </c:pt>
              </c:numCache>
            </c:numRef>
          </c:val>
          <c:extLst>
            <c:ext xmlns:c16="http://schemas.microsoft.com/office/drawing/2014/chart" uri="{C3380CC4-5D6E-409C-BE32-E72D297353CC}">
              <c16:uniqueId val="{00000014-6337-4F3F-8E74-E874C2BC4D35}"/>
            </c:ext>
          </c:extLst>
        </c:ser>
        <c:ser>
          <c:idx val="3"/>
          <c:order val="3"/>
          <c:spPr>
            <a:noFill/>
            <a:ln>
              <a:noFill/>
            </a:ln>
            <a:effectLst/>
          </c:spPr>
          <c:invertIfNegative val="0"/>
          <c:val>
            <c:numRef>
              <c:f>Processing!$P$18:$P$20</c:f>
              <c:numCache>
                <c:formatCode>0.00%</c:formatCode>
                <c:ptCount val="3"/>
                <c:pt idx="0">
                  <c:v>0.40438356164383571</c:v>
                </c:pt>
                <c:pt idx="1">
                  <c:v>0.41149156164383571</c:v>
                </c:pt>
                <c:pt idx="2">
                  <c:v>0.47024657534246539</c:v>
                </c:pt>
              </c:numCache>
            </c:numRef>
          </c:val>
          <c:extLst>
            <c:ext xmlns:c16="http://schemas.microsoft.com/office/drawing/2014/chart" uri="{C3380CC4-5D6E-409C-BE32-E72D297353CC}">
              <c16:uniqueId val="{00000015-6337-4F3F-8E74-E874C2BC4D35}"/>
            </c:ext>
          </c:extLst>
        </c:ser>
        <c:dLbls>
          <c:showLegendKey val="0"/>
          <c:showVal val="0"/>
          <c:showCatName val="0"/>
          <c:showSerName val="0"/>
          <c:showPercent val="0"/>
          <c:showBubbleSize val="0"/>
        </c:dLbls>
        <c:gapWidth val="150"/>
        <c:overlap val="100"/>
        <c:axId val="640958687"/>
        <c:axId val="640959167"/>
      </c:barChart>
      <c:catAx>
        <c:axId val="640958687"/>
        <c:scaling>
          <c:orientation val="maxMin"/>
        </c:scaling>
        <c:delete val="1"/>
        <c:axPos val="l"/>
        <c:majorTickMark val="out"/>
        <c:minorTickMark val="none"/>
        <c:tickLblPos val="nextTo"/>
        <c:crossAx val="640959167"/>
        <c:crosses val="autoZero"/>
        <c:auto val="1"/>
        <c:lblAlgn val="ctr"/>
        <c:lblOffset val="100"/>
        <c:noMultiLvlLbl val="0"/>
      </c:catAx>
      <c:valAx>
        <c:axId val="640959167"/>
        <c:scaling>
          <c:orientation val="minMax"/>
          <c:max val="1.2"/>
          <c:min val="0"/>
        </c:scaling>
        <c:delete val="1"/>
        <c:axPos val="t"/>
        <c:numFmt formatCode="0%" sourceLinked="1"/>
        <c:majorTickMark val="out"/>
        <c:minorTickMark val="none"/>
        <c:tickLblPos val="nextTo"/>
        <c:crossAx val="64095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Processing!$L$1</c:f>
              <c:strCache>
                <c:ptCount val="1"/>
                <c:pt idx="0">
                  <c:v>Rang 3</c:v>
                </c:pt>
              </c:strCache>
            </c:strRef>
          </c:tx>
          <c:spPr>
            <a:gradFill>
              <a:gsLst>
                <a:gs pos="0">
                  <a:srgbClr val="6AEDEB">
                    <a:alpha val="70000"/>
                  </a:srgbClr>
                </a:gs>
                <a:gs pos="100000">
                  <a:schemeClr val="tx1">
                    <a:alpha val="0"/>
                  </a:schemeClr>
                </a:gs>
              </a:gsLst>
              <a:lin ang="5400000" scaled="1"/>
            </a:gradFill>
            <a:ln>
              <a:noFill/>
            </a:ln>
            <a:effectLst/>
          </c:spPr>
          <c:cat>
            <c:strRef>
              <c:f>Processing!$K$2:$K$10</c:f>
              <c:strCache>
                <c:ptCount val="9"/>
                <c:pt idx="0">
                  <c:v>start</c:v>
                </c:pt>
                <c:pt idx="1">
                  <c:v>Sunday</c:v>
                </c:pt>
                <c:pt idx="2">
                  <c:v>Monday</c:v>
                </c:pt>
                <c:pt idx="3">
                  <c:v>Tuesday</c:v>
                </c:pt>
                <c:pt idx="4">
                  <c:v>Wednesday</c:v>
                </c:pt>
                <c:pt idx="5">
                  <c:v>Thursday</c:v>
                </c:pt>
                <c:pt idx="6">
                  <c:v>Friday</c:v>
                </c:pt>
                <c:pt idx="7">
                  <c:v>Saturday</c:v>
                </c:pt>
                <c:pt idx="8">
                  <c:v>end</c:v>
                </c:pt>
              </c:strCache>
            </c:strRef>
          </c:cat>
          <c:val>
            <c:numRef>
              <c:f>Processing!$L$2:$L$10</c:f>
              <c:numCache>
                <c:formatCode>General</c:formatCode>
                <c:ptCount val="9"/>
                <c:pt idx="0">
                  <c:v>941.33333333333337</c:v>
                </c:pt>
                <c:pt idx="1">
                  <c:v>1412</c:v>
                </c:pt>
                <c:pt idx="2">
                  <c:v>1489</c:v>
                </c:pt>
                <c:pt idx="3">
                  <c:v>1397</c:v>
                </c:pt>
                <c:pt idx="4">
                  <c:v>1544</c:v>
                </c:pt>
                <c:pt idx="5">
                  <c:v>1528</c:v>
                </c:pt>
                <c:pt idx="6">
                  <c:v>1486</c:v>
                </c:pt>
                <c:pt idx="7">
                  <c:v>1405</c:v>
                </c:pt>
                <c:pt idx="8">
                  <c:v>936.66666666666663</c:v>
                </c:pt>
              </c:numCache>
            </c:numRef>
          </c:val>
          <c:extLst>
            <c:ext xmlns:c16="http://schemas.microsoft.com/office/drawing/2014/chart" uri="{C3380CC4-5D6E-409C-BE32-E72D297353CC}">
              <c16:uniqueId val="{00000000-8FEF-493F-9021-2FF0D5822ADA}"/>
            </c:ext>
          </c:extLst>
        </c:ser>
        <c:ser>
          <c:idx val="1"/>
          <c:order val="1"/>
          <c:tx>
            <c:strRef>
              <c:f>Processing!$M$1</c:f>
              <c:strCache>
                <c:ptCount val="1"/>
                <c:pt idx="0">
                  <c:v>Rang 2</c:v>
                </c:pt>
              </c:strCache>
            </c:strRef>
          </c:tx>
          <c:spPr>
            <a:gradFill>
              <a:gsLst>
                <a:gs pos="0">
                  <a:srgbClr val="FF00FF">
                    <a:alpha val="70000"/>
                  </a:srgbClr>
                </a:gs>
                <a:gs pos="100000">
                  <a:schemeClr val="tx1">
                    <a:alpha val="0"/>
                  </a:schemeClr>
                </a:gs>
              </a:gsLst>
              <a:lin ang="5400000" scaled="1"/>
            </a:gradFill>
            <a:ln>
              <a:noFill/>
            </a:ln>
            <a:effectLst/>
          </c:spPr>
          <c:cat>
            <c:strRef>
              <c:f>Processing!$K$2:$K$10</c:f>
              <c:strCache>
                <c:ptCount val="9"/>
                <c:pt idx="0">
                  <c:v>start</c:v>
                </c:pt>
                <c:pt idx="1">
                  <c:v>Sunday</c:v>
                </c:pt>
                <c:pt idx="2">
                  <c:v>Monday</c:v>
                </c:pt>
                <c:pt idx="3">
                  <c:v>Tuesday</c:v>
                </c:pt>
                <c:pt idx="4">
                  <c:v>Wednesday</c:v>
                </c:pt>
                <c:pt idx="5">
                  <c:v>Thursday</c:v>
                </c:pt>
                <c:pt idx="6">
                  <c:v>Friday</c:v>
                </c:pt>
                <c:pt idx="7">
                  <c:v>Saturday</c:v>
                </c:pt>
                <c:pt idx="8">
                  <c:v>end</c:v>
                </c:pt>
              </c:strCache>
            </c:strRef>
          </c:cat>
          <c:val>
            <c:numRef>
              <c:f>Processing!$M$2:$M$10</c:f>
              <c:numCache>
                <c:formatCode>General</c:formatCode>
                <c:ptCount val="9"/>
                <c:pt idx="0">
                  <c:v>2235.3333333333335</c:v>
                </c:pt>
                <c:pt idx="1">
                  <c:v>3353</c:v>
                </c:pt>
                <c:pt idx="2">
                  <c:v>3440</c:v>
                </c:pt>
                <c:pt idx="3">
                  <c:v>3422</c:v>
                </c:pt>
                <c:pt idx="4">
                  <c:v>3474</c:v>
                </c:pt>
                <c:pt idx="5">
                  <c:v>3267</c:v>
                </c:pt>
                <c:pt idx="6">
                  <c:v>3382</c:v>
                </c:pt>
                <c:pt idx="7">
                  <c:v>3397</c:v>
                </c:pt>
                <c:pt idx="8">
                  <c:v>2264.6666666666665</c:v>
                </c:pt>
              </c:numCache>
            </c:numRef>
          </c:val>
          <c:extLst>
            <c:ext xmlns:c16="http://schemas.microsoft.com/office/drawing/2014/chart" uri="{C3380CC4-5D6E-409C-BE32-E72D297353CC}">
              <c16:uniqueId val="{00000001-8FEF-493F-9021-2FF0D5822ADA}"/>
            </c:ext>
          </c:extLst>
        </c:ser>
        <c:ser>
          <c:idx val="2"/>
          <c:order val="2"/>
          <c:tx>
            <c:strRef>
              <c:f>Processing!$N$1</c:f>
              <c:strCache>
                <c:ptCount val="1"/>
                <c:pt idx="0">
                  <c:v>Rang 1</c:v>
                </c:pt>
              </c:strCache>
            </c:strRef>
          </c:tx>
          <c:spPr>
            <a:gradFill>
              <a:gsLst>
                <a:gs pos="0">
                  <a:srgbClr val="782BDB">
                    <a:alpha val="70000"/>
                  </a:srgbClr>
                </a:gs>
                <a:gs pos="100000">
                  <a:schemeClr val="tx1">
                    <a:alpha val="0"/>
                  </a:schemeClr>
                </a:gs>
              </a:gsLst>
              <a:lin ang="5400000" scaled="1"/>
            </a:gradFill>
            <a:ln>
              <a:noFill/>
            </a:ln>
            <a:effectLst/>
          </c:spPr>
          <c:cat>
            <c:strRef>
              <c:f>Processing!$K$2:$K$10</c:f>
              <c:strCache>
                <c:ptCount val="9"/>
                <c:pt idx="0">
                  <c:v>start</c:v>
                </c:pt>
                <c:pt idx="1">
                  <c:v>Sunday</c:v>
                </c:pt>
                <c:pt idx="2">
                  <c:v>Monday</c:v>
                </c:pt>
                <c:pt idx="3">
                  <c:v>Tuesday</c:v>
                </c:pt>
                <c:pt idx="4">
                  <c:v>Wednesday</c:v>
                </c:pt>
                <c:pt idx="5">
                  <c:v>Thursday</c:v>
                </c:pt>
                <c:pt idx="6">
                  <c:v>Friday</c:v>
                </c:pt>
                <c:pt idx="7">
                  <c:v>Saturday</c:v>
                </c:pt>
                <c:pt idx="8">
                  <c:v>end</c:v>
                </c:pt>
              </c:strCache>
            </c:strRef>
          </c:cat>
          <c:val>
            <c:numRef>
              <c:f>Processing!$N$2:$N$10</c:f>
              <c:numCache>
                <c:formatCode>General</c:formatCode>
                <c:ptCount val="9"/>
                <c:pt idx="0">
                  <c:v>3056.6666666666665</c:v>
                </c:pt>
                <c:pt idx="1">
                  <c:v>4585</c:v>
                </c:pt>
                <c:pt idx="2">
                  <c:v>4651</c:v>
                </c:pt>
                <c:pt idx="3">
                  <c:v>4645</c:v>
                </c:pt>
                <c:pt idx="4">
                  <c:v>4743</c:v>
                </c:pt>
                <c:pt idx="5">
                  <c:v>4571</c:v>
                </c:pt>
                <c:pt idx="6">
                  <c:v>4614</c:v>
                </c:pt>
                <c:pt idx="7">
                  <c:v>4686</c:v>
                </c:pt>
                <c:pt idx="8">
                  <c:v>3124</c:v>
                </c:pt>
              </c:numCache>
            </c:numRef>
          </c:val>
          <c:extLst>
            <c:ext xmlns:c16="http://schemas.microsoft.com/office/drawing/2014/chart" uri="{C3380CC4-5D6E-409C-BE32-E72D297353CC}">
              <c16:uniqueId val="{00000002-8FEF-493F-9021-2FF0D5822ADA}"/>
            </c:ext>
          </c:extLst>
        </c:ser>
        <c:dLbls>
          <c:showLegendKey val="0"/>
          <c:showVal val="0"/>
          <c:showCatName val="0"/>
          <c:showSerName val="0"/>
          <c:showPercent val="0"/>
          <c:showBubbleSize val="0"/>
        </c:dLbls>
        <c:axId val="276672255"/>
        <c:axId val="276652095"/>
      </c:areaChart>
      <c:lineChart>
        <c:grouping val="standard"/>
        <c:varyColors val="0"/>
        <c:ser>
          <c:idx val="3"/>
          <c:order val="3"/>
          <c:tx>
            <c:v>Line1</c:v>
          </c:tx>
          <c:spPr>
            <a:ln w="38100" cap="rnd">
              <a:solidFill>
                <a:srgbClr val="6AEDEB"/>
              </a:solidFill>
              <a:round/>
            </a:ln>
            <a:effectLst>
              <a:outerShdw blurRad="50800" dist="38100" dir="5400000" algn="t" rotWithShape="0">
                <a:prstClr val="black">
                  <a:alpha val="40000"/>
                </a:prstClr>
              </a:outerShdw>
            </a:effectLst>
          </c:spPr>
          <c:marker>
            <c:symbol val="none"/>
          </c:marker>
          <c:val>
            <c:numRef>
              <c:f>Processing!$L$2:$L$10</c:f>
              <c:numCache>
                <c:formatCode>General</c:formatCode>
                <c:ptCount val="9"/>
                <c:pt idx="0">
                  <c:v>941.33333333333337</c:v>
                </c:pt>
                <c:pt idx="1">
                  <c:v>1412</c:v>
                </c:pt>
                <c:pt idx="2">
                  <c:v>1489</c:v>
                </c:pt>
                <c:pt idx="3">
                  <c:v>1397</c:v>
                </c:pt>
                <c:pt idx="4">
                  <c:v>1544</c:v>
                </c:pt>
                <c:pt idx="5">
                  <c:v>1528</c:v>
                </c:pt>
                <c:pt idx="6">
                  <c:v>1486</c:v>
                </c:pt>
                <c:pt idx="7">
                  <c:v>1405</c:v>
                </c:pt>
                <c:pt idx="8">
                  <c:v>936.66666666666663</c:v>
                </c:pt>
              </c:numCache>
            </c:numRef>
          </c:val>
          <c:smooth val="1"/>
          <c:extLst>
            <c:ext xmlns:c16="http://schemas.microsoft.com/office/drawing/2014/chart" uri="{C3380CC4-5D6E-409C-BE32-E72D297353CC}">
              <c16:uniqueId val="{00000003-8FEF-493F-9021-2FF0D5822ADA}"/>
            </c:ext>
          </c:extLst>
        </c:ser>
        <c:ser>
          <c:idx val="4"/>
          <c:order val="4"/>
          <c:tx>
            <c:v>Line2</c:v>
          </c:tx>
          <c:spPr>
            <a:ln w="38100" cap="rnd">
              <a:solidFill>
                <a:srgbClr val="FF00FF"/>
              </a:solidFill>
              <a:round/>
            </a:ln>
            <a:effectLst>
              <a:outerShdw blurRad="50800" dist="38100" dir="5400000" algn="t" rotWithShape="0">
                <a:prstClr val="black">
                  <a:alpha val="40000"/>
                </a:prstClr>
              </a:outerShdw>
            </a:effectLst>
          </c:spPr>
          <c:marker>
            <c:symbol val="none"/>
          </c:marker>
          <c:val>
            <c:numRef>
              <c:f>Processing!$M$2:$M$10</c:f>
              <c:numCache>
                <c:formatCode>General</c:formatCode>
                <c:ptCount val="9"/>
                <c:pt idx="0">
                  <c:v>2235.3333333333335</c:v>
                </c:pt>
                <c:pt idx="1">
                  <c:v>3353</c:v>
                </c:pt>
                <c:pt idx="2">
                  <c:v>3440</c:v>
                </c:pt>
                <c:pt idx="3">
                  <c:v>3422</c:v>
                </c:pt>
                <c:pt idx="4">
                  <c:v>3474</c:v>
                </c:pt>
                <c:pt idx="5">
                  <c:v>3267</c:v>
                </c:pt>
                <c:pt idx="6">
                  <c:v>3382</c:v>
                </c:pt>
                <c:pt idx="7">
                  <c:v>3397</c:v>
                </c:pt>
                <c:pt idx="8">
                  <c:v>2264.6666666666665</c:v>
                </c:pt>
              </c:numCache>
            </c:numRef>
          </c:val>
          <c:smooth val="1"/>
          <c:extLst>
            <c:ext xmlns:c16="http://schemas.microsoft.com/office/drawing/2014/chart" uri="{C3380CC4-5D6E-409C-BE32-E72D297353CC}">
              <c16:uniqueId val="{00000004-8FEF-493F-9021-2FF0D5822ADA}"/>
            </c:ext>
          </c:extLst>
        </c:ser>
        <c:ser>
          <c:idx val="5"/>
          <c:order val="5"/>
          <c:tx>
            <c:v>Line3</c:v>
          </c:tx>
          <c:spPr>
            <a:ln w="38100" cap="rnd">
              <a:solidFill>
                <a:srgbClr val="782BDB"/>
              </a:solidFill>
              <a:round/>
            </a:ln>
            <a:effectLst>
              <a:outerShdw blurRad="50800" dist="38100" dir="5400000" algn="t" rotWithShape="0">
                <a:prstClr val="black">
                  <a:alpha val="40000"/>
                </a:prstClr>
              </a:outerShdw>
            </a:effectLst>
          </c:spPr>
          <c:marker>
            <c:symbol val="none"/>
          </c:marker>
          <c:val>
            <c:numRef>
              <c:f>Processing!$N$2:$N$10</c:f>
              <c:numCache>
                <c:formatCode>General</c:formatCode>
                <c:ptCount val="9"/>
                <c:pt idx="0">
                  <c:v>3056.6666666666665</c:v>
                </c:pt>
                <c:pt idx="1">
                  <c:v>4585</c:v>
                </c:pt>
                <c:pt idx="2">
                  <c:v>4651</c:v>
                </c:pt>
                <c:pt idx="3">
                  <c:v>4645</c:v>
                </c:pt>
                <c:pt idx="4">
                  <c:v>4743</c:v>
                </c:pt>
                <c:pt idx="5">
                  <c:v>4571</c:v>
                </c:pt>
                <c:pt idx="6">
                  <c:v>4614</c:v>
                </c:pt>
                <c:pt idx="7">
                  <c:v>4686</c:v>
                </c:pt>
                <c:pt idx="8">
                  <c:v>3124</c:v>
                </c:pt>
              </c:numCache>
            </c:numRef>
          </c:val>
          <c:smooth val="1"/>
          <c:extLst>
            <c:ext xmlns:c16="http://schemas.microsoft.com/office/drawing/2014/chart" uri="{C3380CC4-5D6E-409C-BE32-E72D297353CC}">
              <c16:uniqueId val="{00000005-8FEF-493F-9021-2FF0D5822ADA}"/>
            </c:ext>
          </c:extLst>
        </c:ser>
        <c:dLbls>
          <c:showLegendKey val="0"/>
          <c:showVal val="0"/>
          <c:showCatName val="0"/>
          <c:showSerName val="0"/>
          <c:showPercent val="0"/>
          <c:showBubbleSize val="0"/>
        </c:dLbls>
        <c:marker val="1"/>
        <c:smooth val="0"/>
        <c:axId val="276672255"/>
        <c:axId val="276652095"/>
      </c:lineChart>
      <c:scatterChart>
        <c:scatterStyle val="lineMarker"/>
        <c:varyColors val="0"/>
        <c:ser>
          <c:idx val="6"/>
          <c:order val="6"/>
          <c:tx>
            <c:v>Cur1</c:v>
          </c:tx>
          <c:spPr>
            <a:ln w="25400" cap="rnd">
              <a:noFill/>
              <a:round/>
            </a:ln>
            <a:effectLst>
              <a:outerShdw blurRad="50800" dist="38100" dir="5400000" algn="t" rotWithShape="0">
                <a:prstClr val="black">
                  <a:alpha val="40000"/>
                </a:prstClr>
              </a:outerShdw>
            </a:effectLst>
          </c:spPr>
          <c:marker>
            <c:symbol val="circle"/>
            <c:size val="10"/>
            <c:spPr>
              <a:solidFill>
                <a:srgbClr val="6AEDEB"/>
              </a:solidFill>
              <a:ln w="9525">
                <a:noFill/>
              </a:ln>
              <a:effectLst>
                <a:outerShdw blurRad="50800" dist="38100" dir="5400000" algn="t" rotWithShape="0">
                  <a:prstClr val="black">
                    <a:alpha val="40000"/>
                  </a:prstClr>
                </a:outerShdw>
              </a:effectLst>
            </c:spPr>
          </c:marker>
          <c:xVal>
            <c:numRef>
              <c:f>Processing!$J$2:$J$10</c:f>
              <c:numCache>
                <c:formatCode>General</c:formatCode>
                <c:ptCount val="9"/>
                <c:pt idx="0">
                  <c:v>1</c:v>
                </c:pt>
                <c:pt idx="1">
                  <c:v>2</c:v>
                </c:pt>
                <c:pt idx="2">
                  <c:v>3</c:v>
                </c:pt>
                <c:pt idx="3">
                  <c:v>4</c:v>
                </c:pt>
                <c:pt idx="4">
                  <c:v>5</c:v>
                </c:pt>
                <c:pt idx="5">
                  <c:v>6</c:v>
                </c:pt>
                <c:pt idx="6">
                  <c:v>7</c:v>
                </c:pt>
                <c:pt idx="7">
                  <c:v>8</c:v>
                </c:pt>
                <c:pt idx="8">
                  <c:v>9</c:v>
                </c:pt>
              </c:numCache>
            </c:numRef>
          </c:xVal>
          <c:yVal>
            <c:numRef>
              <c:f>Processing!$O$2:$O$10</c:f>
              <c:numCache>
                <c:formatCode>General</c:formatCode>
                <c:ptCount val="9"/>
                <c:pt idx="0">
                  <c:v>#N/A</c:v>
                </c:pt>
                <c:pt idx="1">
                  <c:v>1412</c:v>
                </c:pt>
                <c:pt idx="2">
                  <c:v>1489</c:v>
                </c:pt>
                <c:pt idx="3">
                  <c:v>1397</c:v>
                </c:pt>
                <c:pt idx="4">
                  <c:v>1544</c:v>
                </c:pt>
                <c:pt idx="5">
                  <c:v>1528</c:v>
                </c:pt>
                <c:pt idx="6">
                  <c:v>1486</c:v>
                </c:pt>
                <c:pt idx="7">
                  <c:v>1405</c:v>
                </c:pt>
                <c:pt idx="8">
                  <c:v>#N/A</c:v>
                </c:pt>
              </c:numCache>
            </c:numRef>
          </c:yVal>
          <c:smooth val="0"/>
          <c:extLst>
            <c:ext xmlns:c16="http://schemas.microsoft.com/office/drawing/2014/chart" uri="{C3380CC4-5D6E-409C-BE32-E72D297353CC}">
              <c16:uniqueId val="{00000009-8FEF-493F-9021-2FF0D5822ADA}"/>
            </c:ext>
          </c:extLst>
        </c:ser>
        <c:ser>
          <c:idx val="7"/>
          <c:order val="7"/>
          <c:tx>
            <c:v>Cur2</c:v>
          </c:tx>
          <c:spPr>
            <a:ln w="25400" cap="rnd">
              <a:noFill/>
              <a:round/>
            </a:ln>
            <a:effectLst>
              <a:outerShdw blurRad="50800" dist="38100" dir="5400000" algn="t" rotWithShape="0">
                <a:prstClr val="black">
                  <a:alpha val="40000"/>
                </a:prstClr>
              </a:outerShdw>
            </a:effectLst>
          </c:spPr>
          <c:marker>
            <c:symbol val="circle"/>
            <c:size val="10"/>
            <c:spPr>
              <a:solidFill>
                <a:srgbClr val="FF00FF"/>
              </a:solidFill>
              <a:ln w="9525">
                <a:noFill/>
              </a:ln>
              <a:effectLst>
                <a:outerShdw blurRad="50800" dist="38100" dir="5400000" algn="t" rotWithShape="0">
                  <a:prstClr val="black">
                    <a:alpha val="40000"/>
                  </a:prstClr>
                </a:outerShdw>
              </a:effectLst>
            </c:spPr>
          </c:marker>
          <c:xVal>
            <c:numRef>
              <c:f>Processing!$J$2:$J$10</c:f>
              <c:numCache>
                <c:formatCode>General</c:formatCode>
                <c:ptCount val="9"/>
                <c:pt idx="0">
                  <c:v>1</c:v>
                </c:pt>
                <c:pt idx="1">
                  <c:v>2</c:v>
                </c:pt>
                <c:pt idx="2">
                  <c:v>3</c:v>
                </c:pt>
                <c:pt idx="3">
                  <c:v>4</c:v>
                </c:pt>
                <c:pt idx="4">
                  <c:v>5</c:v>
                </c:pt>
                <c:pt idx="5">
                  <c:v>6</c:v>
                </c:pt>
                <c:pt idx="6">
                  <c:v>7</c:v>
                </c:pt>
                <c:pt idx="7">
                  <c:v>8</c:v>
                </c:pt>
                <c:pt idx="8">
                  <c:v>9</c:v>
                </c:pt>
              </c:numCache>
            </c:numRef>
          </c:xVal>
          <c:yVal>
            <c:numRef>
              <c:f>Processing!$P$2:$P$10</c:f>
              <c:numCache>
                <c:formatCode>General</c:formatCode>
                <c:ptCount val="9"/>
                <c:pt idx="0">
                  <c:v>#N/A</c:v>
                </c:pt>
                <c:pt idx="1">
                  <c:v>3353</c:v>
                </c:pt>
                <c:pt idx="2">
                  <c:v>3440</c:v>
                </c:pt>
                <c:pt idx="3">
                  <c:v>3422</c:v>
                </c:pt>
                <c:pt idx="4">
                  <c:v>3474</c:v>
                </c:pt>
                <c:pt idx="5">
                  <c:v>3267</c:v>
                </c:pt>
                <c:pt idx="6">
                  <c:v>3382</c:v>
                </c:pt>
                <c:pt idx="7">
                  <c:v>3397</c:v>
                </c:pt>
                <c:pt idx="8">
                  <c:v>#N/A</c:v>
                </c:pt>
              </c:numCache>
            </c:numRef>
          </c:yVal>
          <c:smooth val="0"/>
          <c:extLst>
            <c:ext xmlns:c16="http://schemas.microsoft.com/office/drawing/2014/chart" uri="{C3380CC4-5D6E-409C-BE32-E72D297353CC}">
              <c16:uniqueId val="{00000003-67B3-488C-B729-7EDD1B165D06}"/>
            </c:ext>
          </c:extLst>
        </c:ser>
        <c:ser>
          <c:idx val="8"/>
          <c:order val="8"/>
          <c:tx>
            <c:v>Cur3</c:v>
          </c:tx>
          <c:spPr>
            <a:ln w="25400" cap="rnd">
              <a:noFill/>
              <a:round/>
            </a:ln>
            <a:effectLst>
              <a:outerShdw blurRad="50800" dist="38100" dir="5400000" algn="t" rotWithShape="0">
                <a:prstClr val="black">
                  <a:alpha val="40000"/>
                </a:prstClr>
              </a:outerShdw>
            </a:effectLst>
          </c:spPr>
          <c:marker>
            <c:symbol val="circle"/>
            <c:size val="10"/>
            <c:spPr>
              <a:solidFill>
                <a:srgbClr val="782BDB"/>
              </a:solidFill>
              <a:ln w="9525">
                <a:noFill/>
              </a:ln>
              <a:effectLst>
                <a:outerShdw blurRad="50800" dist="38100" dir="5400000" algn="t" rotWithShape="0">
                  <a:prstClr val="black">
                    <a:alpha val="40000"/>
                  </a:prstClr>
                </a:outerShdw>
              </a:effectLst>
            </c:spPr>
          </c:marker>
          <c:xVal>
            <c:numRef>
              <c:f>Processing!$J$2:$J$10</c:f>
              <c:numCache>
                <c:formatCode>General</c:formatCode>
                <c:ptCount val="9"/>
                <c:pt idx="0">
                  <c:v>1</c:v>
                </c:pt>
                <c:pt idx="1">
                  <c:v>2</c:v>
                </c:pt>
                <c:pt idx="2">
                  <c:v>3</c:v>
                </c:pt>
                <c:pt idx="3">
                  <c:v>4</c:v>
                </c:pt>
                <c:pt idx="4">
                  <c:v>5</c:v>
                </c:pt>
                <c:pt idx="5">
                  <c:v>6</c:v>
                </c:pt>
                <c:pt idx="6">
                  <c:v>7</c:v>
                </c:pt>
                <c:pt idx="7">
                  <c:v>8</c:v>
                </c:pt>
                <c:pt idx="8">
                  <c:v>9</c:v>
                </c:pt>
              </c:numCache>
            </c:numRef>
          </c:xVal>
          <c:yVal>
            <c:numRef>
              <c:f>Processing!$Q$2:$Q$10</c:f>
              <c:numCache>
                <c:formatCode>General</c:formatCode>
                <c:ptCount val="9"/>
                <c:pt idx="0">
                  <c:v>#N/A</c:v>
                </c:pt>
                <c:pt idx="1">
                  <c:v>4585</c:v>
                </c:pt>
                <c:pt idx="2">
                  <c:v>4651</c:v>
                </c:pt>
                <c:pt idx="3">
                  <c:v>4645</c:v>
                </c:pt>
                <c:pt idx="4">
                  <c:v>4743</c:v>
                </c:pt>
                <c:pt idx="5">
                  <c:v>4571</c:v>
                </c:pt>
                <c:pt idx="6">
                  <c:v>4614</c:v>
                </c:pt>
                <c:pt idx="7">
                  <c:v>4686</c:v>
                </c:pt>
                <c:pt idx="8">
                  <c:v>#N/A</c:v>
                </c:pt>
              </c:numCache>
            </c:numRef>
          </c:yVal>
          <c:smooth val="0"/>
          <c:extLst>
            <c:ext xmlns:c16="http://schemas.microsoft.com/office/drawing/2014/chart" uri="{C3380CC4-5D6E-409C-BE32-E72D297353CC}">
              <c16:uniqueId val="{00000004-67B3-488C-B729-7EDD1B165D06}"/>
            </c:ext>
          </c:extLst>
        </c:ser>
        <c:dLbls>
          <c:showLegendKey val="0"/>
          <c:showVal val="0"/>
          <c:showCatName val="0"/>
          <c:showSerName val="0"/>
          <c:showPercent val="0"/>
          <c:showBubbleSize val="0"/>
        </c:dLbls>
        <c:axId val="276672255"/>
        <c:axId val="276652095"/>
      </c:scatterChart>
      <c:catAx>
        <c:axId val="276672255"/>
        <c:scaling>
          <c:orientation val="minMax"/>
        </c:scaling>
        <c:delete val="1"/>
        <c:axPos val="b"/>
        <c:numFmt formatCode="General" sourceLinked="1"/>
        <c:majorTickMark val="out"/>
        <c:minorTickMark val="none"/>
        <c:tickLblPos val="nextTo"/>
        <c:crossAx val="276652095"/>
        <c:crosses val="autoZero"/>
        <c:auto val="1"/>
        <c:lblAlgn val="ctr"/>
        <c:lblOffset val="100"/>
        <c:noMultiLvlLbl val="0"/>
      </c:catAx>
      <c:valAx>
        <c:axId val="276652095"/>
        <c:scaling>
          <c:orientation val="minMax"/>
        </c:scaling>
        <c:delete val="1"/>
        <c:axPos val="l"/>
        <c:numFmt formatCode="General" sourceLinked="1"/>
        <c:majorTickMark val="none"/>
        <c:minorTickMark val="none"/>
        <c:tickLblPos val="nextTo"/>
        <c:crossAx val="276672255"/>
        <c:crosses val="autoZero"/>
        <c:crossBetween val="between"/>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no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C264-4760-8AC0-2CB415C6E06F}"/>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C264-4760-8AC0-2CB415C6E06F}"/>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C264-4760-8AC0-2CB415C6E06F}"/>
              </c:ext>
            </c:extLst>
          </c:dPt>
          <c:val>
            <c:numRef>
              <c:f>Processing!$M$18:$M$20</c:f>
              <c:numCache>
                <c:formatCode>0%</c:formatCode>
                <c:ptCount val="3"/>
                <c:pt idx="0">
                  <c:v>0.05</c:v>
                </c:pt>
                <c:pt idx="1">
                  <c:v>0.05</c:v>
                </c:pt>
                <c:pt idx="2">
                  <c:v>0.05</c:v>
                </c:pt>
              </c:numCache>
            </c:numRef>
          </c:val>
          <c:extLst>
            <c:ext xmlns:c16="http://schemas.microsoft.com/office/drawing/2014/chart" uri="{C3380CC4-5D6E-409C-BE32-E72D297353CC}">
              <c16:uniqueId val="{00000006-C264-4760-8AC0-2CB415C6E06F}"/>
            </c:ext>
          </c:extLst>
        </c:ser>
        <c:ser>
          <c:idx val="1"/>
          <c:order val="1"/>
          <c:spPr>
            <a:solidFill>
              <a:schemeClr val="accent2"/>
            </a:solidFill>
            <a:ln>
              <a:noFill/>
            </a:ln>
            <a:effectLst/>
          </c:spPr>
          <c:invertIfNegative val="0"/>
          <c:dPt>
            <c:idx val="0"/>
            <c:invertIfNegative val="0"/>
            <c:bubble3D val="0"/>
            <c:spPr>
              <a:gradFill>
                <a:gsLst>
                  <a:gs pos="0">
                    <a:srgbClr val="782BDB"/>
                  </a:gs>
                  <a:gs pos="100000">
                    <a:srgbClr val="FF00FF"/>
                  </a:gs>
                </a:gsLst>
                <a:lin ang="0" scaled="0"/>
              </a:gradFill>
              <a:ln>
                <a:noFill/>
              </a:ln>
              <a:effectLst/>
            </c:spPr>
            <c:extLst>
              <c:ext xmlns:c16="http://schemas.microsoft.com/office/drawing/2014/chart" uri="{C3380CC4-5D6E-409C-BE32-E72D297353CC}">
                <c16:uniqueId val="{00000008-C264-4760-8AC0-2CB415C6E06F}"/>
              </c:ext>
            </c:extLst>
          </c:dPt>
          <c:dPt>
            <c:idx val="1"/>
            <c:invertIfNegative val="0"/>
            <c:bubble3D val="0"/>
            <c:spPr>
              <a:gradFill>
                <a:gsLst>
                  <a:gs pos="0">
                    <a:srgbClr val="29D85F"/>
                  </a:gs>
                  <a:gs pos="100000">
                    <a:srgbClr val="09DBAC"/>
                  </a:gs>
                </a:gsLst>
                <a:lin ang="0" scaled="0"/>
              </a:gradFill>
              <a:ln>
                <a:noFill/>
              </a:ln>
              <a:effectLst/>
            </c:spPr>
            <c:extLst>
              <c:ext xmlns:c16="http://schemas.microsoft.com/office/drawing/2014/chart" uri="{C3380CC4-5D6E-409C-BE32-E72D297353CC}">
                <c16:uniqueId val="{0000000A-C264-4760-8AC0-2CB415C6E06F}"/>
              </c:ext>
            </c:extLst>
          </c:dPt>
          <c:dPt>
            <c:idx val="2"/>
            <c:invertIfNegative val="0"/>
            <c:bubble3D val="0"/>
            <c:spPr>
              <a:gradFill>
                <a:gsLst>
                  <a:gs pos="100000">
                    <a:srgbClr val="F85C23"/>
                  </a:gs>
                  <a:gs pos="0">
                    <a:srgbClr val="D11792"/>
                  </a:gs>
                </a:gsLst>
                <a:lin ang="0" scaled="0"/>
              </a:gradFill>
              <a:ln>
                <a:noFill/>
              </a:ln>
              <a:effectLst/>
            </c:spPr>
            <c:extLst>
              <c:ext xmlns:c16="http://schemas.microsoft.com/office/drawing/2014/chart" uri="{C3380CC4-5D6E-409C-BE32-E72D297353CC}">
                <c16:uniqueId val="{0000000C-C264-4760-8AC0-2CB415C6E06F}"/>
              </c:ext>
            </c:extLst>
          </c:dPt>
          <c:val>
            <c:numRef>
              <c:f>Processing!$N$18:$N$20</c:f>
              <c:numCache>
                <c:formatCode>0%</c:formatCode>
                <c:ptCount val="3"/>
                <c:pt idx="0">
                  <c:v>0.59561643835616429</c:v>
                </c:pt>
                <c:pt idx="1">
                  <c:v>0.58850843835616429</c:v>
                </c:pt>
                <c:pt idx="2">
                  <c:v>0.52975342465753461</c:v>
                </c:pt>
              </c:numCache>
            </c:numRef>
          </c:val>
          <c:extLst>
            <c:ext xmlns:c16="http://schemas.microsoft.com/office/drawing/2014/chart" uri="{C3380CC4-5D6E-409C-BE32-E72D297353CC}">
              <c16:uniqueId val="{0000000D-C264-4760-8AC0-2CB415C6E06F}"/>
            </c:ext>
          </c:extLst>
        </c:ser>
        <c:ser>
          <c:idx val="2"/>
          <c:order val="2"/>
          <c:spPr>
            <a:solidFill>
              <a:schemeClr val="accent3"/>
            </a:solid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F-C264-4760-8AC0-2CB415C6E06F}"/>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11-C264-4760-8AC0-2CB415C6E06F}"/>
              </c:ext>
            </c:extLst>
          </c:dPt>
          <c:dPt>
            <c:idx val="2"/>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13-C264-4760-8AC0-2CB415C6E06F}"/>
              </c:ext>
            </c:extLst>
          </c:dPt>
          <c:val>
            <c:numRef>
              <c:f>Processing!$O$18:$O$20</c:f>
              <c:numCache>
                <c:formatCode>0%</c:formatCode>
                <c:ptCount val="3"/>
                <c:pt idx="0">
                  <c:v>0.05</c:v>
                </c:pt>
                <c:pt idx="1">
                  <c:v>0.05</c:v>
                </c:pt>
                <c:pt idx="2">
                  <c:v>0.05</c:v>
                </c:pt>
              </c:numCache>
            </c:numRef>
          </c:val>
          <c:extLst>
            <c:ext xmlns:c16="http://schemas.microsoft.com/office/drawing/2014/chart" uri="{C3380CC4-5D6E-409C-BE32-E72D297353CC}">
              <c16:uniqueId val="{00000014-C264-4760-8AC0-2CB415C6E06F}"/>
            </c:ext>
          </c:extLst>
        </c:ser>
        <c:ser>
          <c:idx val="3"/>
          <c:order val="3"/>
          <c:spPr>
            <a:noFill/>
            <a:ln>
              <a:noFill/>
            </a:ln>
            <a:effectLst/>
          </c:spPr>
          <c:invertIfNegative val="0"/>
          <c:val>
            <c:numRef>
              <c:f>Processing!$P$18:$P$20</c:f>
              <c:numCache>
                <c:formatCode>0.00%</c:formatCode>
                <c:ptCount val="3"/>
                <c:pt idx="0">
                  <c:v>0.40438356164383571</c:v>
                </c:pt>
                <c:pt idx="1">
                  <c:v>0.41149156164383571</c:v>
                </c:pt>
                <c:pt idx="2">
                  <c:v>0.47024657534246539</c:v>
                </c:pt>
              </c:numCache>
            </c:numRef>
          </c:val>
          <c:extLst>
            <c:ext xmlns:c16="http://schemas.microsoft.com/office/drawing/2014/chart" uri="{C3380CC4-5D6E-409C-BE32-E72D297353CC}">
              <c16:uniqueId val="{00000015-C264-4760-8AC0-2CB415C6E06F}"/>
            </c:ext>
          </c:extLst>
        </c:ser>
        <c:dLbls>
          <c:showLegendKey val="0"/>
          <c:showVal val="0"/>
          <c:showCatName val="0"/>
          <c:showSerName val="0"/>
          <c:showPercent val="0"/>
          <c:showBubbleSize val="0"/>
        </c:dLbls>
        <c:gapWidth val="150"/>
        <c:overlap val="100"/>
        <c:axId val="640958687"/>
        <c:axId val="640959167"/>
      </c:barChart>
      <c:catAx>
        <c:axId val="640958687"/>
        <c:scaling>
          <c:orientation val="maxMin"/>
        </c:scaling>
        <c:delete val="1"/>
        <c:axPos val="l"/>
        <c:majorTickMark val="out"/>
        <c:minorTickMark val="none"/>
        <c:tickLblPos val="nextTo"/>
        <c:crossAx val="640959167"/>
        <c:crosses val="autoZero"/>
        <c:auto val="1"/>
        <c:lblAlgn val="ctr"/>
        <c:lblOffset val="100"/>
        <c:noMultiLvlLbl val="0"/>
      </c:catAx>
      <c:valAx>
        <c:axId val="640959167"/>
        <c:scaling>
          <c:orientation val="minMax"/>
          <c:max val="1.2"/>
          <c:min val="0"/>
        </c:scaling>
        <c:delete val="1"/>
        <c:axPos val="t"/>
        <c:numFmt formatCode="0%" sourceLinked="1"/>
        <c:majorTickMark val="out"/>
        <c:minorTickMark val="none"/>
        <c:tickLblPos val="nextTo"/>
        <c:crossAx val="64095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DDAC-4ED3-8964-DE0B99AAC545}"/>
              </c:ext>
            </c:extLst>
          </c:dPt>
          <c:dPt>
            <c:idx val="1"/>
            <c:bubble3D val="0"/>
            <c:spPr>
              <a:gradFill flip="none" rotWithShape="1">
                <a:gsLst>
                  <a:gs pos="0">
                    <a:schemeClr val="tx2">
                      <a:lumMod val="90000"/>
                      <a:lumOff val="10000"/>
                    </a:schemeClr>
                  </a:gs>
                  <a:gs pos="54000">
                    <a:srgbClr val="3DBEFF"/>
                  </a:gs>
                </a:gsLst>
                <a:lin ang="2400000" scaled="0"/>
                <a:tileRect/>
              </a:gradFill>
              <a:ln w="19050">
                <a:noFill/>
              </a:ln>
              <a:effectLst/>
            </c:spPr>
            <c:extLst>
              <c:ext xmlns:c16="http://schemas.microsoft.com/office/drawing/2014/chart" uri="{C3380CC4-5D6E-409C-BE32-E72D297353CC}">
                <c16:uniqueId val="{00000003-DDAC-4ED3-8964-DE0B99AAC545}"/>
              </c:ext>
            </c:extLst>
          </c:dPt>
          <c:val>
            <c:numRef>
              <c:f>Processing!$D$9:$E$9</c:f>
              <c:numCache>
                <c:formatCode>0%</c:formatCode>
                <c:ptCount val="2"/>
                <c:pt idx="0">
                  <c:v>0.3678630136986295</c:v>
                </c:pt>
                <c:pt idx="1">
                  <c:v>0.6321369863013705</c:v>
                </c:pt>
              </c:numCache>
            </c:numRef>
          </c:val>
          <c:extLst>
            <c:ext xmlns:c16="http://schemas.microsoft.com/office/drawing/2014/chart" uri="{C3380CC4-5D6E-409C-BE32-E72D297353CC}">
              <c16:uniqueId val="{00000004-DDAC-4ED3-8964-DE0B99AAC545}"/>
            </c:ext>
          </c:extLst>
        </c:ser>
        <c:dLbls>
          <c:showLegendKey val="0"/>
          <c:showVal val="0"/>
          <c:showCatName val="0"/>
          <c:showSerName val="0"/>
          <c:showPercent val="0"/>
          <c:showBubbleSize val="0"/>
          <c:showLeaderLines val="1"/>
        </c:dLbls>
        <c:firstSliceAng val="30"/>
        <c:holeSize val="75"/>
      </c:doughnutChart>
      <c:scatterChart>
        <c:scatterStyle val="lineMarker"/>
        <c:varyColors val="0"/>
        <c:ser>
          <c:idx val="1"/>
          <c:order val="1"/>
          <c:spPr>
            <a:ln w="25400" cap="rnd">
              <a:noFill/>
              <a:round/>
            </a:ln>
            <a:effectLst/>
          </c:spPr>
          <c:marker>
            <c:symbol val="circle"/>
            <c:size val="14"/>
            <c:spPr>
              <a:solidFill>
                <a:schemeClr val="accent2"/>
              </a:solidFill>
              <a:ln w="9525">
                <a:noFill/>
              </a:ln>
              <a:effectLst/>
            </c:spPr>
          </c:marker>
          <c:dPt>
            <c:idx val="0"/>
            <c:marker>
              <c:symbol val="circle"/>
              <c:size val="14"/>
              <c:spPr>
                <a:solidFill>
                  <a:srgbClr val="3DBEFF"/>
                </a:solidFill>
                <a:ln w="9525">
                  <a:noFill/>
                </a:ln>
                <a:effectLst/>
              </c:spPr>
            </c:marker>
            <c:bubble3D val="0"/>
            <c:extLst>
              <c:ext xmlns:c16="http://schemas.microsoft.com/office/drawing/2014/chart" uri="{C3380CC4-5D6E-409C-BE32-E72D297353CC}">
                <c16:uniqueId val="{00000006-DDAC-4ED3-8964-DE0B99AAC545}"/>
              </c:ext>
            </c:extLst>
          </c:dPt>
          <c:dPt>
            <c:idx val="1"/>
            <c:marker>
              <c:symbol val="circle"/>
              <c:size val="14"/>
              <c:spPr>
                <a:solidFill>
                  <a:srgbClr val="39B0EE"/>
                </a:solidFill>
                <a:ln w="9525">
                  <a:noFill/>
                </a:ln>
                <a:effectLst/>
              </c:spPr>
            </c:marker>
            <c:bubble3D val="0"/>
            <c:extLst>
              <c:ext xmlns:c16="http://schemas.microsoft.com/office/drawing/2014/chart" uri="{C3380CC4-5D6E-409C-BE32-E72D297353CC}">
                <c16:uniqueId val="{00000007-DDAC-4ED3-8964-DE0B99AAC545}"/>
              </c:ext>
            </c:extLst>
          </c:dPt>
          <c:xVal>
            <c:numRef>
              <c:f>Processing!$F$9:$F$10</c:f>
              <c:numCache>
                <c:formatCode>0.00</c:formatCode>
                <c:ptCount val="2"/>
                <c:pt idx="0" formatCode="0.000">
                  <c:v>0.30185936320917572</c:v>
                </c:pt>
                <c:pt idx="1">
                  <c:v>0.5</c:v>
                </c:pt>
              </c:numCache>
            </c:numRef>
          </c:xVal>
          <c:yVal>
            <c:numRef>
              <c:f>Processing!$G$9:$G$10</c:f>
              <c:numCache>
                <c:formatCode>0.00</c:formatCode>
                <c:ptCount val="2"/>
                <c:pt idx="0" formatCode="0.000">
                  <c:v>-0.95335246621748004</c:v>
                </c:pt>
                <c:pt idx="1">
                  <c:v>0.86599999999999999</c:v>
                </c:pt>
              </c:numCache>
            </c:numRef>
          </c:yVal>
          <c:smooth val="0"/>
          <c:extLst>
            <c:ext xmlns:c16="http://schemas.microsoft.com/office/drawing/2014/chart" uri="{C3380CC4-5D6E-409C-BE32-E72D297353CC}">
              <c16:uniqueId val="{00000005-DDAC-4ED3-8964-DE0B99AAC545}"/>
            </c:ext>
          </c:extLst>
        </c:ser>
        <c:dLbls>
          <c:showLegendKey val="0"/>
          <c:showVal val="0"/>
          <c:showCatName val="0"/>
          <c:showSerName val="0"/>
          <c:showPercent val="0"/>
          <c:showBubbleSize val="0"/>
        </c:dLbls>
        <c:axId val="442115791"/>
        <c:axId val="442113391"/>
      </c:scatterChart>
      <c:valAx>
        <c:axId val="442113391"/>
        <c:scaling>
          <c:orientation val="minMax"/>
          <c:max val="1.1500000000000001"/>
          <c:min val="-1.1400000000000001"/>
        </c:scaling>
        <c:delete val="1"/>
        <c:axPos val="l"/>
        <c:numFmt formatCode="0.000" sourceLinked="1"/>
        <c:majorTickMark val="out"/>
        <c:minorTickMark val="none"/>
        <c:tickLblPos val="nextTo"/>
        <c:crossAx val="442115791"/>
        <c:crosses val="autoZero"/>
        <c:crossBetween val="midCat"/>
      </c:valAx>
      <c:valAx>
        <c:axId val="442115791"/>
        <c:scaling>
          <c:orientation val="minMax"/>
          <c:max val="1.1400000000000001"/>
          <c:min val="-1.1500000000000001"/>
        </c:scaling>
        <c:delete val="1"/>
        <c:axPos val="b"/>
        <c:numFmt formatCode="0.000" sourceLinked="1"/>
        <c:majorTickMark val="out"/>
        <c:minorTickMark val="none"/>
        <c:tickLblPos val="nextTo"/>
        <c:crossAx val="4421133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8-39CB-40C9-A3E1-3E063AB94CF7}"/>
              </c:ext>
            </c:extLst>
          </c:dPt>
          <c:dPt>
            <c:idx val="1"/>
            <c:bubble3D val="0"/>
            <c:spPr>
              <a:gradFill flip="none" rotWithShape="1">
                <a:gsLst>
                  <a:gs pos="0">
                    <a:schemeClr val="accent5">
                      <a:lumMod val="50000"/>
                    </a:schemeClr>
                  </a:gs>
                  <a:gs pos="54000">
                    <a:srgbClr val="FF00FF"/>
                  </a:gs>
                </a:gsLst>
                <a:lin ang="2400000" scaled="0"/>
                <a:tileRect/>
              </a:gradFill>
              <a:ln w="19050">
                <a:noFill/>
              </a:ln>
              <a:effectLst/>
            </c:spPr>
            <c:extLst>
              <c:ext xmlns:c16="http://schemas.microsoft.com/office/drawing/2014/chart" uri="{C3380CC4-5D6E-409C-BE32-E72D297353CC}">
                <c16:uniqueId val="{0000000A-39CB-40C9-A3E1-3E063AB94CF7}"/>
              </c:ext>
            </c:extLst>
          </c:dPt>
          <c:val>
            <c:numRef>
              <c:f>Processing!$D$13:$E$13</c:f>
              <c:numCache>
                <c:formatCode>0%</c:formatCode>
                <c:ptCount val="2"/>
                <c:pt idx="0">
                  <c:v>0.37035616438356134</c:v>
                </c:pt>
                <c:pt idx="1">
                  <c:v>0.62964383561643866</c:v>
                </c:pt>
              </c:numCache>
            </c:numRef>
          </c:val>
          <c:extLst>
            <c:ext xmlns:c16="http://schemas.microsoft.com/office/drawing/2014/chart" uri="{C3380CC4-5D6E-409C-BE32-E72D297353CC}">
              <c16:uniqueId val="{0000000B-39CB-40C9-A3E1-3E063AB94CF7}"/>
            </c:ext>
          </c:extLst>
        </c:ser>
        <c:dLbls>
          <c:showLegendKey val="0"/>
          <c:showVal val="0"/>
          <c:showCatName val="0"/>
          <c:showSerName val="0"/>
          <c:showPercent val="0"/>
          <c:showBubbleSize val="0"/>
          <c:showLeaderLines val="1"/>
        </c:dLbls>
        <c:firstSliceAng val="30"/>
        <c:holeSize val="75"/>
      </c:doughnutChart>
      <c:scatterChart>
        <c:scatterStyle val="lineMarker"/>
        <c:varyColors val="0"/>
        <c:ser>
          <c:idx val="1"/>
          <c:order val="1"/>
          <c:spPr>
            <a:ln w="25400" cap="rnd">
              <a:noFill/>
              <a:round/>
            </a:ln>
            <a:effectLst/>
          </c:spPr>
          <c:marker>
            <c:symbol val="circle"/>
            <c:size val="14"/>
            <c:spPr>
              <a:solidFill>
                <a:srgbClr val="FF00FF"/>
              </a:solidFill>
              <a:ln w="9525">
                <a:noFill/>
              </a:ln>
              <a:effectLst/>
            </c:spPr>
          </c:marker>
          <c:dPt>
            <c:idx val="0"/>
            <c:bubble3D val="0"/>
            <c:extLst>
              <c:ext xmlns:c16="http://schemas.microsoft.com/office/drawing/2014/chart" uri="{C3380CC4-5D6E-409C-BE32-E72D297353CC}">
                <c16:uniqueId val="{0000000D-39CB-40C9-A3E1-3E063AB94CF7}"/>
              </c:ext>
            </c:extLst>
          </c:dPt>
          <c:dPt>
            <c:idx val="1"/>
            <c:marker>
              <c:spPr>
                <a:solidFill>
                  <a:srgbClr val="EB03EA"/>
                </a:solidFill>
                <a:ln w="9525">
                  <a:noFill/>
                </a:ln>
                <a:effectLst/>
              </c:spPr>
            </c:marker>
            <c:bubble3D val="0"/>
            <c:extLst>
              <c:ext xmlns:c16="http://schemas.microsoft.com/office/drawing/2014/chart" uri="{C3380CC4-5D6E-409C-BE32-E72D297353CC}">
                <c16:uniqueId val="{0000000E-39CB-40C9-A3E1-3E063AB94CF7}"/>
              </c:ext>
            </c:extLst>
          </c:dPt>
          <c:xVal>
            <c:numRef>
              <c:f>Processing!$F$13:$F$14</c:f>
              <c:numCache>
                <c:formatCode>General</c:formatCode>
                <c:ptCount val="2"/>
                <c:pt idx="0" formatCode="0.000">
                  <c:v>0.28688874060835079</c:v>
                </c:pt>
                <c:pt idx="1">
                  <c:v>0.5</c:v>
                </c:pt>
              </c:numCache>
            </c:numRef>
          </c:xVal>
          <c:yVal>
            <c:numRef>
              <c:f>Processing!$G$13:$G$14</c:f>
              <c:numCache>
                <c:formatCode>General</c:formatCode>
                <c:ptCount val="2"/>
                <c:pt idx="0" formatCode="0.000">
                  <c:v>-0.95796390877326598</c:v>
                </c:pt>
                <c:pt idx="1">
                  <c:v>0.86599999999999999</c:v>
                </c:pt>
              </c:numCache>
            </c:numRef>
          </c:yVal>
          <c:smooth val="0"/>
          <c:extLst>
            <c:ext xmlns:c16="http://schemas.microsoft.com/office/drawing/2014/chart" uri="{C3380CC4-5D6E-409C-BE32-E72D297353CC}">
              <c16:uniqueId val="{0000000F-39CB-40C9-A3E1-3E063AB94CF7}"/>
            </c:ext>
          </c:extLst>
        </c:ser>
        <c:dLbls>
          <c:showLegendKey val="0"/>
          <c:showVal val="0"/>
          <c:showCatName val="0"/>
          <c:showSerName val="0"/>
          <c:showPercent val="0"/>
          <c:showBubbleSize val="0"/>
        </c:dLbls>
        <c:axId val="442115791"/>
        <c:axId val="442113391"/>
      </c:scatterChart>
      <c:valAx>
        <c:axId val="442113391"/>
        <c:scaling>
          <c:orientation val="minMax"/>
          <c:max val="1.1500000000000001"/>
          <c:min val="-1.1400000000000001"/>
        </c:scaling>
        <c:delete val="1"/>
        <c:axPos val="l"/>
        <c:numFmt formatCode="0.000" sourceLinked="1"/>
        <c:majorTickMark val="out"/>
        <c:minorTickMark val="none"/>
        <c:tickLblPos val="nextTo"/>
        <c:crossAx val="442115791"/>
        <c:crosses val="autoZero"/>
        <c:crossBetween val="midCat"/>
      </c:valAx>
      <c:valAx>
        <c:axId val="442115791"/>
        <c:scaling>
          <c:orientation val="minMax"/>
          <c:max val="1.1400000000000001"/>
          <c:min val="-1.1500000000000001"/>
        </c:scaling>
        <c:delete val="1"/>
        <c:axPos val="b"/>
        <c:numFmt formatCode="0.000" sourceLinked="1"/>
        <c:majorTickMark val="out"/>
        <c:minorTickMark val="none"/>
        <c:tickLblPos val="nextTo"/>
        <c:crossAx val="442113391"/>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7.2489788124335819E-2"/>
          <c:w val="0.93888888888888888"/>
          <c:h val="0.77516127291445269"/>
        </c:manualLayout>
      </c:layout>
      <c:barChart>
        <c:barDir val="col"/>
        <c:grouping val="clustered"/>
        <c:varyColors val="0"/>
        <c:ser>
          <c:idx val="0"/>
          <c:order val="0"/>
          <c:tx>
            <c:strRef>
              <c:f>Processing!$C$30</c:f>
              <c:strCache>
                <c:ptCount val="1"/>
                <c:pt idx="0">
                  <c:v>Recruiter 1</c:v>
                </c:pt>
              </c:strCache>
            </c:strRef>
          </c:tx>
          <c:spPr>
            <a:solidFill>
              <a:srgbClr val="2ABFF7"/>
            </a:soli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Processing!$D$30:$J$30</c:f>
              <c:numCache>
                <c:formatCode>General</c:formatCode>
                <c:ptCount val="7"/>
                <c:pt idx="0">
                  <c:v>197</c:v>
                </c:pt>
                <c:pt idx="1">
                  <c:v>306</c:v>
                </c:pt>
                <c:pt idx="2">
                  <c:v>331</c:v>
                </c:pt>
                <c:pt idx="3">
                  <c:v>343</c:v>
                </c:pt>
                <c:pt idx="4">
                  <c:v>345</c:v>
                </c:pt>
                <c:pt idx="5">
                  <c:v>227</c:v>
                </c:pt>
                <c:pt idx="6">
                  <c:v>209</c:v>
                </c:pt>
              </c:numCache>
            </c:numRef>
          </c:val>
          <c:extLst>
            <c:ext xmlns:c16="http://schemas.microsoft.com/office/drawing/2014/chart" uri="{C3380CC4-5D6E-409C-BE32-E72D297353CC}">
              <c16:uniqueId val="{00000000-25BA-4B0F-8B0B-C16472BFBF6A}"/>
            </c:ext>
          </c:extLst>
        </c:ser>
        <c:ser>
          <c:idx val="1"/>
          <c:order val="1"/>
          <c:tx>
            <c:strRef>
              <c:f>Processing!$C$31</c:f>
              <c:strCache>
                <c:ptCount val="1"/>
                <c:pt idx="0">
                  <c:v>Recruiter 2</c:v>
                </c:pt>
              </c:strCache>
            </c:strRef>
          </c:tx>
          <c:spPr>
            <a:solidFill>
              <a:srgbClr val="2ABFF7">
                <a:alpha val="80000"/>
              </a:srgbClr>
            </a:soli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Processing!$D$31:$J$31</c:f>
              <c:numCache>
                <c:formatCode>General</c:formatCode>
                <c:ptCount val="7"/>
                <c:pt idx="0">
                  <c:v>219</c:v>
                </c:pt>
                <c:pt idx="1">
                  <c:v>358</c:v>
                </c:pt>
                <c:pt idx="2">
                  <c:v>315</c:v>
                </c:pt>
                <c:pt idx="3">
                  <c:v>360</c:v>
                </c:pt>
                <c:pt idx="4">
                  <c:v>349</c:v>
                </c:pt>
                <c:pt idx="5">
                  <c:v>221</c:v>
                </c:pt>
                <c:pt idx="6">
                  <c:v>235</c:v>
                </c:pt>
              </c:numCache>
            </c:numRef>
          </c:val>
          <c:extLst>
            <c:ext xmlns:c16="http://schemas.microsoft.com/office/drawing/2014/chart" uri="{C3380CC4-5D6E-409C-BE32-E72D297353CC}">
              <c16:uniqueId val="{00000001-25BA-4B0F-8B0B-C16472BFBF6A}"/>
            </c:ext>
          </c:extLst>
        </c:ser>
        <c:ser>
          <c:idx val="2"/>
          <c:order val="2"/>
          <c:tx>
            <c:strRef>
              <c:f>Processing!$C$32</c:f>
              <c:strCache>
                <c:ptCount val="1"/>
                <c:pt idx="0">
                  <c:v>Recruiter 3</c:v>
                </c:pt>
              </c:strCache>
            </c:strRef>
          </c:tx>
          <c:spPr>
            <a:solidFill>
              <a:srgbClr val="2ABFF7">
                <a:alpha val="60000"/>
              </a:srgbClr>
            </a:soli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Processing!$D$32:$J$32</c:f>
              <c:numCache>
                <c:formatCode>General</c:formatCode>
                <c:ptCount val="7"/>
                <c:pt idx="0">
                  <c:v>229</c:v>
                </c:pt>
                <c:pt idx="1">
                  <c:v>362</c:v>
                </c:pt>
                <c:pt idx="2">
                  <c:v>373</c:v>
                </c:pt>
                <c:pt idx="3">
                  <c:v>345</c:v>
                </c:pt>
                <c:pt idx="4">
                  <c:v>338</c:v>
                </c:pt>
                <c:pt idx="5">
                  <c:v>212</c:v>
                </c:pt>
                <c:pt idx="6">
                  <c:v>222</c:v>
                </c:pt>
              </c:numCache>
            </c:numRef>
          </c:val>
          <c:extLst>
            <c:ext xmlns:c16="http://schemas.microsoft.com/office/drawing/2014/chart" uri="{C3380CC4-5D6E-409C-BE32-E72D297353CC}">
              <c16:uniqueId val="{00000002-25BA-4B0F-8B0B-C16472BFBF6A}"/>
            </c:ext>
          </c:extLst>
        </c:ser>
        <c:ser>
          <c:idx val="3"/>
          <c:order val="3"/>
          <c:tx>
            <c:strRef>
              <c:f>Processing!$C$33</c:f>
              <c:strCache>
                <c:ptCount val="1"/>
                <c:pt idx="0">
                  <c:v>Recruiter 4</c:v>
                </c:pt>
              </c:strCache>
            </c:strRef>
          </c:tx>
          <c:spPr>
            <a:solidFill>
              <a:srgbClr val="2ABFF7">
                <a:alpha val="40000"/>
              </a:srgbClr>
            </a:soli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Processing!$D$33:$J$33</c:f>
              <c:numCache>
                <c:formatCode>General</c:formatCode>
                <c:ptCount val="7"/>
                <c:pt idx="0">
                  <c:v>192</c:v>
                </c:pt>
                <c:pt idx="1">
                  <c:v>320</c:v>
                </c:pt>
                <c:pt idx="2">
                  <c:v>340</c:v>
                </c:pt>
                <c:pt idx="3">
                  <c:v>336</c:v>
                </c:pt>
                <c:pt idx="4">
                  <c:v>300</c:v>
                </c:pt>
                <c:pt idx="5">
                  <c:v>205</c:v>
                </c:pt>
                <c:pt idx="6">
                  <c:v>216</c:v>
                </c:pt>
              </c:numCache>
            </c:numRef>
          </c:val>
          <c:extLst>
            <c:ext xmlns:c16="http://schemas.microsoft.com/office/drawing/2014/chart" uri="{C3380CC4-5D6E-409C-BE32-E72D297353CC}">
              <c16:uniqueId val="{00000003-25BA-4B0F-8B0B-C16472BFBF6A}"/>
            </c:ext>
          </c:extLst>
        </c:ser>
        <c:ser>
          <c:idx val="4"/>
          <c:order val="4"/>
          <c:tx>
            <c:strRef>
              <c:f>Processing!$C$34</c:f>
              <c:strCache>
                <c:ptCount val="1"/>
                <c:pt idx="0">
                  <c:v>Recruiter 5</c:v>
                </c:pt>
              </c:strCache>
            </c:strRef>
          </c:tx>
          <c:spPr>
            <a:solidFill>
              <a:srgbClr val="2ABFF7">
                <a:alpha val="25000"/>
              </a:srgbClr>
            </a:soli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Processing!$D$34:$J$34</c:f>
              <c:numCache>
                <c:formatCode>General</c:formatCode>
                <c:ptCount val="7"/>
                <c:pt idx="0">
                  <c:v>210</c:v>
                </c:pt>
                <c:pt idx="1">
                  <c:v>309</c:v>
                </c:pt>
                <c:pt idx="2">
                  <c:v>343</c:v>
                </c:pt>
                <c:pt idx="3">
                  <c:v>343</c:v>
                </c:pt>
                <c:pt idx="4">
                  <c:v>319</c:v>
                </c:pt>
                <c:pt idx="5">
                  <c:v>216</c:v>
                </c:pt>
                <c:pt idx="6">
                  <c:v>215</c:v>
                </c:pt>
              </c:numCache>
            </c:numRef>
          </c:val>
          <c:extLst>
            <c:ext xmlns:c16="http://schemas.microsoft.com/office/drawing/2014/chart" uri="{C3380CC4-5D6E-409C-BE32-E72D297353CC}">
              <c16:uniqueId val="{00000004-25BA-4B0F-8B0B-C16472BFBF6A}"/>
            </c:ext>
          </c:extLst>
        </c:ser>
        <c:dLbls>
          <c:showLegendKey val="0"/>
          <c:showVal val="0"/>
          <c:showCatName val="0"/>
          <c:showSerName val="0"/>
          <c:showPercent val="0"/>
          <c:showBubbleSize val="0"/>
        </c:dLbls>
        <c:gapWidth val="200"/>
        <c:axId val="1345606239"/>
        <c:axId val="1345604799"/>
      </c:barChart>
      <c:lineChart>
        <c:grouping val="standard"/>
        <c:varyColors val="0"/>
        <c:ser>
          <c:idx val="5"/>
          <c:order val="6"/>
          <c:tx>
            <c:strRef>
              <c:f>Processing!$C$35</c:f>
              <c:strCache>
                <c:ptCount val="1"/>
                <c:pt idx="0">
                  <c:v>Top</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Processing!$D$29:$J$29</c:f>
              <c:strCache>
                <c:ptCount val="7"/>
                <c:pt idx="0">
                  <c:v>SU</c:v>
                </c:pt>
                <c:pt idx="1">
                  <c:v>MO</c:v>
                </c:pt>
                <c:pt idx="2">
                  <c:v>TU</c:v>
                </c:pt>
                <c:pt idx="3">
                  <c:v>WE</c:v>
                </c:pt>
                <c:pt idx="4">
                  <c:v>TH</c:v>
                </c:pt>
                <c:pt idx="5">
                  <c:v>FR</c:v>
                </c:pt>
                <c:pt idx="6">
                  <c:v>SA</c:v>
                </c:pt>
              </c:strCache>
            </c:strRef>
          </c:cat>
          <c:val>
            <c:numRef>
              <c:f>Processing!$D$35:$J$35</c:f>
              <c:numCache>
                <c:formatCode>General</c:formatCode>
                <c:ptCount val="7"/>
                <c:pt idx="0">
                  <c:v>1047</c:v>
                </c:pt>
                <c:pt idx="1">
                  <c:v>1655</c:v>
                </c:pt>
                <c:pt idx="2">
                  <c:v>1702</c:v>
                </c:pt>
                <c:pt idx="3">
                  <c:v>1727</c:v>
                </c:pt>
                <c:pt idx="4">
                  <c:v>1651</c:v>
                </c:pt>
                <c:pt idx="5">
                  <c:v>1081</c:v>
                </c:pt>
                <c:pt idx="6">
                  <c:v>1097</c:v>
                </c:pt>
              </c:numCache>
            </c:numRef>
          </c:val>
          <c:smooth val="0"/>
          <c:extLst>
            <c:ext xmlns:c16="http://schemas.microsoft.com/office/drawing/2014/chart" uri="{C3380CC4-5D6E-409C-BE32-E72D297353CC}">
              <c16:uniqueId val="{00000005-25BA-4B0F-8B0B-C16472BFBF6A}"/>
            </c:ext>
          </c:extLst>
        </c:ser>
        <c:ser>
          <c:idx val="6"/>
          <c:order val="7"/>
          <c:tx>
            <c:strRef>
              <c:f>Processing!$C$36</c:f>
              <c:strCache>
                <c:ptCount val="1"/>
                <c:pt idx="0">
                  <c:v>Down</c:v>
                </c:pt>
              </c:strCache>
            </c:strRef>
          </c:tx>
          <c:spPr>
            <a:ln w="28575" cap="rnd">
              <a:noFill/>
              <a:round/>
            </a:ln>
            <a:effectLst/>
          </c:spPr>
          <c:marker>
            <c:symbol val="none"/>
          </c:marker>
          <c:val>
            <c:numRef>
              <c:f>Processing!$D$36:$J$36</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6-25BA-4B0F-8B0B-C16472BFBF6A}"/>
            </c:ext>
          </c:extLst>
        </c:ser>
        <c:dLbls>
          <c:showLegendKey val="0"/>
          <c:showVal val="0"/>
          <c:showCatName val="0"/>
          <c:showSerName val="0"/>
          <c:showPercent val="0"/>
          <c:showBubbleSize val="0"/>
        </c:dLbls>
        <c:upDownBars>
          <c:gapWidth val="3"/>
          <c:upBars>
            <c:spPr>
              <a:solidFill>
                <a:schemeClr val="lt1"/>
              </a:solidFill>
              <a:ln w="9525">
                <a:solidFill>
                  <a:schemeClr val="tx1">
                    <a:lumMod val="15000"/>
                    <a:lumOff val="85000"/>
                  </a:schemeClr>
                </a:solidFill>
              </a:ln>
              <a:effectLst/>
            </c:spPr>
          </c:upBars>
          <c:downBars>
            <c:spPr>
              <a:gradFill>
                <a:gsLst>
                  <a:gs pos="0">
                    <a:srgbClr val="2ABFF7">
                      <a:alpha val="29000"/>
                    </a:srgbClr>
                  </a:gs>
                  <a:gs pos="100000">
                    <a:srgbClr val="2ABFF7">
                      <a:alpha val="0"/>
                    </a:srgbClr>
                  </a:gs>
                </a:gsLst>
                <a:lin ang="5400000" scaled="1"/>
              </a:gradFill>
              <a:ln w="9525">
                <a:noFill/>
              </a:ln>
              <a:effectLst/>
            </c:spPr>
          </c:downBars>
        </c:upDownBars>
        <c:marker val="1"/>
        <c:smooth val="0"/>
        <c:axId val="1345606239"/>
        <c:axId val="1345604799"/>
      </c:lineChart>
      <c:scatterChart>
        <c:scatterStyle val="lineMarker"/>
        <c:varyColors val="0"/>
        <c:ser>
          <c:idx val="7"/>
          <c:order val="5"/>
          <c:tx>
            <c:strRef>
              <c:f>Processing!$C$38</c:f>
              <c:strCache>
                <c:ptCount val="1"/>
                <c:pt idx="0">
                  <c:v>Cursor</c:v>
                </c:pt>
              </c:strCache>
            </c:strRef>
          </c:tx>
          <c:spPr>
            <a:ln w="25400" cap="rnd">
              <a:noFill/>
              <a:round/>
            </a:ln>
            <a:effectLst/>
          </c:spPr>
          <c:marker>
            <c:symbol val="circle"/>
            <c:size val="5"/>
            <c:spPr>
              <a:solidFill>
                <a:schemeClr val="bg1">
                  <a:alpha val="75000"/>
                </a:schemeClr>
              </a:solidFill>
              <a:ln w="9525">
                <a:noFill/>
              </a:ln>
              <a:effectLst/>
            </c:spPr>
          </c:marker>
          <c:dLbls>
            <c:dLbl>
              <c:idx val="2"/>
              <c:layout>
                <c:manualLayout>
                  <c:x val="-4.4387139107611551E-2"/>
                  <c:y val="-8.7307315752197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BA-4B0F-8B0B-C16472BFBF6A}"/>
                </c:ext>
              </c:extLst>
            </c:dLbl>
            <c:spPr>
              <a:solidFill>
                <a:schemeClr val="tx2">
                  <a:lumMod val="90000"/>
                  <a:lumOff val="1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0"/>
              </c:ext>
            </c:extLst>
          </c:dLbls>
          <c:errBars>
            <c:errDir val="y"/>
            <c:errBarType val="both"/>
            <c:errValType val="cust"/>
            <c:noEndCap val="0"/>
            <c:plus>
              <c:numLit>
                <c:formatCode>General</c:formatCode>
                <c:ptCount val="1"/>
                <c:pt idx="0">
                  <c:v>0</c:v>
                </c:pt>
              </c:numLit>
            </c:plus>
            <c:minus>
              <c:numRef>
                <c:f>Processing!$D$37:$J$37</c:f>
                <c:numCache>
                  <c:formatCode>General</c:formatCode>
                  <c:ptCount val="7"/>
                  <c:pt idx="0">
                    <c:v>1047</c:v>
                  </c:pt>
                  <c:pt idx="1">
                    <c:v>1655</c:v>
                  </c:pt>
                  <c:pt idx="2">
                    <c:v>1702</c:v>
                  </c:pt>
                  <c:pt idx="3">
                    <c:v>1727</c:v>
                  </c:pt>
                  <c:pt idx="4">
                    <c:v>1651</c:v>
                  </c:pt>
                  <c:pt idx="5">
                    <c:v>1081</c:v>
                  </c:pt>
                  <c:pt idx="6">
                    <c:v>1097</c:v>
                  </c:pt>
                </c:numCache>
              </c:numRef>
            </c:minus>
            <c:spPr>
              <a:noFill/>
              <a:ln w="533400" cap="flat" cmpd="sng" algn="ctr">
                <a:gradFill flip="none" rotWithShape="1">
                  <a:gsLst>
                    <a:gs pos="0">
                      <a:schemeClr val="accent4">
                        <a:lumMod val="40000"/>
                        <a:lumOff val="60000"/>
                        <a:alpha val="11000"/>
                      </a:schemeClr>
                    </a:gs>
                    <a:gs pos="46000">
                      <a:schemeClr val="accent4">
                        <a:lumMod val="95000"/>
                        <a:lumOff val="5000"/>
                        <a:alpha val="13000"/>
                      </a:schemeClr>
                    </a:gs>
                    <a:gs pos="99000">
                      <a:schemeClr val="accent4">
                        <a:lumMod val="99000"/>
                        <a:lumOff val="1000"/>
                      </a:schemeClr>
                    </a:gs>
                  </a:gsLst>
                  <a:path path="circle">
                    <a:fillToRect l="50000" t="130000" r="50000" b="-30000"/>
                  </a:path>
                  <a:tileRect/>
                </a:gradFill>
                <a:round/>
              </a:ln>
              <a:effectLst/>
            </c:spPr>
          </c:errBars>
          <c:yVal>
            <c:numRef>
              <c:f>Processing!$D$37:$J$37</c:f>
              <c:numCache>
                <c:formatCode>General</c:formatCode>
                <c:ptCount val="7"/>
                <c:pt idx="0">
                  <c:v>1047</c:v>
                </c:pt>
                <c:pt idx="1">
                  <c:v>1655</c:v>
                </c:pt>
                <c:pt idx="2">
                  <c:v>1702</c:v>
                </c:pt>
                <c:pt idx="3">
                  <c:v>1727</c:v>
                </c:pt>
                <c:pt idx="4">
                  <c:v>1651</c:v>
                </c:pt>
                <c:pt idx="5">
                  <c:v>1081</c:v>
                </c:pt>
                <c:pt idx="6">
                  <c:v>1097</c:v>
                </c:pt>
              </c:numCache>
            </c:numRef>
          </c:yVal>
          <c:smooth val="0"/>
          <c:extLst>
            <c:ext xmlns:c16="http://schemas.microsoft.com/office/drawing/2014/chart" uri="{C3380CC4-5D6E-409C-BE32-E72D297353CC}">
              <c16:uniqueId val="{00000007-25BA-4B0F-8B0B-C16472BFBF6A}"/>
            </c:ext>
          </c:extLst>
        </c:ser>
        <c:dLbls>
          <c:showLegendKey val="0"/>
          <c:showVal val="0"/>
          <c:showCatName val="0"/>
          <c:showSerName val="0"/>
          <c:showPercent val="0"/>
          <c:showBubbleSize val="0"/>
        </c:dLbls>
        <c:axId val="1345606239"/>
        <c:axId val="1345604799"/>
      </c:scatterChart>
      <c:catAx>
        <c:axId val="13456062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ru-RU"/>
          </a:p>
        </c:txPr>
        <c:crossAx val="1345604799"/>
        <c:crosses val="autoZero"/>
        <c:auto val="1"/>
        <c:lblAlgn val="ctr"/>
        <c:lblOffset val="100"/>
        <c:noMultiLvlLbl val="0"/>
      </c:catAx>
      <c:valAx>
        <c:axId val="1345604799"/>
        <c:scaling>
          <c:orientation val="minMax"/>
        </c:scaling>
        <c:delete val="1"/>
        <c:axPos val="l"/>
        <c:numFmt formatCode="General" sourceLinked="1"/>
        <c:majorTickMark val="none"/>
        <c:minorTickMark val="none"/>
        <c:tickLblPos val="nextTo"/>
        <c:crossAx val="13456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7.2489788124335819E-2"/>
          <c:w val="0.93888888888888888"/>
          <c:h val="0.77516127291445269"/>
        </c:manualLayout>
      </c:layout>
      <c:barChart>
        <c:barDir val="col"/>
        <c:grouping val="clustered"/>
        <c:varyColors val="0"/>
        <c:ser>
          <c:idx val="0"/>
          <c:order val="0"/>
          <c:tx>
            <c:strRef>
              <c:f>Processing!$C$30</c:f>
              <c:strCache>
                <c:ptCount val="1"/>
                <c:pt idx="0">
                  <c:v>Recruiter 1</c:v>
                </c:pt>
              </c:strCache>
            </c:strRef>
          </c:tx>
          <c:spPr>
            <a:gradFill>
              <a:gsLst>
                <a:gs pos="0">
                  <a:srgbClr val="D31790"/>
                </a:gs>
                <a:gs pos="100000">
                  <a:srgbClr val="F75733"/>
                </a:gs>
              </a:gsLst>
              <a:lin ang="5400000" scaled="1"/>
            </a:gra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Processing!$D$30:$J$30</c:f>
              <c:numCache>
                <c:formatCode>General</c:formatCode>
                <c:ptCount val="7"/>
                <c:pt idx="0">
                  <c:v>197</c:v>
                </c:pt>
                <c:pt idx="1">
                  <c:v>306</c:v>
                </c:pt>
                <c:pt idx="2">
                  <c:v>331</c:v>
                </c:pt>
                <c:pt idx="3">
                  <c:v>343</c:v>
                </c:pt>
                <c:pt idx="4">
                  <c:v>345</c:v>
                </c:pt>
                <c:pt idx="5">
                  <c:v>227</c:v>
                </c:pt>
                <c:pt idx="6">
                  <c:v>209</c:v>
                </c:pt>
              </c:numCache>
            </c:numRef>
          </c:val>
          <c:extLst>
            <c:ext xmlns:c16="http://schemas.microsoft.com/office/drawing/2014/chart" uri="{C3380CC4-5D6E-409C-BE32-E72D297353CC}">
              <c16:uniqueId val="{00000000-EF1A-40E9-9B09-896B68AD066D}"/>
            </c:ext>
          </c:extLst>
        </c:ser>
        <c:ser>
          <c:idx val="1"/>
          <c:order val="1"/>
          <c:tx>
            <c:strRef>
              <c:f>Processing!$C$31</c:f>
              <c:strCache>
                <c:ptCount val="1"/>
                <c:pt idx="0">
                  <c:v>Recruiter 2</c:v>
                </c:pt>
              </c:strCache>
            </c:strRef>
          </c:tx>
          <c:spPr>
            <a:gradFill>
              <a:gsLst>
                <a:gs pos="0">
                  <a:srgbClr val="07D8B0"/>
                </a:gs>
                <a:gs pos="100000">
                  <a:srgbClr val="30D35E"/>
                </a:gs>
              </a:gsLst>
              <a:lin ang="5400000" scaled="1"/>
            </a:gra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Processing!$D$31:$J$31</c:f>
              <c:numCache>
                <c:formatCode>General</c:formatCode>
                <c:ptCount val="7"/>
                <c:pt idx="0">
                  <c:v>219</c:v>
                </c:pt>
                <c:pt idx="1">
                  <c:v>358</c:v>
                </c:pt>
                <c:pt idx="2">
                  <c:v>315</c:v>
                </c:pt>
                <c:pt idx="3">
                  <c:v>360</c:v>
                </c:pt>
                <c:pt idx="4">
                  <c:v>349</c:v>
                </c:pt>
                <c:pt idx="5">
                  <c:v>221</c:v>
                </c:pt>
                <c:pt idx="6">
                  <c:v>235</c:v>
                </c:pt>
              </c:numCache>
            </c:numRef>
          </c:val>
          <c:extLst>
            <c:ext xmlns:c16="http://schemas.microsoft.com/office/drawing/2014/chart" uri="{C3380CC4-5D6E-409C-BE32-E72D297353CC}">
              <c16:uniqueId val="{00000001-EF1A-40E9-9B09-896B68AD066D}"/>
            </c:ext>
          </c:extLst>
        </c:ser>
        <c:ser>
          <c:idx val="2"/>
          <c:order val="2"/>
          <c:tx>
            <c:strRef>
              <c:f>Processing!$C$32</c:f>
              <c:strCache>
                <c:ptCount val="1"/>
                <c:pt idx="0">
                  <c:v>Recruiter 3</c:v>
                </c:pt>
              </c:strCache>
            </c:strRef>
          </c:tx>
          <c:spPr>
            <a:gradFill>
              <a:gsLst>
                <a:gs pos="0">
                  <a:srgbClr val="F6704B"/>
                </a:gs>
                <a:gs pos="100000">
                  <a:srgbClr val="FEC619"/>
                </a:gs>
              </a:gsLst>
              <a:lin ang="5400000" scaled="1"/>
            </a:gra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Processing!$D$32:$J$32</c:f>
              <c:numCache>
                <c:formatCode>General</c:formatCode>
                <c:ptCount val="7"/>
                <c:pt idx="0">
                  <c:v>229</c:v>
                </c:pt>
                <c:pt idx="1">
                  <c:v>362</c:v>
                </c:pt>
                <c:pt idx="2">
                  <c:v>373</c:v>
                </c:pt>
                <c:pt idx="3">
                  <c:v>345</c:v>
                </c:pt>
                <c:pt idx="4">
                  <c:v>338</c:v>
                </c:pt>
                <c:pt idx="5">
                  <c:v>212</c:v>
                </c:pt>
                <c:pt idx="6">
                  <c:v>222</c:v>
                </c:pt>
              </c:numCache>
            </c:numRef>
          </c:val>
          <c:extLst>
            <c:ext xmlns:c16="http://schemas.microsoft.com/office/drawing/2014/chart" uri="{C3380CC4-5D6E-409C-BE32-E72D297353CC}">
              <c16:uniqueId val="{00000002-EF1A-40E9-9B09-896B68AD066D}"/>
            </c:ext>
          </c:extLst>
        </c:ser>
        <c:ser>
          <c:idx val="3"/>
          <c:order val="3"/>
          <c:tx>
            <c:strRef>
              <c:f>Processing!$C$33</c:f>
              <c:strCache>
                <c:ptCount val="1"/>
                <c:pt idx="0">
                  <c:v>Recruiter 4</c:v>
                </c:pt>
              </c:strCache>
            </c:strRef>
          </c:tx>
          <c:spPr>
            <a:gradFill>
              <a:gsLst>
                <a:gs pos="0">
                  <a:srgbClr val="2A5FE9"/>
                </a:gs>
                <a:gs pos="100000">
                  <a:srgbClr val="2ABFF7"/>
                </a:gs>
              </a:gsLst>
              <a:lin ang="5400000" scaled="1"/>
            </a:gra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Processing!$D$33:$J$33</c:f>
              <c:numCache>
                <c:formatCode>General</c:formatCode>
                <c:ptCount val="7"/>
                <c:pt idx="0">
                  <c:v>192</c:v>
                </c:pt>
                <c:pt idx="1">
                  <c:v>320</c:v>
                </c:pt>
                <c:pt idx="2">
                  <c:v>340</c:v>
                </c:pt>
                <c:pt idx="3">
                  <c:v>336</c:v>
                </c:pt>
                <c:pt idx="4">
                  <c:v>300</c:v>
                </c:pt>
                <c:pt idx="5">
                  <c:v>205</c:v>
                </c:pt>
                <c:pt idx="6">
                  <c:v>216</c:v>
                </c:pt>
              </c:numCache>
            </c:numRef>
          </c:val>
          <c:extLst>
            <c:ext xmlns:c16="http://schemas.microsoft.com/office/drawing/2014/chart" uri="{C3380CC4-5D6E-409C-BE32-E72D297353CC}">
              <c16:uniqueId val="{00000003-EF1A-40E9-9B09-896B68AD066D}"/>
            </c:ext>
          </c:extLst>
        </c:ser>
        <c:ser>
          <c:idx val="4"/>
          <c:order val="4"/>
          <c:tx>
            <c:strRef>
              <c:f>Processing!$C$34</c:f>
              <c:strCache>
                <c:ptCount val="1"/>
                <c:pt idx="0">
                  <c:v>Recruiter 5</c:v>
                </c:pt>
              </c:strCache>
            </c:strRef>
          </c:tx>
          <c:spPr>
            <a:gradFill>
              <a:gsLst>
                <a:gs pos="0">
                  <a:srgbClr val="782BDB"/>
                </a:gs>
                <a:gs pos="100000">
                  <a:srgbClr val="EC47D2"/>
                </a:gs>
              </a:gsLst>
              <a:lin ang="5400000" scaled="1"/>
            </a:gradFill>
            <a:ln>
              <a:noFill/>
            </a:ln>
            <a:effectLst/>
          </c:spPr>
          <c:invertIfNegative val="0"/>
          <c:cat>
            <c:strRef>
              <c:f>Processing!$D$29:$J$29</c:f>
              <c:strCache>
                <c:ptCount val="7"/>
                <c:pt idx="0">
                  <c:v>SU</c:v>
                </c:pt>
                <c:pt idx="1">
                  <c:v>MO</c:v>
                </c:pt>
                <c:pt idx="2">
                  <c:v>TU</c:v>
                </c:pt>
                <c:pt idx="3">
                  <c:v>WE</c:v>
                </c:pt>
                <c:pt idx="4">
                  <c:v>TH</c:v>
                </c:pt>
                <c:pt idx="5">
                  <c:v>FR</c:v>
                </c:pt>
                <c:pt idx="6">
                  <c:v>SA</c:v>
                </c:pt>
              </c:strCache>
            </c:strRef>
          </c:cat>
          <c:val>
            <c:numRef>
              <c:f>Processing!$D$34:$J$34</c:f>
              <c:numCache>
                <c:formatCode>General</c:formatCode>
                <c:ptCount val="7"/>
                <c:pt idx="0">
                  <c:v>210</c:v>
                </c:pt>
                <c:pt idx="1">
                  <c:v>309</c:v>
                </c:pt>
                <c:pt idx="2">
                  <c:v>343</c:v>
                </c:pt>
                <c:pt idx="3">
                  <c:v>343</c:v>
                </c:pt>
                <c:pt idx="4">
                  <c:v>319</c:v>
                </c:pt>
                <c:pt idx="5">
                  <c:v>216</c:v>
                </c:pt>
                <c:pt idx="6">
                  <c:v>215</c:v>
                </c:pt>
              </c:numCache>
            </c:numRef>
          </c:val>
          <c:extLst>
            <c:ext xmlns:c16="http://schemas.microsoft.com/office/drawing/2014/chart" uri="{C3380CC4-5D6E-409C-BE32-E72D297353CC}">
              <c16:uniqueId val="{00000004-EF1A-40E9-9B09-896B68AD066D}"/>
            </c:ext>
          </c:extLst>
        </c:ser>
        <c:dLbls>
          <c:showLegendKey val="0"/>
          <c:showVal val="0"/>
          <c:showCatName val="0"/>
          <c:showSerName val="0"/>
          <c:showPercent val="0"/>
          <c:showBubbleSize val="0"/>
        </c:dLbls>
        <c:gapWidth val="200"/>
        <c:axId val="1345606239"/>
        <c:axId val="1345604799"/>
      </c:barChart>
      <c:lineChart>
        <c:grouping val="standard"/>
        <c:varyColors val="0"/>
        <c:ser>
          <c:idx val="5"/>
          <c:order val="6"/>
          <c:tx>
            <c:strRef>
              <c:f>Processing!$C$35</c:f>
              <c:strCache>
                <c:ptCount val="1"/>
                <c:pt idx="0">
                  <c:v>Top</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Processing!$D$29:$J$29</c:f>
              <c:strCache>
                <c:ptCount val="7"/>
                <c:pt idx="0">
                  <c:v>SU</c:v>
                </c:pt>
                <c:pt idx="1">
                  <c:v>MO</c:v>
                </c:pt>
                <c:pt idx="2">
                  <c:v>TU</c:v>
                </c:pt>
                <c:pt idx="3">
                  <c:v>WE</c:v>
                </c:pt>
                <c:pt idx="4">
                  <c:v>TH</c:v>
                </c:pt>
                <c:pt idx="5">
                  <c:v>FR</c:v>
                </c:pt>
                <c:pt idx="6">
                  <c:v>SA</c:v>
                </c:pt>
              </c:strCache>
            </c:strRef>
          </c:cat>
          <c:val>
            <c:numRef>
              <c:f>Processing!$D$35:$J$35</c:f>
              <c:numCache>
                <c:formatCode>General</c:formatCode>
                <c:ptCount val="7"/>
                <c:pt idx="0">
                  <c:v>1047</c:v>
                </c:pt>
                <c:pt idx="1">
                  <c:v>1655</c:v>
                </c:pt>
                <c:pt idx="2">
                  <c:v>1702</c:v>
                </c:pt>
                <c:pt idx="3">
                  <c:v>1727</c:v>
                </c:pt>
                <c:pt idx="4">
                  <c:v>1651</c:v>
                </c:pt>
                <c:pt idx="5">
                  <c:v>1081</c:v>
                </c:pt>
                <c:pt idx="6">
                  <c:v>1097</c:v>
                </c:pt>
              </c:numCache>
            </c:numRef>
          </c:val>
          <c:smooth val="0"/>
          <c:extLst>
            <c:ext xmlns:c16="http://schemas.microsoft.com/office/drawing/2014/chart" uri="{C3380CC4-5D6E-409C-BE32-E72D297353CC}">
              <c16:uniqueId val="{00000005-EF1A-40E9-9B09-896B68AD066D}"/>
            </c:ext>
          </c:extLst>
        </c:ser>
        <c:ser>
          <c:idx val="6"/>
          <c:order val="7"/>
          <c:tx>
            <c:strRef>
              <c:f>Processing!$C$36</c:f>
              <c:strCache>
                <c:ptCount val="1"/>
                <c:pt idx="0">
                  <c:v>Down</c:v>
                </c:pt>
              </c:strCache>
            </c:strRef>
          </c:tx>
          <c:spPr>
            <a:ln w="28575" cap="rnd">
              <a:noFill/>
              <a:round/>
            </a:ln>
            <a:effectLst/>
          </c:spPr>
          <c:marker>
            <c:symbol val="none"/>
          </c:marker>
          <c:val>
            <c:numRef>
              <c:f>Processing!$D$36:$J$36</c:f>
              <c:numCache>
                <c:formatCode>General</c:formatCode>
                <c:ptCount val="7"/>
                <c:pt idx="0">
                  <c:v>0</c:v>
                </c:pt>
                <c:pt idx="1">
                  <c:v>0</c:v>
                </c:pt>
                <c:pt idx="2">
                  <c:v>0</c:v>
                </c:pt>
                <c:pt idx="3">
                  <c:v>0</c:v>
                </c:pt>
                <c:pt idx="4">
                  <c:v>0</c:v>
                </c:pt>
                <c:pt idx="5">
                  <c:v>0</c:v>
                </c:pt>
                <c:pt idx="6">
                  <c:v>0</c:v>
                </c:pt>
              </c:numCache>
            </c:numRef>
          </c:val>
          <c:smooth val="0"/>
          <c:extLst>
            <c:ext xmlns:c16="http://schemas.microsoft.com/office/drawing/2014/chart" uri="{C3380CC4-5D6E-409C-BE32-E72D297353CC}">
              <c16:uniqueId val="{00000006-EF1A-40E9-9B09-896B68AD066D}"/>
            </c:ext>
          </c:extLst>
        </c:ser>
        <c:dLbls>
          <c:showLegendKey val="0"/>
          <c:showVal val="0"/>
          <c:showCatName val="0"/>
          <c:showSerName val="0"/>
          <c:showPercent val="0"/>
          <c:showBubbleSize val="0"/>
        </c:dLbls>
        <c:upDownBars>
          <c:gapWidth val="3"/>
          <c:upBars>
            <c:spPr>
              <a:solidFill>
                <a:schemeClr val="lt1"/>
              </a:solidFill>
              <a:ln w="9525">
                <a:solidFill>
                  <a:schemeClr val="tx1">
                    <a:lumMod val="15000"/>
                    <a:lumOff val="85000"/>
                  </a:schemeClr>
                </a:solidFill>
              </a:ln>
              <a:effectLst/>
            </c:spPr>
          </c:upBars>
          <c:downBars>
            <c:spPr>
              <a:gradFill>
                <a:gsLst>
                  <a:gs pos="0">
                    <a:srgbClr val="2ABFF7">
                      <a:alpha val="29000"/>
                    </a:srgbClr>
                  </a:gs>
                  <a:gs pos="100000">
                    <a:srgbClr val="2ABFF7">
                      <a:alpha val="0"/>
                    </a:srgbClr>
                  </a:gs>
                </a:gsLst>
                <a:lin ang="5400000" scaled="1"/>
              </a:gradFill>
              <a:ln w="9525">
                <a:noFill/>
              </a:ln>
              <a:effectLst/>
            </c:spPr>
          </c:downBars>
        </c:upDownBars>
        <c:marker val="1"/>
        <c:smooth val="0"/>
        <c:axId val="1345606239"/>
        <c:axId val="1345604799"/>
      </c:lineChart>
      <c:scatterChart>
        <c:scatterStyle val="lineMarker"/>
        <c:varyColors val="0"/>
        <c:ser>
          <c:idx val="7"/>
          <c:order val="5"/>
          <c:tx>
            <c:strRef>
              <c:f>Processing!$C$38</c:f>
              <c:strCache>
                <c:ptCount val="1"/>
                <c:pt idx="0">
                  <c:v>Cursor</c:v>
                </c:pt>
              </c:strCache>
            </c:strRef>
          </c:tx>
          <c:spPr>
            <a:ln w="25400" cap="rnd">
              <a:noFill/>
              <a:round/>
            </a:ln>
            <a:effectLst/>
          </c:spPr>
          <c:marker>
            <c:symbol val="circle"/>
            <c:size val="5"/>
            <c:spPr>
              <a:solidFill>
                <a:schemeClr val="bg1">
                  <a:alpha val="75000"/>
                </a:schemeClr>
              </a:solidFill>
              <a:ln w="9525">
                <a:noFill/>
              </a:ln>
              <a:effectLst/>
            </c:spPr>
          </c:marker>
          <c:dLbls>
            <c:dLbl>
              <c:idx val="2"/>
              <c:layout>
                <c:manualLayout>
                  <c:x val="-4.4387139107611551E-2"/>
                  <c:y val="-8.73073157521976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F1A-40E9-9B09-896B68AD066D}"/>
                </c:ext>
              </c:extLst>
            </c:dLbl>
            <c:spPr>
              <a:solidFill>
                <a:schemeClr val="tx2">
                  <a:lumMod val="90000"/>
                  <a:lumOff val="10000"/>
                </a:scheme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0"/>
              </c:ext>
            </c:extLst>
          </c:dLbls>
          <c:errBars>
            <c:errDir val="y"/>
            <c:errBarType val="both"/>
            <c:errValType val="cust"/>
            <c:noEndCap val="0"/>
            <c:plus>
              <c:numLit>
                <c:formatCode>General</c:formatCode>
                <c:ptCount val="1"/>
                <c:pt idx="0">
                  <c:v>0</c:v>
                </c:pt>
              </c:numLit>
            </c:plus>
            <c:minus>
              <c:numRef>
                <c:f>Processing!$D$37:$J$37</c:f>
                <c:numCache>
                  <c:formatCode>General</c:formatCode>
                  <c:ptCount val="7"/>
                  <c:pt idx="0">
                    <c:v>1047</c:v>
                  </c:pt>
                  <c:pt idx="1">
                    <c:v>1655</c:v>
                  </c:pt>
                  <c:pt idx="2">
                    <c:v>1702</c:v>
                  </c:pt>
                  <c:pt idx="3">
                    <c:v>1727</c:v>
                  </c:pt>
                  <c:pt idx="4">
                    <c:v>1651</c:v>
                  </c:pt>
                  <c:pt idx="5">
                    <c:v>1081</c:v>
                  </c:pt>
                  <c:pt idx="6">
                    <c:v>1097</c:v>
                  </c:pt>
                </c:numCache>
              </c:numRef>
            </c:minus>
            <c:spPr>
              <a:noFill/>
              <a:ln w="533400" cap="flat" cmpd="sng" algn="ctr">
                <a:gradFill>
                  <a:gsLst>
                    <a:gs pos="0">
                      <a:schemeClr val="accent1">
                        <a:lumMod val="5000"/>
                        <a:lumOff val="95000"/>
                        <a:alpha val="32000"/>
                      </a:schemeClr>
                    </a:gs>
                    <a:gs pos="100000">
                      <a:schemeClr val="accent1">
                        <a:lumMod val="30000"/>
                        <a:lumOff val="70000"/>
                        <a:alpha val="0"/>
                      </a:schemeClr>
                    </a:gs>
                  </a:gsLst>
                  <a:lin ang="5400000" scaled="1"/>
                </a:gradFill>
                <a:round/>
              </a:ln>
              <a:effectLst/>
            </c:spPr>
          </c:errBars>
          <c:yVal>
            <c:numRef>
              <c:f>Processing!$D$37:$J$37</c:f>
              <c:numCache>
                <c:formatCode>General</c:formatCode>
                <c:ptCount val="7"/>
                <c:pt idx="0">
                  <c:v>1047</c:v>
                </c:pt>
                <c:pt idx="1">
                  <c:v>1655</c:v>
                </c:pt>
                <c:pt idx="2">
                  <c:v>1702</c:v>
                </c:pt>
                <c:pt idx="3">
                  <c:v>1727</c:v>
                </c:pt>
                <c:pt idx="4">
                  <c:v>1651</c:v>
                </c:pt>
                <c:pt idx="5">
                  <c:v>1081</c:v>
                </c:pt>
                <c:pt idx="6">
                  <c:v>1097</c:v>
                </c:pt>
              </c:numCache>
            </c:numRef>
          </c:yVal>
          <c:smooth val="0"/>
          <c:extLst>
            <c:ext xmlns:c16="http://schemas.microsoft.com/office/drawing/2014/chart" uri="{C3380CC4-5D6E-409C-BE32-E72D297353CC}">
              <c16:uniqueId val="{00000008-EF1A-40E9-9B09-896B68AD066D}"/>
            </c:ext>
          </c:extLst>
        </c:ser>
        <c:dLbls>
          <c:showLegendKey val="0"/>
          <c:showVal val="0"/>
          <c:showCatName val="0"/>
          <c:showSerName val="0"/>
          <c:showPercent val="0"/>
          <c:showBubbleSize val="0"/>
        </c:dLbls>
        <c:axId val="1345606239"/>
        <c:axId val="1345604799"/>
      </c:scatterChart>
      <c:catAx>
        <c:axId val="134560623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1345604799"/>
        <c:crosses val="autoZero"/>
        <c:auto val="1"/>
        <c:lblAlgn val="ctr"/>
        <c:lblOffset val="100"/>
        <c:noMultiLvlLbl val="0"/>
      </c:catAx>
      <c:valAx>
        <c:axId val="1345604799"/>
        <c:scaling>
          <c:orientation val="minMax"/>
        </c:scaling>
        <c:delete val="1"/>
        <c:axPos val="l"/>
        <c:numFmt formatCode="General" sourceLinked="1"/>
        <c:majorTickMark val="none"/>
        <c:minorTickMark val="none"/>
        <c:tickLblPos val="nextTo"/>
        <c:crossAx val="134560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242631"/>
                  </a:gs>
                  <a:gs pos="100000">
                    <a:srgbClr val="FF00FF"/>
                  </a:gs>
                </a:gsLst>
                <a:lin ang="5400000" scaled="1"/>
              </a:gradFill>
              <a:ln w="19050">
                <a:noFill/>
              </a:ln>
              <a:effectLst/>
            </c:spPr>
            <c:extLst>
              <c:ext xmlns:c16="http://schemas.microsoft.com/office/drawing/2014/chart" uri="{C3380CC4-5D6E-409C-BE32-E72D297353CC}">
                <c16:uniqueId val="{00000001-28EB-4EF3-9D47-2E35A5E1B6C8}"/>
              </c:ext>
            </c:extLst>
          </c:dPt>
          <c:dPt>
            <c:idx val="1"/>
            <c:bubble3D val="0"/>
            <c:spPr>
              <a:solidFill>
                <a:srgbClr val="242631"/>
              </a:solidFill>
              <a:ln w="19050">
                <a:noFill/>
              </a:ln>
              <a:effectLst/>
            </c:spPr>
            <c:extLst>
              <c:ext xmlns:c16="http://schemas.microsoft.com/office/drawing/2014/chart" uri="{C3380CC4-5D6E-409C-BE32-E72D297353CC}">
                <c16:uniqueId val="{00000003-28EB-4EF3-9D47-2E35A5E1B6C8}"/>
              </c:ext>
            </c:extLst>
          </c:dPt>
          <c:val>
            <c:numRef>
              <c:f>Processing!$D$42:$E$42</c:f>
              <c:numCache>
                <c:formatCode>0%</c:formatCode>
                <c:ptCount val="2"/>
                <c:pt idx="0">
                  <c:v>0.42068872226945969</c:v>
                </c:pt>
                <c:pt idx="1">
                  <c:v>0.57931127773054025</c:v>
                </c:pt>
              </c:numCache>
            </c:numRef>
          </c:val>
          <c:extLst>
            <c:ext xmlns:c16="http://schemas.microsoft.com/office/drawing/2014/chart" uri="{C3380CC4-5D6E-409C-BE32-E72D297353CC}">
              <c16:uniqueId val="{00000004-28EB-4EF3-9D47-2E35A5E1B6C8}"/>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8EB-4EF3-9D47-2E35A5E1B6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28EB-4EF3-9D47-2E35A5E1B6C8}"/>
              </c:ext>
            </c:extLst>
          </c:dPt>
          <c:val>
            <c:numRef>
              <c:f>Processing!$D$43:$E$43</c:f>
              <c:numCache>
                <c:formatCode>General</c:formatCode>
                <c:ptCount val="2"/>
              </c:numCache>
            </c:numRef>
          </c:val>
          <c:extLst>
            <c:ext xmlns:c16="http://schemas.microsoft.com/office/drawing/2014/chart" uri="{C3380CC4-5D6E-409C-BE32-E72D297353CC}">
              <c16:uniqueId val="{00000009-28EB-4EF3-9D47-2E35A5E1B6C8}"/>
            </c:ext>
          </c:extLst>
        </c:ser>
        <c:ser>
          <c:idx val="2"/>
          <c:order val="2"/>
          <c:spPr>
            <a:ln>
              <a:noFill/>
            </a:ln>
          </c:spPr>
          <c:dPt>
            <c:idx val="0"/>
            <c:bubble3D val="0"/>
            <c:spPr>
              <a:gradFill>
                <a:gsLst>
                  <a:gs pos="0">
                    <a:srgbClr val="242631"/>
                  </a:gs>
                  <a:gs pos="100000">
                    <a:srgbClr val="FF00FF"/>
                  </a:gs>
                </a:gsLst>
                <a:lin ang="5400000" scaled="1"/>
              </a:gradFill>
              <a:ln w="19050">
                <a:noFill/>
              </a:ln>
              <a:effectLst/>
            </c:spPr>
            <c:extLst>
              <c:ext xmlns:c16="http://schemas.microsoft.com/office/drawing/2014/chart" uri="{C3380CC4-5D6E-409C-BE32-E72D297353CC}">
                <c16:uniqueId val="{0000000B-28EB-4EF3-9D47-2E35A5E1B6C8}"/>
              </c:ext>
            </c:extLst>
          </c:dPt>
          <c:dPt>
            <c:idx val="1"/>
            <c:bubble3D val="0"/>
            <c:spPr>
              <a:solidFill>
                <a:srgbClr val="242631"/>
              </a:solidFill>
              <a:ln w="19050">
                <a:noFill/>
              </a:ln>
              <a:effectLst/>
            </c:spPr>
            <c:extLst>
              <c:ext xmlns:c16="http://schemas.microsoft.com/office/drawing/2014/chart" uri="{C3380CC4-5D6E-409C-BE32-E72D297353CC}">
                <c16:uniqueId val="{0000000D-28EB-4EF3-9D47-2E35A5E1B6C8}"/>
              </c:ext>
            </c:extLst>
          </c:dPt>
          <c:val>
            <c:numRef>
              <c:f>Processing!$D$44:$E$44</c:f>
              <c:numCache>
                <c:formatCode>0%</c:formatCode>
                <c:ptCount val="2"/>
                <c:pt idx="0">
                  <c:v>0.50577585392457469</c:v>
                </c:pt>
                <c:pt idx="1">
                  <c:v>0.49422414607542531</c:v>
                </c:pt>
              </c:numCache>
            </c:numRef>
          </c:val>
          <c:extLst>
            <c:ext xmlns:c16="http://schemas.microsoft.com/office/drawing/2014/chart" uri="{C3380CC4-5D6E-409C-BE32-E72D297353CC}">
              <c16:uniqueId val="{0000000E-28EB-4EF3-9D47-2E35A5E1B6C8}"/>
            </c:ext>
          </c:extLst>
        </c:ser>
        <c:ser>
          <c:idx val="3"/>
          <c:order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10-28EB-4EF3-9D47-2E35A5E1B6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28EB-4EF3-9D47-2E35A5E1B6C8}"/>
              </c:ext>
            </c:extLst>
          </c:dPt>
          <c:val>
            <c:numRef>
              <c:f>Processing!$D$45:$E$45</c:f>
              <c:numCache>
                <c:formatCode>General</c:formatCode>
                <c:ptCount val="2"/>
              </c:numCache>
            </c:numRef>
          </c:val>
          <c:extLst>
            <c:ext xmlns:c16="http://schemas.microsoft.com/office/drawing/2014/chart" uri="{C3380CC4-5D6E-409C-BE32-E72D297353CC}">
              <c16:uniqueId val="{00000013-28EB-4EF3-9D47-2E35A5E1B6C8}"/>
            </c:ext>
          </c:extLst>
        </c:ser>
        <c:ser>
          <c:idx val="4"/>
          <c:order val="4"/>
          <c:spPr>
            <a:ln>
              <a:noFill/>
            </a:ln>
          </c:spPr>
          <c:dPt>
            <c:idx val="0"/>
            <c:bubble3D val="0"/>
            <c:spPr>
              <a:gradFill>
                <a:gsLst>
                  <a:gs pos="0">
                    <a:srgbClr val="242631"/>
                  </a:gs>
                  <a:gs pos="100000">
                    <a:srgbClr val="FF00FF"/>
                  </a:gs>
                </a:gsLst>
                <a:lin ang="5400000" scaled="1"/>
              </a:gradFill>
              <a:ln w="19050">
                <a:noFill/>
              </a:ln>
              <a:effectLst/>
            </c:spPr>
            <c:extLst>
              <c:ext xmlns:c16="http://schemas.microsoft.com/office/drawing/2014/chart" uri="{C3380CC4-5D6E-409C-BE32-E72D297353CC}">
                <c16:uniqueId val="{00000015-28EB-4EF3-9D47-2E35A5E1B6C8}"/>
              </c:ext>
            </c:extLst>
          </c:dPt>
          <c:dPt>
            <c:idx val="1"/>
            <c:bubble3D val="0"/>
            <c:spPr>
              <a:solidFill>
                <a:srgbClr val="242631"/>
              </a:solidFill>
              <a:ln w="19050">
                <a:noFill/>
              </a:ln>
              <a:effectLst/>
            </c:spPr>
            <c:extLst>
              <c:ext xmlns:c16="http://schemas.microsoft.com/office/drawing/2014/chart" uri="{C3380CC4-5D6E-409C-BE32-E72D297353CC}">
                <c16:uniqueId val="{00000017-28EB-4EF3-9D47-2E35A5E1B6C8}"/>
              </c:ext>
            </c:extLst>
          </c:dPt>
          <c:val>
            <c:numRef>
              <c:f>Processing!$D$46:$E$46</c:f>
              <c:numCache>
                <c:formatCode>0%</c:formatCode>
                <c:ptCount val="2"/>
                <c:pt idx="0">
                  <c:v>0.57161801207561436</c:v>
                </c:pt>
                <c:pt idx="1">
                  <c:v>0.42838198792438564</c:v>
                </c:pt>
              </c:numCache>
            </c:numRef>
          </c:val>
          <c:extLst>
            <c:ext xmlns:c16="http://schemas.microsoft.com/office/drawing/2014/chart" uri="{C3380CC4-5D6E-409C-BE32-E72D297353CC}">
              <c16:uniqueId val="{00000018-28EB-4EF3-9D47-2E35A5E1B6C8}"/>
            </c:ext>
          </c:extLst>
        </c:ser>
        <c:dLbls>
          <c:showLegendKey val="0"/>
          <c:showVal val="0"/>
          <c:showCatName val="0"/>
          <c:showSerName val="0"/>
          <c:showPercent val="0"/>
          <c:showBubbleSize val="0"/>
          <c:showLeaderLines val="1"/>
        </c:dLbls>
        <c:firstSliceAng val="0"/>
        <c:holeSize val="76"/>
      </c:doughnutChart>
      <c:scatterChart>
        <c:scatterStyle val="lineMarker"/>
        <c:varyColors val="0"/>
        <c:ser>
          <c:idx val="5"/>
          <c:order val="5"/>
          <c:tx>
            <c:v>Light1</c:v>
          </c:tx>
          <c:spPr>
            <a:ln w="25400" cap="rnd">
              <a:noFill/>
              <a:round/>
            </a:ln>
            <a:effectLst>
              <a:glow rad="165100">
                <a:srgbClr val="FF00FF">
                  <a:alpha val="40000"/>
                </a:srgbClr>
              </a:glow>
            </a:effectLst>
          </c:spPr>
          <c:marker>
            <c:symbol val="circle"/>
            <c:size val="3"/>
            <c:spPr>
              <a:solidFill>
                <a:schemeClr val="bg1"/>
              </a:solidFill>
              <a:ln w="9525">
                <a:noFill/>
              </a:ln>
              <a:effectLst>
                <a:glow rad="165100">
                  <a:srgbClr val="FF00FF">
                    <a:alpha val="40000"/>
                  </a:srgbClr>
                </a:glow>
              </a:effectLst>
            </c:spPr>
          </c:marker>
          <c:xVal>
            <c:numRef>
              <c:f>Processing!$F$42</c:f>
              <c:numCache>
                <c:formatCode>0.000</c:formatCode>
                <c:ptCount val="1"/>
                <c:pt idx="0">
                  <c:v>0.43016136509453118</c:v>
                </c:pt>
              </c:numCache>
            </c:numRef>
          </c:xVal>
          <c:yVal>
            <c:numRef>
              <c:f>Processing!$G$42</c:f>
              <c:numCache>
                <c:formatCode>0.000</c:formatCode>
                <c:ptCount val="1"/>
                <c:pt idx="0">
                  <c:v>-0.79054487537394713</c:v>
                </c:pt>
              </c:numCache>
            </c:numRef>
          </c:yVal>
          <c:smooth val="0"/>
          <c:extLst>
            <c:ext xmlns:c16="http://schemas.microsoft.com/office/drawing/2014/chart" uri="{C3380CC4-5D6E-409C-BE32-E72D297353CC}">
              <c16:uniqueId val="{00000019-28EB-4EF3-9D47-2E35A5E1B6C8}"/>
            </c:ext>
          </c:extLst>
        </c:ser>
        <c:ser>
          <c:idx val="6"/>
          <c:order val="6"/>
          <c:tx>
            <c:v>Light2</c:v>
          </c:tx>
          <c:spPr>
            <a:ln w="25400" cap="rnd">
              <a:noFill/>
              <a:round/>
            </a:ln>
            <a:effectLst>
              <a:glow rad="165100">
                <a:srgbClr val="FF00FF">
                  <a:alpha val="40000"/>
                </a:srgbClr>
              </a:glow>
            </a:effectLst>
          </c:spPr>
          <c:marker>
            <c:symbol val="circle"/>
            <c:size val="3"/>
            <c:spPr>
              <a:solidFill>
                <a:schemeClr val="bg1"/>
              </a:solidFill>
              <a:ln w="9525">
                <a:noFill/>
              </a:ln>
              <a:effectLst>
                <a:glow rad="165100">
                  <a:srgbClr val="FF00FF">
                    <a:alpha val="40000"/>
                  </a:srgbClr>
                </a:glow>
              </a:effectLst>
            </c:spPr>
          </c:marker>
          <c:xVal>
            <c:numRef>
              <c:f>Processing!$F$44</c:f>
              <c:numCache>
                <c:formatCode>0.000</c:formatCode>
                <c:ptCount val="1"/>
                <c:pt idx="0">
                  <c:v>-3.6282795101190507E-2</c:v>
                </c:pt>
              </c:numCache>
            </c:numRef>
          </c:xVal>
          <c:yVal>
            <c:numRef>
              <c:f>Processing!$G$44</c:f>
              <c:numCache>
                <c:formatCode>0.000</c:formatCode>
                <c:ptCount val="1"/>
                <c:pt idx="0">
                  <c:v>-0.99934156261993079</c:v>
                </c:pt>
              </c:numCache>
            </c:numRef>
          </c:yVal>
          <c:smooth val="0"/>
          <c:extLst>
            <c:ext xmlns:c16="http://schemas.microsoft.com/office/drawing/2014/chart" uri="{C3380CC4-5D6E-409C-BE32-E72D297353CC}">
              <c16:uniqueId val="{0000001A-28EB-4EF3-9D47-2E35A5E1B6C8}"/>
            </c:ext>
          </c:extLst>
        </c:ser>
        <c:ser>
          <c:idx val="7"/>
          <c:order val="7"/>
          <c:tx>
            <c:v>Light3</c:v>
          </c:tx>
          <c:spPr>
            <a:ln w="25400" cap="rnd">
              <a:noFill/>
              <a:round/>
            </a:ln>
            <a:effectLst>
              <a:glow rad="165100">
                <a:srgbClr val="FF00FF">
                  <a:alpha val="40000"/>
                </a:srgbClr>
              </a:glow>
            </a:effectLst>
          </c:spPr>
          <c:marker>
            <c:symbol val="circle"/>
            <c:size val="3"/>
            <c:spPr>
              <a:solidFill>
                <a:schemeClr val="bg1"/>
              </a:solidFill>
              <a:ln w="9525">
                <a:noFill/>
              </a:ln>
              <a:effectLst>
                <a:glow rad="165100">
                  <a:srgbClr val="FF00FF">
                    <a:alpha val="40000"/>
                  </a:srgbClr>
                </a:glow>
              </a:effectLst>
            </c:spPr>
          </c:marker>
          <c:xVal>
            <c:numRef>
              <c:f>Processing!$F$46</c:f>
              <c:numCache>
                <c:formatCode>0.000</c:formatCode>
                <c:ptCount val="1"/>
                <c:pt idx="0">
                  <c:v>-0.48715054792139934</c:v>
                </c:pt>
              </c:numCache>
            </c:numRef>
          </c:xVal>
          <c:yVal>
            <c:numRef>
              <c:f>Processing!$G$46</c:f>
              <c:numCache>
                <c:formatCode>0.000</c:formatCode>
                <c:ptCount val="1"/>
                <c:pt idx="0">
                  <c:v>-1.0085059958472633</c:v>
                </c:pt>
              </c:numCache>
            </c:numRef>
          </c:yVal>
          <c:smooth val="0"/>
          <c:extLst>
            <c:ext xmlns:c16="http://schemas.microsoft.com/office/drawing/2014/chart" uri="{C3380CC4-5D6E-409C-BE32-E72D297353CC}">
              <c16:uniqueId val="{0000001B-28EB-4EF3-9D47-2E35A5E1B6C8}"/>
            </c:ext>
          </c:extLst>
        </c:ser>
        <c:dLbls>
          <c:showLegendKey val="0"/>
          <c:showVal val="0"/>
          <c:showCatName val="0"/>
          <c:showSerName val="0"/>
          <c:showPercent val="0"/>
          <c:showBubbleSize val="0"/>
        </c:dLbls>
        <c:axId val="764439775"/>
        <c:axId val="764420095"/>
      </c:scatterChart>
      <c:valAx>
        <c:axId val="764420095"/>
        <c:scaling>
          <c:orientation val="minMax"/>
          <c:max val="1.1500000000000001"/>
          <c:min val="-1.1400000000000001"/>
        </c:scaling>
        <c:delete val="1"/>
        <c:axPos val="l"/>
        <c:numFmt formatCode="0.000" sourceLinked="1"/>
        <c:majorTickMark val="out"/>
        <c:minorTickMark val="none"/>
        <c:tickLblPos val="nextTo"/>
        <c:crossAx val="764439775"/>
        <c:crosses val="autoZero"/>
        <c:crossBetween val="midCat"/>
      </c:valAx>
      <c:valAx>
        <c:axId val="764439775"/>
        <c:scaling>
          <c:orientation val="minMax"/>
          <c:max val="1.1400000000000001"/>
          <c:min val="-1.1500000000000001"/>
        </c:scaling>
        <c:delete val="1"/>
        <c:axPos val="b"/>
        <c:numFmt formatCode="0.000" sourceLinked="1"/>
        <c:majorTickMark val="out"/>
        <c:minorTickMark val="none"/>
        <c:tickLblPos val="nextTo"/>
        <c:crossAx val="7644200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6AEDEB"/>
                  </a:gs>
                  <a:gs pos="6000">
                    <a:srgbClr val="6AEDEB">
                      <a:alpha val="0"/>
                    </a:srgbClr>
                  </a:gs>
                </a:gsLst>
                <a:lin ang="19800000" scaled="0"/>
              </a:gradFill>
              <a:ln w="19050">
                <a:noFill/>
              </a:ln>
              <a:effectLst/>
            </c:spPr>
            <c:extLst>
              <c:ext xmlns:c16="http://schemas.microsoft.com/office/drawing/2014/chart" uri="{C3380CC4-5D6E-409C-BE32-E72D297353CC}">
                <c16:uniqueId val="{00000001-D09C-453B-8CB0-1B2F799B31BD}"/>
              </c:ext>
            </c:extLst>
          </c:dPt>
          <c:dPt>
            <c:idx val="1"/>
            <c:bubble3D val="0"/>
            <c:spPr>
              <a:noFill/>
              <a:ln w="19050">
                <a:noFill/>
              </a:ln>
              <a:effectLst/>
            </c:spPr>
            <c:extLst>
              <c:ext xmlns:c16="http://schemas.microsoft.com/office/drawing/2014/chart" uri="{C3380CC4-5D6E-409C-BE32-E72D297353CC}">
                <c16:uniqueId val="{00000003-D09C-453B-8CB0-1B2F799B31BD}"/>
              </c:ext>
            </c:extLst>
          </c:dPt>
          <c:val>
            <c:numRef>
              <c:f>Processing!$L$42:$M$42</c:f>
              <c:numCache>
                <c:formatCode>0%</c:formatCode>
                <c:ptCount val="2"/>
                <c:pt idx="0">
                  <c:v>5.6821917808219116E-2</c:v>
                </c:pt>
                <c:pt idx="1">
                  <c:v>9.3178082191780878E-2</c:v>
                </c:pt>
              </c:numCache>
            </c:numRef>
          </c:val>
          <c:extLst>
            <c:ext xmlns:c16="http://schemas.microsoft.com/office/drawing/2014/chart" uri="{C3380CC4-5D6E-409C-BE32-E72D297353CC}">
              <c16:uniqueId val="{00000004-D09C-453B-8CB0-1B2F799B31BD}"/>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6-D09C-453B-8CB0-1B2F799B31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D09C-453B-8CB0-1B2F799B31BD}"/>
              </c:ext>
            </c:extLst>
          </c:dPt>
          <c:val>
            <c:numRef>
              <c:f>Processing!$L$43:$M$43</c:f>
              <c:numCache>
                <c:formatCode>General</c:formatCode>
                <c:ptCount val="2"/>
              </c:numCache>
            </c:numRef>
          </c:val>
          <c:extLst>
            <c:ext xmlns:c16="http://schemas.microsoft.com/office/drawing/2014/chart" uri="{C3380CC4-5D6E-409C-BE32-E72D297353CC}">
              <c16:uniqueId val="{00000009-D09C-453B-8CB0-1B2F799B31BD}"/>
            </c:ext>
          </c:extLst>
        </c:ser>
        <c:ser>
          <c:idx val="2"/>
          <c:order val="2"/>
          <c:spPr>
            <a:ln>
              <a:noFill/>
            </a:ln>
          </c:spPr>
          <c:dPt>
            <c:idx val="0"/>
            <c:bubble3D val="0"/>
            <c:spPr>
              <a:gradFill>
                <a:gsLst>
                  <a:gs pos="100000">
                    <a:srgbClr val="6AEDEB"/>
                  </a:gs>
                  <a:gs pos="6000">
                    <a:srgbClr val="6AEDEB">
                      <a:alpha val="0"/>
                    </a:srgbClr>
                  </a:gs>
                </a:gsLst>
                <a:lin ang="19800000" scaled="0"/>
              </a:gradFill>
              <a:ln w="19050">
                <a:noFill/>
              </a:ln>
              <a:effectLst/>
            </c:spPr>
            <c:extLst>
              <c:ext xmlns:c16="http://schemas.microsoft.com/office/drawing/2014/chart" uri="{C3380CC4-5D6E-409C-BE32-E72D297353CC}">
                <c16:uniqueId val="{0000000B-D09C-453B-8CB0-1B2F799B31BD}"/>
              </c:ext>
            </c:extLst>
          </c:dPt>
          <c:dPt>
            <c:idx val="1"/>
            <c:bubble3D val="0"/>
            <c:spPr>
              <a:noFill/>
              <a:ln w="19050">
                <a:noFill/>
              </a:ln>
              <a:effectLst/>
            </c:spPr>
            <c:extLst>
              <c:ext xmlns:c16="http://schemas.microsoft.com/office/drawing/2014/chart" uri="{C3380CC4-5D6E-409C-BE32-E72D297353CC}">
                <c16:uniqueId val="{0000000D-D09C-453B-8CB0-1B2F799B31BD}"/>
              </c:ext>
            </c:extLst>
          </c:dPt>
          <c:val>
            <c:numRef>
              <c:f>Processing!$L$44:$M$44</c:f>
              <c:numCache>
                <c:formatCode>0%</c:formatCode>
                <c:ptCount val="2"/>
                <c:pt idx="0">
                  <c:v>5.6821917808219116E-2</c:v>
                </c:pt>
                <c:pt idx="1">
                  <c:v>9.3178082191780878E-2</c:v>
                </c:pt>
              </c:numCache>
            </c:numRef>
          </c:val>
          <c:extLst>
            <c:ext xmlns:c16="http://schemas.microsoft.com/office/drawing/2014/chart" uri="{C3380CC4-5D6E-409C-BE32-E72D297353CC}">
              <c16:uniqueId val="{0000000E-D09C-453B-8CB0-1B2F799B31BD}"/>
            </c:ext>
          </c:extLst>
        </c:ser>
        <c:ser>
          <c:idx val="3"/>
          <c:order val="3"/>
          <c:spPr>
            <a:ln>
              <a:noFill/>
            </a:ln>
          </c:spPr>
          <c:dPt>
            <c:idx val="0"/>
            <c:bubble3D val="0"/>
            <c:spPr>
              <a:solidFill>
                <a:schemeClr val="accent1"/>
              </a:solidFill>
              <a:ln w="19050">
                <a:noFill/>
              </a:ln>
              <a:effectLst/>
            </c:spPr>
            <c:extLst>
              <c:ext xmlns:c16="http://schemas.microsoft.com/office/drawing/2014/chart" uri="{C3380CC4-5D6E-409C-BE32-E72D297353CC}">
                <c16:uniqueId val="{00000010-D09C-453B-8CB0-1B2F799B31BD}"/>
              </c:ext>
            </c:extLst>
          </c:dPt>
          <c:dPt>
            <c:idx val="1"/>
            <c:bubble3D val="0"/>
            <c:spPr>
              <a:solidFill>
                <a:schemeClr val="accent2"/>
              </a:solidFill>
              <a:ln w="19050">
                <a:noFill/>
              </a:ln>
              <a:effectLst/>
            </c:spPr>
            <c:extLst>
              <c:ext xmlns:c16="http://schemas.microsoft.com/office/drawing/2014/chart" uri="{C3380CC4-5D6E-409C-BE32-E72D297353CC}">
                <c16:uniqueId val="{00000012-D09C-453B-8CB0-1B2F799B31BD}"/>
              </c:ext>
            </c:extLst>
          </c:dPt>
          <c:val>
            <c:numRef>
              <c:f>Processing!$L$45:$M$45</c:f>
              <c:numCache>
                <c:formatCode>General</c:formatCode>
                <c:ptCount val="2"/>
              </c:numCache>
            </c:numRef>
          </c:val>
          <c:extLst>
            <c:ext xmlns:c16="http://schemas.microsoft.com/office/drawing/2014/chart" uri="{C3380CC4-5D6E-409C-BE32-E72D297353CC}">
              <c16:uniqueId val="{00000013-D09C-453B-8CB0-1B2F799B31BD}"/>
            </c:ext>
          </c:extLst>
        </c:ser>
        <c:ser>
          <c:idx val="4"/>
          <c:order val="4"/>
          <c:spPr>
            <a:ln>
              <a:noFill/>
            </a:ln>
          </c:spPr>
          <c:dPt>
            <c:idx val="0"/>
            <c:bubble3D val="0"/>
            <c:spPr>
              <a:gradFill flip="none" rotWithShape="1">
                <a:gsLst>
                  <a:gs pos="100000">
                    <a:srgbClr val="6AEDEB"/>
                  </a:gs>
                  <a:gs pos="6000">
                    <a:srgbClr val="6AEDEB">
                      <a:alpha val="0"/>
                    </a:srgbClr>
                  </a:gs>
                </a:gsLst>
                <a:lin ang="19800000" scaled="0"/>
                <a:tileRect/>
              </a:gradFill>
              <a:ln w="19050">
                <a:noFill/>
              </a:ln>
              <a:effectLst/>
            </c:spPr>
            <c:extLst>
              <c:ext xmlns:c16="http://schemas.microsoft.com/office/drawing/2014/chart" uri="{C3380CC4-5D6E-409C-BE32-E72D297353CC}">
                <c16:uniqueId val="{00000015-D09C-453B-8CB0-1B2F799B31BD}"/>
              </c:ext>
            </c:extLst>
          </c:dPt>
          <c:dPt>
            <c:idx val="1"/>
            <c:bubble3D val="0"/>
            <c:spPr>
              <a:noFill/>
              <a:ln w="19050">
                <a:noFill/>
              </a:ln>
              <a:effectLst/>
            </c:spPr>
            <c:extLst>
              <c:ext xmlns:c16="http://schemas.microsoft.com/office/drawing/2014/chart" uri="{C3380CC4-5D6E-409C-BE32-E72D297353CC}">
                <c16:uniqueId val="{00000017-D09C-453B-8CB0-1B2F799B31BD}"/>
              </c:ext>
            </c:extLst>
          </c:dPt>
          <c:val>
            <c:numRef>
              <c:f>Processing!$L$46:$M$46</c:f>
              <c:numCache>
                <c:formatCode>0%</c:formatCode>
                <c:ptCount val="2"/>
                <c:pt idx="0">
                  <c:v>5.6821917808219116E-2</c:v>
                </c:pt>
                <c:pt idx="1">
                  <c:v>9.3178082191780878E-2</c:v>
                </c:pt>
              </c:numCache>
            </c:numRef>
          </c:val>
          <c:extLst>
            <c:ext xmlns:c16="http://schemas.microsoft.com/office/drawing/2014/chart" uri="{C3380CC4-5D6E-409C-BE32-E72D297353CC}">
              <c16:uniqueId val="{00000018-D09C-453B-8CB0-1B2F799B31BD}"/>
            </c:ext>
          </c:extLst>
        </c:ser>
        <c:dLbls>
          <c:showLegendKey val="0"/>
          <c:showVal val="0"/>
          <c:showCatName val="0"/>
          <c:showSerName val="0"/>
          <c:showPercent val="0"/>
          <c:showBubbleSize val="0"/>
          <c:showLeaderLines val="1"/>
        </c:dLbls>
        <c:firstSliceAng val="240"/>
        <c:holeSize val="80"/>
      </c:doughnutChart>
      <c:pieChart>
        <c:varyColors val="1"/>
        <c:ser>
          <c:idx val="5"/>
          <c:order val="5"/>
          <c:tx>
            <c:v>Cursor</c:v>
          </c:tx>
          <c:spPr>
            <a:ln>
              <a:noFill/>
            </a:ln>
          </c:spPr>
          <c:dPt>
            <c:idx val="0"/>
            <c:bubble3D val="0"/>
            <c:spPr>
              <a:noFill/>
              <a:ln w="19050">
                <a:noFill/>
              </a:ln>
              <a:effectLst/>
            </c:spPr>
            <c:extLst>
              <c:ext xmlns:c16="http://schemas.microsoft.com/office/drawing/2014/chart" uri="{C3380CC4-5D6E-409C-BE32-E72D297353CC}">
                <c16:uniqueId val="{0000001A-D09C-453B-8CB0-1B2F799B31BD}"/>
              </c:ext>
            </c:extLst>
          </c:dPt>
          <c:dPt>
            <c:idx val="1"/>
            <c:bubble3D val="0"/>
            <c:spPr>
              <a:solidFill>
                <a:schemeClr val="bg1"/>
              </a:solidFill>
              <a:ln w="19050">
                <a:noFill/>
              </a:ln>
              <a:effectLst/>
            </c:spPr>
            <c:extLst>
              <c:ext xmlns:c16="http://schemas.microsoft.com/office/drawing/2014/chart" uri="{C3380CC4-5D6E-409C-BE32-E72D297353CC}">
                <c16:uniqueId val="{0000001C-D09C-453B-8CB0-1B2F799B31BD}"/>
              </c:ext>
            </c:extLst>
          </c:dPt>
          <c:dPt>
            <c:idx val="2"/>
            <c:bubble3D val="0"/>
            <c:spPr>
              <a:noFill/>
              <a:ln w="19050">
                <a:noFill/>
              </a:ln>
              <a:effectLst/>
            </c:spPr>
            <c:extLst>
              <c:ext xmlns:c16="http://schemas.microsoft.com/office/drawing/2014/chart" uri="{C3380CC4-5D6E-409C-BE32-E72D297353CC}">
                <c16:uniqueId val="{0000001E-D09C-453B-8CB0-1B2F799B31BD}"/>
              </c:ext>
            </c:extLst>
          </c:dPt>
          <c:val>
            <c:numRef>
              <c:f>Processing!$L$41:$N$41</c:f>
              <c:numCache>
                <c:formatCode>0%</c:formatCode>
                <c:ptCount val="3"/>
                <c:pt idx="0" formatCode="0.0%">
                  <c:v>5.6821917808219116E-2</c:v>
                </c:pt>
                <c:pt idx="1">
                  <c:v>5.0000000000000001E-4</c:v>
                </c:pt>
                <c:pt idx="2" formatCode="0.0%">
                  <c:v>9.3178082191780878E-2</c:v>
                </c:pt>
              </c:numCache>
              <c:extLst xmlns:c15="http://schemas.microsoft.com/office/drawing/2012/chart"/>
            </c:numRef>
          </c:val>
          <c:extLst>
            <c:ext xmlns:c16="http://schemas.microsoft.com/office/drawing/2014/chart" uri="{C3380CC4-5D6E-409C-BE32-E72D297353CC}">
              <c16:uniqueId val="{0000001F-D09C-453B-8CB0-1B2F799B31BD}"/>
            </c:ext>
          </c:extLst>
        </c:ser>
        <c:dLbls>
          <c:showLegendKey val="0"/>
          <c:showVal val="0"/>
          <c:showCatName val="0"/>
          <c:showSerName val="0"/>
          <c:showPercent val="0"/>
          <c:showBubbleSize val="0"/>
          <c:showLeaderLines val="1"/>
        </c:dLbls>
        <c:firstSliceAng val="24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Processing!$N$29</c:f>
              <c:strCache>
                <c:ptCount val="1"/>
                <c:pt idx="0">
                  <c:v>Y</c:v>
                </c:pt>
              </c:strCache>
            </c:strRef>
          </c:tx>
          <c:spPr>
            <a:solidFill>
              <a:schemeClr val="accent1">
                <a:alpha val="75000"/>
              </a:schemeClr>
            </a:solidFill>
            <a:ln>
              <a:noFill/>
            </a:ln>
            <a:effectLst/>
          </c:spPr>
          <c:invertIfNegative val="0"/>
          <c:dPt>
            <c:idx val="0"/>
            <c:invertIfNegative val="0"/>
            <c:bubble3D val="0"/>
            <c:spPr>
              <a:gradFill>
                <a:gsLst>
                  <a:gs pos="19000">
                    <a:srgbClr val="F85C23">
                      <a:alpha val="80000"/>
                    </a:srgbClr>
                  </a:gs>
                  <a:gs pos="100000">
                    <a:srgbClr val="FF00FF">
                      <a:alpha val="0"/>
                    </a:srgbClr>
                  </a:gs>
                </a:gsLst>
                <a:lin ang="2700000" scaled="1"/>
              </a:gradFill>
              <a:ln>
                <a:noFill/>
              </a:ln>
              <a:effectLst/>
            </c:spPr>
            <c:extLst>
              <c:ext xmlns:c16="http://schemas.microsoft.com/office/drawing/2014/chart" uri="{C3380CC4-5D6E-409C-BE32-E72D297353CC}">
                <c16:uniqueId val="{00000001-2126-47C7-9ECC-0AF3B595F9D2}"/>
              </c:ext>
            </c:extLst>
          </c:dPt>
          <c:dPt>
            <c:idx val="1"/>
            <c:invertIfNegative val="0"/>
            <c:bubble3D val="0"/>
            <c:spPr>
              <a:gradFill>
                <a:gsLst>
                  <a:gs pos="19000">
                    <a:srgbClr val="09DBAC"/>
                  </a:gs>
                  <a:gs pos="100000">
                    <a:srgbClr val="FF00FF">
                      <a:alpha val="0"/>
                    </a:srgbClr>
                  </a:gs>
                </a:gsLst>
                <a:lin ang="8100000" scaled="1"/>
              </a:gradFill>
              <a:ln>
                <a:noFill/>
              </a:ln>
              <a:effectLst/>
            </c:spPr>
            <c:extLst>
              <c:ext xmlns:c16="http://schemas.microsoft.com/office/drawing/2014/chart" uri="{C3380CC4-5D6E-409C-BE32-E72D297353CC}">
                <c16:uniqueId val="{00000003-2126-47C7-9ECC-0AF3B595F9D2}"/>
              </c:ext>
            </c:extLst>
          </c:dPt>
          <c:dPt>
            <c:idx val="2"/>
            <c:invertIfNegative val="0"/>
            <c:bubble3D val="0"/>
            <c:spPr>
              <a:gradFill>
                <a:gsLst>
                  <a:gs pos="16000">
                    <a:srgbClr val="782BDB"/>
                  </a:gs>
                  <a:gs pos="100000">
                    <a:srgbClr val="FF00FF">
                      <a:alpha val="0"/>
                    </a:srgbClr>
                  </a:gs>
                </a:gsLst>
                <a:lin ang="13500000" scaled="1"/>
              </a:gradFill>
              <a:ln>
                <a:noFill/>
              </a:ln>
              <a:effectLst/>
            </c:spPr>
            <c:extLst>
              <c:ext xmlns:c16="http://schemas.microsoft.com/office/drawing/2014/chart" uri="{C3380CC4-5D6E-409C-BE32-E72D297353CC}">
                <c16:uniqueId val="{00000005-2126-47C7-9ECC-0AF3B595F9D2}"/>
              </c:ext>
            </c:extLst>
          </c:dPt>
          <c:xVal>
            <c:numRef>
              <c:f>Processing!$M$30:$M$32</c:f>
              <c:numCache>
                <c:formatCode>0%</c:formatCode>
                <c:ptCount val="3"/>
                <c:pt idx="0">
                  <c:v>0.35</c:v>
                </c:pt>
                <c:pt idx="1">
                  <c:v>0.51</c:v>
                </c:pt>
                <c:pt idx="2">
                  <c:v>0.5</c:v>
                </c:pt>
              </c:numCache>
            </c:numRef>
          </c:xVal>
          <c:yVal>
            <c:numRef>
              <c:f>Processing!$N$30:$N$32</c:f>
              <c:numCache>
                <c:formatCode>0%</c:formatCode>
                <c:ptCount val="3"/>
                <c:pt idx="0">
                  <c:v>0.5</c:v>
                </c:pt>
                <c:pt idx="1">
                  <c:v>0.6</c:v>
                </c:pt>
                <c:pt idx="2">
                  <c:v>0.45</c:v>
                </c:pt>
              </c:numCache>
            </c:numRef>
          </c:yVal>
          <c:bubbleSize>
            <c:numRef>
              <c:f>Processing!$O$30:$O$32</c:f>
              <c:numCache>
                <c:formatCode>0%</c:formatCode>
                <c:ptCount val="3"/>
                <c:pt idx="0">
                  <c:v>0.67961643835616403</c:v>
                </c:pt>
                <c:pt idx="1">
                  <c:v>0.68178082191780787</c:v>
                </c:pt>
                <c:pt idx="2">
                  <c:v>0.65309589041095861</c:v>
                </c:pt>
              </c:numCache>
            </c:numRef>
          </c:bubbleSize>
          <c:bubble3D val="0"/>
          <c:extLst>
            <c:ext xmlns:c16="http://schemas.microsoft.com/office/drawing/2014/chart" uri="{C3380CC4-5D6E-409C-BE32-E72D297353CC}">
              <c16:uniqueId val="{00000006-2126-47C7-9ECC-0AF3B595F9D2}"/>
            </c:ext>
          </c:extLst>
        </c:ser>
        <c:dLbls>
          <c:showLegendKey val="0"/>
          <c:showVal val="0"/>
          <c:showCatName val="0"/>
          <c:showSerName val="0"/>
          <c:showPercent val="0"/>
          <c:showBubbleSize val="0"/>
        </c:dLbls>
        <c:bubbleScale val="100"/>
        <c:showNegBubbles val="0"/>
        <c:axId val="1145175920"/>
        <c:axId val="1145176400"/>
      </c:bubbleChart>
      <c:valAx>
        <c:axId val="1145175920"/>
        <c:scaling>
          <c:orientation val="minMax"/>
          <c:max val="1"/>
          <c:min val="0"/>
        </c:scaling>
        <c:delete val="1"/>
        <c:axPos val="b"/>
        <c:numFmt formatCode="0%" sourceLinked="1"/>
        <c:majorTickMark val="none"/>
        <c:minorTickMark val="none"/>
        <c:tickLblPos val="nextTo"/>
        <c:crossAx val="1145176400"/>
        <c:crosses val="autoZero"/>
        <c:crossBetween val="midCat"/>
      </c:valAx>
      <c:valAx>
        <c:axId val="1145176400"/>
        <c:scaling>
          <c:orientation val="minMax"/>
          <c:max val="1"/>
          <c:min val="0"/>
        </c:scaling>
        <c:delete val="1"/>
        <c:axPos val="l"/>
        <c:numFmt formatCode="0%" sourceLinked="1"/>
        <c:majorTickMark val="none"/>
        <c:minorTickMark val="none"/>
        <c:tickLblPos val="nextTo"/>
        <c:crossAx val="1145175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17" Type="http://schemas.openxmlformats.org/officeDocument/2006/relationships/chart" Target="../charts/chart13.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2.sv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10.sv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15</xdr:col>
      <xdr:colOff>579120</xdr:colOff>
      <xdr:row>1</xdr:row>
      <xdr:rowOff>83820</xdr:rowOff>
    </xdr:from>
    <xdr:to>
      <xdr:col>23</xdr:col>
      <xdr:colOff>274320</xdr:colOff>
      <xdr:row>12</xdr:row>
      <xdr:rowOff>30479</xdr:rowOff>
    </xdr:to>
    <xdr:sp macro="" textlink="">
      <xdr:nvSpPr>
        <xdr:cNvPr id="228" name="Rectangle: Rounded Corners 227">
          <a:extLst>
            <a:ext uri="{FF2B5EF4-FFF2-40B4-BE49-F238E27FC236}">
              <a16:creationId xmlns:a16="http://schemas.microsoft.com/office/drawing/2014/main" id="{00000000-0008-0000-0000-0000E4000000}"/>
            </a:ext>
          </a:extLst>
        </xdr:cNvPr>
        <xdr:cNvSpPr/>
      </xdr:nvSpPr>
      <xdr:spPr>
        <a:xfrm>
          <a:off x="9723120" y="800100"/>
          <a:ext cx="4572000" cy="1958339"/>
        </a:xfrm>
        <a:prstGeom prst="roundRect">
          <a:avLst>
            <a:gd name="adj" fmla="val 6939"/>
          </a:avLst>
        </a:prstGeom>
        <a:solidFill>
          <a:schemeClr val="tx1"/>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381000</xdr:colOff>
      <xdr:row>0</xdr:row>
      <xdr:rowOff>569545</xdr:rowOff>
    </xdr:from>
    <xdr:to>
      <xdr:col>21</xdr:col>
      <xdr:colOff>434340</xdr:colOff>
      <xdr:row>14</xdr:row>
      <xdr:rowOff>121920</xdr:rowOff>
    </xdr:to>
    <xdr:grpSp>
      <xdr:nvGrpSpPr>
        <xdr:cNvPr id="237" name="Group 236">
          <a:extLst>
            <a:ext uri="{FF2B5EF4-FFF2-40B4-BE49-F238E27FC236}">
              <a16:creationId xmlns:a16="http://schemas.microsoft.com/office/drawing/2014/main" id="{00000000-0008-0000-0000-0000ED000000}"/>
            </a:ext>
          </a:extLst>
        </xdr:cNvPr>
        <xdr:cNvGrpSpPr/>
      </xdr:nvGrpSpPr>
      <xdr:grpSpPr>
        <a:xfrm>
          <a:off x="10501313" y="569545"/>
          <a:ext cx="2434590" cy="2743250"/>
          <a:chOff x="10767060" y="287605"/>
          <a:chExt cx="2491740" cy="2646095"/>
        </a:xfrm>
      </xdr:grpSpPr>
      <xdr:grpSp>
        <xdr:nvGrpSpPr>
          <xdr:cNvPr id="229" name="Group 228">
            <a:extLst>
              <a:ext uri="{FF2B5EF4-FFF2-40B4-BE49-F238E27FC236}">
                <a16:creationId xmlns:a16="http://schemas.microsoft.com/office/drawing/2014/main" id="{00000000-0008-0000-0000-0000E5000000}"/>
              </a:ext>
            </a:extLst>
          </xdr:cNvPr>
          <xdr:cNvGrpSpPr/>
        </xdr:nvGrpSpPr>
        <xdr:grpSpPr>
          <a:xfrm>
            <a:off x="11079479" y="693419"/>
            <a:ext cx="1828800" cy="1828801"/>
            <a:chOff x="2438400" y="3108960"/>
            <a:chExt cx="1618489" cy="1618489"/>
          </a:xfrm>
        </xdr:grpSpPr>
        <xdr:sp macro="" textlink="">
          <xdr:nvSpPr>
            <xdr:cNvPr id="230" name="Oval 229">
              <a:extLst>
                <a:ext uri="{FF2B5EF4-FFF2-40B4-BE49-F238E27FC236}">
                  <a16:creationId xmlns:a16="http://schemas.microsoft.com/office/drawing/2014/main" id="{00000000-0008-0000-0000-0000E6000000}"/>
                </a:ext>
              </a:extLst>
            </xdr:cNvPr>
            <xdr:cNvSpPr/>
          </xdr:nvSpPr>
          <xdr:spPr>
            <a:xfrm>
              <a:off x="2438401" y="3108960"/>
              <a:ext cx="1618488" cy="1618488"/>
            </a:xfrm>
            <a:prstGeom prst="ellipse">
              <a:avLst/>
            </a:prstGeom>
            <a:gradFill flip="none" rotWithShape="1">
              <a:gsLst>
                <a:gs pos="55000">
                  <a:srgbClr val="8A2BF1"/>
                </a:gs>
                <a:gs pos="37000">
                  <a:srgbClr val="8A2BF1">
                    <a:alpha val="0"/>
                  </a:srgb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1" name="Oval 230">
              <a:extLst>
                <a:ext uri="{FF2B5EF4-FFF2-40B4-BE49-F238E27FC236}">
                  <a16:creationId xmlns:a16="http://schemas.microsoft.com/office/drawing/2014/main" id="{00000000-0008-0000-0000-0000E7000000}"/>
                </a:ext>
              </a:extLst>
            </xdr:cNvPr>
            <xdr:cNvSpPr/>
          </xdr:nvSpPr>
          <xdr:spPr>
            <a:xfrm>
              <a:off x="2438401" y="3108960"/>
              <a:ext cx="1618488" cy="1618488"/>
            </a:xfrm>
            <a:prstGeom prst="ellipse">
              <a:avLst/>
            </a:prstGeom>
            <a:gradFill flip="none" rotWithShape="1">
              <a:gsLst>
                <a:gs pos="82000">
                  <a:srgbClr val="10EBCD"/>
                </a:gs>
                <a:gs pos="67000">
                  <a:srgbClr val="10EBCD">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2" name="Oval 231">
              <a:extLst>
                <a:ext uri="{FF2B5EF4-FFF2-40B4-BE49-F238E27FC236}">
                  <a16:creationId xmlns:a16="http://schemas.microsoft.com/office/drawing/2014/main" id="{00000000-0008-0000-0000-0000E8000000}"/>
                </a:ext>
              </a:extLst>
            </xdr:cNvPr>
            <xdr:cNvSpPr/>
          </xdr:nvSpPr>
          <xdr:spPr>
            <a:xfrm>
              <a:off x="2438401" y="3108960"/>
              <a:ext cx="1618488" cy="1618488"/>
            </a:xfrm>
            <a:prstGeom prst="ellipse">
              <a:avLst/>
            </a:prstGeom>
            <a:gradFill flip="none" rotWithShape="1">
              <a:gsLst>
                <a:gs pos="80000">
                  <a:srgbClr val="FF00FF"/>
                </a:gs>
                <a:gs pos="65000">
                  <a:srgbClr val="FF00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3" name="Oval 232">
              <a:extLst>
                <a:ext uri="{FF2B5EF4-FFF2-40B4-BE49-F238E27FC236}">
                  <a16:creationId xmlns:a16="http://schemas.microsoft.com/office/drawing/2014/main" id="{00000000-0008-0000-0000-0000E9000000}"/>
                </a:ext>
              </a:extLst>
            </xdr:cNvPr>
            <xdr:cNvSpPr/>
          </xdr:nvSpPr>
          <xdr:spPr>
            <a:xfrm>
              <a:off x="2438400" y="3108961"/>
              <a:ext cx="1618488" cy="1618488"/>
            </a:xfrm>
            <a:prstGeom prst="ellipse">
              <a:avLst/>
            </a:prstGeom>
            <a:gradFill flip="none" rotWithShape="1">
              <a:gsLst>
                <a:gs pos="72000">
                  <a:srgbClr val="FF0000"/>
                </a:gs>
                <a:gs pos="54000">
                  <a:srgbClr val="FF00FF">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aphicFrame macro="">
        <xdr:nvGraphicFramePr>
          <xdr:cNvPr id="234" name="Chart 233">
            <a:extLst>
              <a:ext uri="{FF2B5EF4-FFF2-40B4-BE49-F238E27FC236}">
                <a16:creationId xmlns:a16="http://schemas.microsoft.com/office/drawing/2014/main" id="{00000000-0008-0000-0000-0000EA000000}"/>
              </a:ext>
            </a:extLst>
          </xdr:cNvPr>
          <xdr:cNvGraphicFramePr>
            <a:graphicFrameLocks/>
          </xdr:cNvGraphicFramePr>
        </xdr:nvGraphicFramePr>
        <xdr:xfrm>
          <a:off x="10767060" y="287605"/>
          <a:ext cx="2491740" cy="2646095"/>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35" name="Oval 234">
            <a:extLst>
              <a:ext uri="{FF2B5EF4-FFF2-40B4-BE49-F238E27FC236}">
                <a16:creationId xmlns:a16="http://schemas.microsoft.com/office/drawing/2014/main" id="{00000000-0008-0000-0000-0000EB000000}"/>
              </a:ext>
            </a:extLst>
          </xdr:cNvPr>
          <xdr:cNvSpPr/>
        </xdr:nvSpPr>
        <xdr:spPr>
          <a:xfrm>
            <a:off x="11178540" y="792480"/>
            <a:ext cx="1645920" cy="1645920"/>
          </a:xfrm>
          <a:prstGeom prst="ellipse">
            <a:avLst/>
          </a:prstGeom>
          <a:gradFill flip="none" rotWithShape="1">
            <a:gsLst>
              <a:gs pos="80000">
                <a:schemeClr val="tx1">
                  <a:alpha val="0"/>
                </a:schemeClr>
              </a:gs>
              <a:gs pos="23000">
                <a:schemeClr val="tx1"/>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472440</xdr:colOff>
      <xdr:row>12</xdr:row>
      <xdr:rowOff>53340</xdr:rowOff>
    </xdr:from>
    <xdr:to>
      <xdr:col>8</xdr:col>
      <xdr:colOff>259080</xdr:colOff>
      <xdr:row>24</xdr:row>
      <xdr:rowOff>59179</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2258378" y="2863215"/>
          <a:ext cx="2763202" cy="2291839"/>
          <a:chOff x="4718050" y="375161"/>
          <a:chExt cx="2834640" cy="2200399"/>
        </a:xfrm>
      </xdr:grpSpPr>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5021580" y="461010"/>
            <a:ext cx="2212848" cy="1958340"/>
          </a:xfrm>
          <a:prstGeom prst="roundRect">
            <a:avLst>
              <a:gd name="adj" fmla="val 6939"/>
            </a:avLst>
          </a:prstGeom>
          <a:gradFill>
            <a:gsLst>
              <a:gs pos="48000">
                <a:srgbClr val="1A1A26"/>
              </a:gs>
              <a:gs pos="100000">
                <a:srgbClr val="3C3F4E"/>
              </a:gs>
            </a:gsLst>
            <a:lin ang="19200000" scaled="0"/>
          </a:gradFill>
          <a:ln w="9525">
            <a:gradFill flip="none" rotWithShape="1">
              <a:gsLst>
                <a:gs pos="30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4718050" y="937260"/>
          <a:ext cx="2834640" cy="16383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Freeform: Shape 6">
            <a:extLst>
              <a:ext uri="{FF2B5EF4-FFF2-40B4-BE49-F238E27FC236}">
                <a16:creationId xmlns:a16="http://schemas.microsoft.com/office/drawing/2014/main" id="{00000000-0008-0000-0000-000007000000}"/>
              </a:ext>
            </a:extLst>
          </xdr:cNvPr>
          <xdr:cNvSpPr/>
        </xdr:nvSpPr>
        <xdr:spPr>
          <a:xfrm>
            <a:off x="4903305" y="375161"/>
            <a:ext cx="2458720" cy="2178105"/>
          </a:xfrm>
          <a:custGeom>
            <a:avLst/>
            <a:gdLst>
              <a:gd name="connsiteX0" fmla="*/ 253745 w 2458720"/>
              <a:gd name="connsiteY0" fmla="*/ 92710 h 2184400"/>
              <a:gd name="connsiteX1" fmla="*/ 117856 w 2458720"/>
              <a:gd name="connsiteY1" fmla="*/ 228599 h 2184400"/>
              <a:gd name="connsiteX2" fmla="*/ 117856 w 2458720"/>
              <a:gd name="connsiteY2" fmla="*/ 1915161 h 2184400"/>
              <a:gd name="connsiteX3" fmla="*/ 253745 w 2458720"/>
              <a:gd name="connsiteY3" fmla="*/ 2051050 h 2184400"/>
              <a:gd name="connsiteX4" fmla="*/ 2194815 w 2458720"/>
              <a:gd name="connsiteY4" fmla="*/ 2051050 h 2184400"/>
              <a:gd name="connsiteX5" fmla="*/ 2330704 w 2458720"/>
              <a:gd name="connsiteY5" fmla="*/ 1915161 h 2184400"/>
              <a:gd name="connsiteX6" fmla="*/ 2330704 w 2458720"/>
              <a:gd name="connsiteY6" fmla="*/ 228599 h 2184400"/>
              <a:gd name="connsiteX7" fmla="*/ 2194815 w 2458720"/>
              <a:gd name="connsiteY7" fmla="*/ 92710 h 2184400"/>
              <a:gd name="connsiteX8" fmla="*/ 0 w 2458720"/>
              <a:gd name="connsiteY8" fmla="*/ 0 h 2184400"/>
              <a:gd name="connsiteX9" fmla="*/ 2458720 w 2458720"/>
              <a:gd name="connsiteY9" fmla="*/ 0 h 2184400"/>
              <a:gd name="connsiteX10" fmla="*/ 2458720 w 2458720"/>
              <a:gd name="connsiteY10" fmla="*/ 2184400 h 2184400"/>
              <a:gd name="connsiteX11" fmla="*/ 0 w 2458720"/>
              <a:gd name="connsiteY11" fmla="*/ 2184400 h 21844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2458720" h="2184400">
                <a:moveTo>
                  <a:pt x="253745" y="92710"/>
                </a:moveTo>
                <a:cubicBezTo>
                  <a:pt x="178696" y="92710"/>
                  <a:pt x="117856" y="153550"/>
                  <a:pt x="117856" y="228599"/>
                </a:cubicBezTo>
                <a:lnTo>
                  <a:pt x="117856" y="1915161"/>
                </a:lnTo>
                <a:cubicBezTo>
                  <a:pt x="117856" y="1990210"/>
                  <a:pt x="178696" y="2051050"/>
                  <a:pt x="253745" y="2051050"/>
                </a:cubicBezTo>
                <a:lnTo>
                  <a:pt x="2194815" y="2051050"/>
                </a:lnTo>
                <a:cubicBezTo>
                  <a:pt x="2269864" y="2051050"/>
                  <a:pt x="2330704" y="1990210"/>
                  <a:pt x="2330704" y="1915161"/>
                </a:cubicBezTo>
                <a:lnTo>
                  <a:pt x="2330704" y="228599"/>
                </a:lnTo>
                <a:cubicBezTo>
                  <a:pt x="2330704" y="153550"/>
                  <a:pt x="2269864" y="92710"/>
                  <a:pt x="2194815" y="92710"/>
                </a:cubicBezTo>
                <a:close/>
                <a:moveTo>
                  <a:pt x="0" y="0"/>
                </a:moveTo>
                <a:lnTo>
                  <a:pt x="2458720" y="0"/>
                </a:lnTo>
                <a:lnTo>
                  <a:pt x="2458720" y="2184400"/>
                </a:lnTo>
                <a:lnTo>
                  <a:pt x="0" y="2184400"/>
                </a:lnTo>
                <a:close/>
              </a:path>
            </a:pathLst>
          </a:cu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5021580" y="461010"/>
            <a:ext cx="2212848" cy="1958340"/>
          </a:xfrm>
          <a:prstGeom prst="roundRect">
            <a:avLst>
              <a:gd name="adj" fmla="val 6939"/>
            </a:avLst>
          </a:prstGeom>
          <a:noFill/>
          <a:ln w="9525">
            <a:gradFill flip="none" rotWithShape="1">
              <a:gsLst>
                <a:gs pos="30000">
                  <a:srgbClr val="1A1A26"/>
                </a:gs>
                <a:gs pos="100000">
                  <a:srgbClr val="B6B8CF"/>
                </a:gs>
              </a:gsLst>
              <a:lin ang="19200000" scaled="0"/>
              <a:tileRect/>
            </a:gra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clientData/>
  </xdr:twoCellAnchor>
  <xdr:twoCellAnchor>
    <xdr:from>
      <xdr:col>16</xdr:col>
      <xdr:colOff>464820</xdr:colOff>
      <xdr:row>8</xdr:row>
      <xdr:rowOff>22863</xdr:rowOff>
    </xdr:from>
    <xdr:to>
      <xdr:col>22</xdr:col>
      <xdr:colOff>350520</xdr:colOff>
      <xdr:row>12</xdr:row>
      <xdr:rowOff>167639</xdr:rowOff>
    </xdr:to>
    <xdr:sp macro="" textlink="">
      <xdr:nvSpPr>
        <xdr:cNvPr id="249" name="Flowchart: Manual Operation 248">
          <a:extLst>
            <a:ext uri="{FF2B5EF4-FFF2-40B4-BE49-F238E27FC236}">
              <a16:creationId xmlns:a16="http://schemas.microsoft.com/office/drawing/2014/main" id="{00000000-0008-0000-0000-0000F9000000}"/>
            </a:ext>
          </a:extLst>
        </xdr:cNvPr>
        <xdr:cNvSpPr/>
      </xdr:nvSpPr>
      <xdr:spPr>
        <a:xfrm flipV="1">
          <a:off x="10218420" y="2019303"/>
          <a:ext cx="3543300" cy="876296"/>
        </a:xfrm>
        <a:custGeom>
          <a:avLst/>
          <a:gdLst>
            <a:gd name="connsiteX0" fmla="*/ 0 w 10000"/>
            <a:gd name="connsiteY0" fmla="*/ 0 h 10000"/>
            <a:gd name="connsiteX1" fmla="*/ 10000 w 10000"/>
            <a:gd name="connsiteY1" fmla="*/ 0 h 10000"/>
            <a:gd name="connsiteX2" fmla="*/ 8000 w 10000"/>
            <a:gd name="connsiteY2" fmla="*/ 10000 h 10000"/>
            <a:gd name="connsiteX3" fmla="*/ 2000 w 10000"/>
            <a:gd name="connsiteY3" fmla="*/ 10000 h 10000"/>
            <a:gd name="connsiteX4" fmla="*/ 0 w 10000"/>
            <a:gd name="connsiteY4" fmla="*/ 0 h 10000"/>
            <a:gd name="connsiteX0" fmla="*/ 0 w 12021"/>
            <a:gd name="connsiteY0" fmla="*/ 0 h 10000"/>
            <a:gd name="connsiteX1" fmla="*/ 12021 w 12021"/>
            <a:gd name="connsiteY1" fmla="*/ 0 h 10000"/>
            <a:gd name="connsiteX2" fmla="*/ 10021 w 12021"/>
            <a:gd name="connsiteY2" fmla="*/ 10000 h 10000"/>
            <a:gd name="connsiteX3" fmla="*/ 4021 w 12021"/>
            <a:gd name="connsiteY3" fmla="*/ 10000 h 10000"/>
            <a:gd name="connsiteX4" fmla="*/ 0 w 12021"/>
            <a:gd name="connsiteY4" fmla="*/ 0 h 10000"/>
            <a:gd name="connsiteX0" fmla="*/ 0 w 12021"/>
            <a:gd name="connsiteY0" fmla="*/ 0 h 10000"/>
            <a:gd name="connsiteX1" fmla="*/ 12021 w 12021"/>
            <a:gd name="connsiteY1" fmla="*/ 0 h 10000"/>
            <a:gd name="connsiteX2" fmla="*/ 10021 w 12021"/>
            <a:gd name="connsiteY2" fmla="*/ 10000 h 10000"/>
            <a:gd name="connsiteX3" fmla="*/ 5546 w 12021"/>
            <a:gd name="connsiteY3" fmla="*/ 10000 h 10000"/>
            <a:gd name="connsiteX4" fmla="*/ 0 w 12021"/>
            <a:gd name="connsiteY4" fmla="*/ 0 h 10000"/>
            <a:gd name="connsiteX0" fmla="*/ 0 w 15035"/>
            <a:gd name="connsiteY0" fmla="*/ 0 h 10000"/>
            <a:gd name="connsiteX1" fmla="*/ 15035 w 15035"/>
            <a:gd name="connsiteY1" fmla="*/ 97 h 10000"/>
            <a:gd name="connsiteX2" fmla="*/ 10021 w 15035"/>
            <a:gd name="connsiteY2" fmla="*/ 10000 h 10000"/>
            <a:gd name="connsiteX3" fmla="*/ 5546 w 15035"/>
            <a:gd name="connsiteY3" fmla="*/ 10000 h 10000"/>
            <a:gd name="connsiteX4" fmla="*/ 0 w 15035"/>
            <a:gd name="connsiteY4" fmla="*/ 0 h 10000"/>
            <a:gd name="connsiteX0" fmla="*/ 0 w 15035"/>
            <a:gd name="connsiteY0" fmla="*/ 0 h 10000"/>
            <a:gd name="connsiteX1" fmla="*/ 15035 w 15035"/>
            <a:gd name="connsiteY1" fmla="*/ 97 h 10000"/>
            <a:gd name="connsiteX2" fmla="*/ 8780 w 15035"/>
            <a:gd name="connsiteY2" fmla="*/ 10000 h 10000"/>
            <a:gd name="connsiteX3" fmla="*/ 5546 w 15035"/>
            <a:gd name="connsiteY3" fmla="*/ 10000 h 10000"/>
            <a:gd name="connsiteX4" fmla="*/ 0 w 15035"/>
            <a:gd name="connsiteY4" fmla="*/ 0 h 10000"/>
            <a:gd name="connsiteX0" fmla="*/ 0 w 15035"/>
            <a:gd name="connsiteY0" fmla="*/ 0 h 10000"/>
            <a:gd name="connsiteX1" fmla="*/ 15035 w 15035"/>
            <a:gd name="connsiteY1" fmla="*/ 97 h 10000"/>
            <a:gd name="connsiteX2" fmla="*/ 8780 w 15035"/>
            <a:gd name="connsiteY2" fmla="*/ 10000 h 10000"/>
            <a:gd name="connsiteX3" fmla="*/ 5972 w 15035"/>
            <a:gd name="connsiteY3" fmla="*/ 10000 h 10000"/>
            <a:gd name="connsiteX4" fmla="*/ 0 w 15035"/>
            <a:gd name="connsiteY4" fmla="*/ 0 h 10000"/>
            <a:gd name="connsiteX0" fmla="*/ 0 w 15673"/>
            <a:gd name="connsiteY0" fmla="*/ 0 h 10000"/>
            <a:gd name="connsiteX1" fmla="*/ 15673 w 15673"/>
            <a:gd name="connsiteY1" fmla="*/ 97 h 10000"/>
            <a:gd name="connsiteX2" fmla="*/ 9418 w 15673"/>
            <a:gd name="connsiteY2" fmla="*/ 10000 h 10000"/>
            <a:gd name="connsiteX3" fmla="*/ 6610 w 15673"/>
            <a:gd name="connsiteY3" fmla="*/ 10000 h 10000"/>
            <a:gd name="connsiteX4" fmla="*/ 0 w 15673"/>
            <a:gd name="connsiteY4" fmla="*/ 0 h 10000"/>
            <a:gd name="connsiteX0" fmla="*/ 0 w 15673"/>
            <a:gd name="connsiteY0" fmla="*/ 0 h 10000"/>
            <a:gd name="connsiteX1" fmla="*/ 15673 w 15673"/>
            <a:gd name="connsiteY1" fmla="*/ 97 h 10000"/>
            <a:gd name="connsiteX2" fmla="*/ 9418 w 15673"/>
            <a:gd name="connsiteY2" fmla="*/ 10000 h 10000"/>
            <a:gd name="connsiteX3" fmla="*/ 6291 w 15673"/>
            <a:gd name="connsiteY3" fmla="*/ 10000 h 10000"/>
            <a:gd name="connsiteX4" fmla="*/ 0 w 15673"/>
            <a:gd name="connsiteY4" fmla="*/ 0 h 10000"/>
            <a:gd name="connsiteX0" fmla="*/ 0 w 15673"/>
            <a:gd name="connsiteY0" fmla="*/ 0 h 10000"/>
            <a:gd name="connsiteX1" fmla="*/ 15673 w 15673"/>
            <a:gd name="connsiteY1" fmla="*/ 97 h 10000"/>
            <a:gd name="connsiteX2" fmla="*/ 9028 w 15673"/>
            <a:gd name="connsiteY2" fmla="*/ 10000 h 10000"/>
            <a:gd name="connsiteX3" fmla="*/ 6291 w 15673"/>
            <a:gd name="connsiteY3" fmla="*/ 10000 h 10000"/>
            <a:gd name="connsiteX4" fmla="*/ 0 w 15673"/>
            <a:gd name="connsiteY4" fmla="*/ 0 h 10000"/>
            <a:gd name="connsiteX0" fmla="*/ 0 w 15673"/>
            <a:gd name="connsiteY0" fmla="*/ 0 h 10000"/>
            <a:gd name="connsiteX1" fmla="*/ 15673 w 15673"/>
            <a:gd name="connsiteY1" fmla="*/ 97 h 10000"/>
            <a:gd name="connsiteX2" fmla="*/ 9312 w 15673"/>
            <a:gd name="connsiteY2" fmla="*/ 10000 h 10000"/>
            <a:gd name="connsiteX3" fmla="*/ 6291 w 15673"/>
            <a:gd name="connsiteY3" fmla="*/ 10000 h 10000"/>
            <a:gd name="connsiteX4" fmla="*/ 0 w 15673"/>
            <a:gd name="connsiteY4" fmla="*/ 0 h 10000"/>
            <a:gd name="connsiteX0" fmla="*/ 0 w 15779"/>
            <a:gd name="connsiteY0" fmla="*/ 0 h 10000"/>
            <a:gd name="connsiteX1" fmla="*/ 15779 w 15779"/>
            <a:gd name="connsiteY1" fmla="*/ 97 h 10000"/>
            <a:gd name="connsiteX2" fmla="*/ 9312 w 15779"/>
            <a:gd name="connsiteY2" fmla="*/ 10000 h 10000"/>
            <a:gd name="connsiteX3" fmla="*/ 6291 w 15779"/>
            <a:gd name="connsiteY3" fmla="*/ 10000 h 10000"/>
            <a:gd name="connsiteX4" fmla="*/ 0 w 15779"/>
            <a:gd name="connsiteY4" fmla="*/ 0 h 10000"/>
            <a:gd name="connsiteX0" fmla="*/ 0 w 15779"/>
            <a:gd name="connsiteY0" fmla="*/ 0 h 10000"/>
            <a:gd name="connsiteX1" fmla="*/ 15779 w 15779"/>
            <a:gd name="connsiteY1" fmla="*/ 97 h 10000"/>
            <a:gd name="connsiteX2" fmla="*/ 9525 w 15779"/>
            <a:gd name="connsiteY2" fmla="*/ 10000 h 10000"/>
            <a:gd name="connsiteX3" fmla="*/ 6291 w 15779"/>
            <a:gd name="connsiteY3" fmla="*/ 10000 h 10000"/>
            <a:gd name="connsiteX4" fmla="*/ 0 w 15779"/>
            <a:gd name="connsiteY4" fmla="*/ 0 h 10000"/>
            <a:gd name="connsiteX0" fmla="*/ 0 w 15779"/>
            <a:gd name="connsiteY0" fmla="*/ 0 h 10583"/>
            <a:gd name="connsiteX1" fmla="*/ 15779 w 15779"/>
            <a:gd name="connsiteY1" fmla="*/ 97 h 10583"/>
            <a:gd name="connsiteX2" fmla="*/ 9525 w 15779"/>
            <a:gd name="connsiteY2" fmla="*/ 10000 h 10583"/>
            <a:gd name="connsiteX3" fmla="*/ 6965 w 15779"/>
            <a:gd name="connsiteY3" fmla="*/ 10583 h 10583"/>
            <a:gd name="connsiteX4" fmla="*/ 0 w 15779"/>
            <a:gd name="connsiteY4" fmla="*/ 0 h 10583"/>
            <a:gd name="connsiteX0" fmla="*/ 0 w 15779"/>
            <a:gd name="connsiteY0" fmla="*/ 0 h 10971"/>
            <a:gd name="connsiteX1" fmla="*/ 15779 w 15779"/>
            <a:gd name="connsiteY1" fmla="*/ 97 h 10971"/>
            <a:gd name="connsiteX2" fmla="*/ 9525 w 15779"/>
            <a:gd name="connsiteY2" fmla="*/ 10000 h 10971"/>
            <a:gd name="connsiteX3" fmla="*/ 7000 w 15779"/>
            <a:gd name="connsiteY3" fmla="*/ 10971 h 10971"/>
            <a:gd name="connsiteX4" fmla="*/ 0 w 15779"/>
            <a:gd name="connsiteY4" fmla="*/ 0 h 10971"/>
            <a:gd name="connsiteX0" fmla="*/ 0 w 15779"/>
            <a:gd name="connsiteY0" fmla="*/ 0 h 11165"/>
            <a:gd name="connsiteX1" fmla="*/ 15779 w 15779"/>
            <a:gd name="connsiteY1" fmla="*/ 97 h 11165"/>
            <a:gd name="connsiteX2" fmla="*/ 8780 w 15779"/>
            <a:gd name="connsiteY2" fmla="*/ 11165 h 11165"/>
            <a:gd name="connsiteX3" fmla="*/ 7000 w 15779"/>
            <a:gd name="connsiteY3" fmla="*/ 10971 h 11165"/>
            <a:gd name="connsiteX4" fmla="*/ 0 w 15779"/>
            <a:gd name="connsiteY4" fmla="*/ 0 h 1116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779" h="11165">
              <a:moveTo>
                <a:pt x="0" y="0"/>
              </a:moveTo>
              <a:lnTo>
                <a:pt x="15779" y="97"/>
              </a:lnTo>
              <a:lnTo>
                <a:pt x="8780" y="11165"/>
              </a:lnTo>
              <a:lnTo>
                <a:pt x="7000" y="10971"/>
              </a:lnTo>
              <a:lnTo>
                <a:pt x="0" y="0"/>
              </a:lnTo>
              <a:close/>
            </a:path>
          </a:pathLst>
        </a:custGeom>
        <a:gradFill flip="none" rotWithShape="1">
          <a:gsLst>
            <a:gs pos="21000">
              <a:srgbClr val="14141A"/>
            </a:gs>
            <a:gs pos="100000">
              <a:schemeClr val="tx1"/>
            </a:gs>
          </a:gsLst>
          <a:lin ang="54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259080</xdr:colOff>
      <xdr:row>1</xdr:row>
      <xdr:rowOff>83820</xdr:rowOff>
    </xdr:from>
    <xdr:to>
      <xdr:col>7</xdr:col>
      <xdr:colOff>563880</xdr:colOff>
      <xdr:row>12</xdr:row>
      <xdr:rowOff>30480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259080" y="798195"/>
          <a:ext cx="4471988" cy="2042160"/>
        </a:xfrm>
        <a:prstGeom prst="roundRect">
          <a:avLst>
            <a:gd name="adj" fmla="val 6939"/>
          </a:avLst>
        </a:prstGeom>
        <a:gradFill>
          <a:gsLst>
            <a:gs pos="48000">
              <a:srgbClr val="1A1A26"/>
            </a:gs>
            <a:gs pos="100000">
              <a:srgbClr val="3C3F4E"/>
            </a:gs>
          </a:gsLst>
          <a:lin ang="19200000" scaled="0"/>
        </a:gradFill>
        <a:ln w="9525">
          <a:gradFill flip="none" rotWithShape="1">
            <a:gsLst>
              <a:gs pos="58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0</xdr:col>
      <xdr:colOff>259080</xdr:colOff>
      <xdr:row>12</xdr:row>
      <xdr:rowOff>129540</xdr:rowOff>
    </xdr:from>
    <xdr:to>
      <xdr:col>4</xdr:col>
      <xdr:colOff>33528</xdr:colOff>
      <xdr:row>23</xdr:row>
      <xdr:rowOff>103909</xdr:rowOff>
    </xdr:to>
    <xdr:grpSp>
      <xdr:nvGrpSpPr>
        <xdr:cNvPr id="23" name="Group 22">
          <a:extLst>
            <a:ext uri="{FF2B5EF4-FFF2-40B4-BE49-F238E27FC236}">
              <a16:creationId xmlns:a16="http://schemas.microsoft.com/office/drawing/2014/main" id="{00000000-0008-0000-0000-000017000000}"/>
            </a:ext>
          </a:extLst>
        </xdr:cNvPr>
        <xdr:cNvGrpSpPr/>
      </xdr:nvGrpSpPr>
      <xdr:grpSpPr>
        <a:xfrm>
          <a:off x="259080" y="2939415"/>
          <a:ext cx="2155698" cy="2069869"/>
          <a:chOff x="10363200" y="6217920"/>
          <a:chExt cx="2212848" cy="1986049"/>
        </a:xfrm>
        <a:effectLst/>
      </xdr:grpSpPr>
      <xdr:sp macro="" textlink="">
        <xdr:nvSpPr>
          <xdr:cNvPr id="27" name="Rectangle: Rounded Corners 26">
            <a:extLst>
              <a:ext uri="{FF2B5EF4-FFF2-40B4-BE49-F238E27FC236}">
                <a16:creationId xmlns:a16="http://schemas.microsoft.com/office/drawing/2014/main" id="{00000000-0008-0000-0000-00001B000000}"/>
              </a:ext>
            </a:extLst>
          </xdr:cNvPr>
          <xdr:cNvSpPr/>
        </xdr:nvSpPr>
        <xdr:spPr>
          <a:xfrm>
            <a:off x="10363200" y="6217920"/>
            <a:ext cx="2212848" cy="1986049"/>
          </a:xfrm>
          <a:prstGeom prst="roundRect">
            <a:avLst>
              <a:gd name="adj" fmla="val 6939"/>
            </a:avLst>
          </a:prstGeom>
          <a:gradFill>
            <a:gsLst>
              <a:gs pos="67000">
                <a:srgbClr val="1A1A26"/>
              </a:gs>
              <a:gs pos="100000">
                <a:srgbClr val="31333F"/>
              </a:gs>
            </a:gsLst>
            <a:lin ang="19200000" scaled="0"/>
          </a:gradFill>
          <a:ln w="9525">
            <a:gradFill flip="none" rotWithShape="1">
              <a:gsLst>
                <a:gs pos="48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118" name="Rectangle: Rounded Corners 117">
            <a:extLst>
              <a:ext uri="{FF2B5EF4-FFF2-40B4-BE49-F238E27FC236}">
                <a16:creationId xmlns:a16="http://schemas.microsoft.com/office/drawing/2014/main" id="{00000000-0008-0000-0000-000076000000}"/>
              </a:ext>
            </a:extLst>
          </xdr:cNvPr>
          <xdr:cNvSpPr/>
        </xdr:nvSpPr>
        <xdr:spPr>
          <a:xfrm>
            <a:off x="10566539" y="6696805"/>
            <a:ext cx="1828800" cy="368105"/>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9" name="Rectangle: Rounded Corners 118">
            <a:extLst>
              <a:ext uri="{FF2B5EF4-FFF2-40B4-BE49-F238E27FC236}">
                <a16:creationId xmlns:a16="http://schemas.microsoft.com/office/drawing/2014/main" id="{00000000-0008-0000-0000-000077000000}"/>
              </a:ext>
            </a:extLst>
          </xdr:cNvPr>
          <xdr:cNvSpPr/>
        </xdr:nvSpPr>
        <xdr:spPr>
          <a:xfrm>
            <a:off x="10566539" y="7469943"/>
            <a:ext cx="1828800" cy="368104"/>
          </a:xfrm>
          <a:prstGeom prst="roundRect">
            <a:avLst>
              <a:gd name="adj" fmla="val 50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0" name="Freeform: Shape 219">
            <a:extLst>
              <a:ext uri="{FF2B5EF4-FFF2-40B4-BE49-F238E27FC236}">
                <a16:creationId xmlns:a16="http://schemas.microsoft.com/office/drawing/2014/main" id="{00000000-0008-0000-0000-0000DC000000}"/>
              </a:ext>
            </a:extLst>
          </xdr:cNvPr>
          <xdr:cNvSpPr/>
        </xdr:nvSpPr>
        <xdr:spPr>
          <a:xfrm>
            <a:off x="10721340" y="6873240"/>
            <a:ext cx="1508760" cy="91440"/>
          </a:xfrm>
          <a:custGeom>
            <a:avLst/>
            <a:gdLst>
              <a:gd name="connsiteX0" fmla="*/ 0 w 1920240"/>
              <a:gd name="connsiteY0" fmla="*/ 0 h 178307"/>
              <a:gd name="connsiteX1" fmla="*/ 1920240 w 1920240"/>
              <a:gd name="connsiteY1" fmla="*/ 0 h 178307"/>
              <a:gd name="connsiteX2" fmla="*/ 1920240 w 1920240"/>
              <a:gd name="connsiteY2" fmla="*/ 45719 h 178307"/>
              <a:gd name="connsiteX3" fmla="*/ 1847604 w 1920240"/>
              <a:gd name="connsiteY3" fmla="*/ 45719 h 178307"/>
              <a:gd name="connsiteX4" fmla="*/ 1847604 w 1920240"/>
              <a:gd name="connsiteY4" fmla="*/ 178307 h 178307"/>
              <a:gd name="connsiteX5" fmla="*/ 1820172 w 1920240"/>
              <a:gd name="connsiteY5" fmla="*/ 178307 h 178307"/>
              <a:gd name="connsiteX6" fmla="*/ 1820172 w 1920240"/>
              <a:gd name="connsiteY6" fmla="*/ 45719 h 178307"/>
              <a:gd name="connsiteX7" fmla="*/ 973836 w 1920240"/>
              <a:gd name="connsiteY7" fmla="*/ 45719 h 178307"/>
              <a:gd name="connsiteX8" fmla="*/ 973836 w 1920240"/>
              <a:gd name="connsiteY8" fmla="*/ 178307 h 178307"/>
              <a:gd name="connsiteX9" fmla="*/ 946404 w 1920240"/>
              <a:gd name="connsiteY9" fmla="*/ 178307 h 178307"/>
              <a:gd name="connsiteX10" fmla="*/ 946404 w 1920240"/>
              <a:gd name="connsiteY10" fmla="*/ 45719 h 178307"/>
              <a:gd name="connsiteX11" fmla="*/ 100068 w 1920240"/>
              <a:gd name="connsiteY11" fmla="*/ 45719 h 178307"/>
              <a:gd name="connsiteX12" fmla="*/ 100068 w 1920240"/>
              <a:gd name="connsiteY12" fmla="*/ 178307 h 178307"/>
              <a:gd name="connsiteX13" fmla="*/ 72636 w 1920240"/>
              <a:gd name="connsiteY13" fmla="*/ 178307 h 178307"/>
              <a:gd name="connsiteX14" fmla="*/ 72636 w 1920240"/>
              <a:gd name="connsiteY14" fmla="*/ 45719 h 178307"/>
              <a:gd name="connsiteX15" fmla="*/ 0 w 1920240"/>
              <a:gd name="connsiteY15" fmla="*/ 45719 h 1783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920240" h="178307">
                <a:moveTo>
                  <a:pt x="0" y="0"/>
                </a:moveTo>
                <a:lnTo>
                  <a:pt x="1920240" y="0"/>
                </a:lnTo>
                <a:lnTo>
                  <a:pt x="1920240" y="45719"/>
                </a:lnTo>
                <a:lnTo>
                  <a:pt x="1847604" y="45719"/>
                </a:lnTo>
                <a:lnTo>
                  <a:pt x="1847604" y="178307"/>
                </a:lnTo>
                <a:lnTo>
                  <a:pt x="1820172" y="178307"/>
                </a:lnTo>
                <a:lnTo>
                  <a:pt x="1820172" y="45719"/>
                </a:lnTo>
                <a:lnTo>
                  <a:pt x="973836" y="45719"/>
                </a:lnTo>
                <a:lnTo>
                  <a:pt x="973836" y="178307"/>
                </a:lnTo>
                <a:lnTo>
                  <a:pt x="946404" y="178307"/>
                </a:lnTo>
                <a:lnTo>
                  <a:pt x="946404" y="45719"/>
                </a:lnTo>
                <a:lnTo>
                  <a:pt x="100068" y="45719"/>
                </a:lnTo>
                <a:lnTo>
                  <a:pt x="100068" y="178307"/>
                </a:lnTo>
                <a:lnTo>
                  <a:pt x="72636" y="178307"/>
                </a:lnTo>
                <a:lnTo>
                  <a:pt x="72636" y="45719"/>
                </a:lnTo>
                <a:lnTo>
                  <a:pt x="0" y="45719"/>
                </a:lnTo>
                <a:close/>
              </a:path>
            </a:pathLst>
          </a:cu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21" name="Freeform: Shape 220">
            <a:extLst>
              <a:ext uri="{FF2B5EF4-FFF2-40B4-BE49-F238E27FC236}">
                <a16:creationId xmlns:a16="http://schemas.microsoft.com/office/drawing/2014/main" id="{00000000-0008-0000-0000-0000DD000000}"/>
              </a:ext>
            </a:extLst>
          </xdr:cNvPr>
          <xdr:cNvSpPr/>
        </xdr:nvSpPr>
        <xdr:spPr>
          <a:xfrm>
            <a:off x="10721340" y="7650480"/>
            <a:ext cx="1508760" cy="91440"/>
          </a:xfrm>
          <a:custGeom>
            <a:avLst/>
            <a:gdLst>
              <a:gd name="connsiteX0" fmla="*/ 0 w 1920240"/>
              <a:gd name="connsiteY0" fmla="*/ 0 h 178307"/>
              <a:gd name="connsiteX1" fmla="*/ 1920240 w 1920240"/>
              <a:gd name="connsiteY1" fmla="*/ 0 h 178307"/>
              <a:gd name="connsiteX2" fmla="*/ 1920240 w 1920240"/>
              <a:gd name="connsiteY2" fmla="*/ 45719 h 178307"/>
              <a:gd name="connsiteX3" fmla="*/ 1847604 w 1920240"/>
              <a:gd name="connsiteY3" fmla="*/ 45719 h 178307"/>
              <a:gd name="connsiteX4" fmla="*/ 1847604 w 1920240"/>
              <a:gd name="connsiteY4" fmla="*/ 178307 h 178307"/>
              <a:gd name="connsiteX5" fmla="*/ 1820172 w 1920240"/>
              <a:gd name="connsiteY5" fmla="*/ 178307 h 178307"/>
              <a:gd name="connsiteX6" fmla="*/ 1820172 w 1920240"/>
              <a:gd name="connsiteY6" fmla="*/ 45719 h 178307"/>
              <a:gd name="connsiteX7" fmla="*/ 973836 w 1920240"/>
              <a:gd name="connsiteY7" fmla="*/ 45719 h 178307"/>
              <a:gd name="connsiteX8" fmla="*/ 973836 w 1920240"/>
              <a:gd name="connsiteY8" fmla="*/ 178307 h 178307"/>
              <a:gd name="connsiteX9" fmla="*/ 946404 w 1920240"/>
              <a:gd name="connsiteY9" fmla="*/ 178307 h 178307"/>
              <a:gd name="connsiteX10" fmla="*/ 946404 w 1920240"/>
              <a:gd name="connsiteY10" fmla="*/ 45719 h 178307"/>
              <a:gd name="connsiteX11" fmla="*/ 100068 w 1920240"/>
              <a:gd name="connsiteY11" fmla="*/ 45719 h 178307"/>
              <a:gd name="connsiteX12" fmla="*/ 100068 w 1920240"/>
              <a:gd name="connsiteY12" fmla="*/ 178307 h 178307"/>
              <a:gd name="connsiteX13" fmla="*/ 72636 w 1920240"/>
              <a:gd name="connsiteY13" fmla="*/ 178307 h 178307"/>
              <a:gd name="connsiteX14" fmla="*/ 72636 w 1920240"/>
              <a:gd name="connsiteY14" fmla="*/ 45719 h 178307"/>
              <a:gd name="connsiteX15" fmla="*/ 0 w 1920240"/>
              <a:gd name="connsiteY15" fmla="*/ 45719 h 1783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920240" h="178307">
                <a:moveTo>
                  <a:pt x="0" y="0"/>
                </a:moveTo>
                <a:lnTo>
                  <a:pt x="1920240" y="0"/>
                </a:lnTo>
                <a:lnTo>
                  <a:pt x="1920240" y="45719"/>
                </a:lnTo>
                <a:lnTo>
                  <a:pt x="1847604" y="45719"/>
                </a:lnTo>
                <a:lnTo>
                  <a:pt x="1847604" y="178307"/>
                </a:lnTo>
                <a:lnTo>
                  <a:pt x="1820172" y="178307"/>
                </a:lnTo>
                <a:lnTo>
                  <a:pt x="1820172" y="45719"/>
                </a:lnTo>
                <a:lnTo>
                  <a:pt x="973836" y="45719"/>
                </a:lnTo>
                <a:lnTo>
                  <a:pt x="973836" y="178307"/>
                </a:lnTo>
                <a:lnTo>
                  <a:pt x="946404" y="178307"/>
                </a:lnTo>
                <a:lnTo>
                  <a:pt x="946404" y="45719"/>
                </a:lnTo>
                <a:lnTo>
                  <a:pt x="100068" y="45719"/>
                </a:lnTo>
                <a:lnTo>
                  <a:pt x="100068" y="178307"/>
                </a:lnTo>
                <a:lnTo>
                  <a:pt x="72636" y="178307"/>
                </a:lnTo>
                <a:lnTo>
                  <a:pt x="72636" y="45719"/>
                </a:lnTo>
                <a:lnTo>
                  <a:pt x="0" y="45719"/>
                </a:lnTo>
                <a:close/>
              </a:path>
            </a:pathLst>
          </a:custGeom>
          <a:solidFill>
            <a:srgbClr val="8A2B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222" name="Chart 221">
            <a:extLst>
              <a:ext uri="{FF2B5EF4-FFF2-40B4-BE49-F238E27FC236}">
                <a16:creationId xmlns:a16="http://schemas.microsoft.com/office/drawing/2014/main" id="{00000000-0008-0000-0000-0000DE000000}"/>
              </a:ext>
            </a:extLst>
          </xdr:cNvPr>
          <xdr:cNvGraphicFramePr/>
        </xdr:nvGraphicFramePr>
        <xdr:xfrm>
          <a:off x="10515600" y="6362700"/>
          <a:ext cx="1866900" cy="181737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144780</xdr:colOff>
      <xdr:row>12</xdr:row>
      <xdr:rowOff>15240</xdr:rowOff>
    </xdr:from>
    <xdr:to>
      <xdr:col>24</xdr:col>
      <xdr:colOff>114300</xdr:colOff>
      <xdr:row>24</xdr:row>
      <xdr:rowOff>80010</xdr:rowOff>
    </xdr:to>
    <xdr:grpSp>
      <xdr:nvGrpSpPr>
        <xdr:cNvPr id="254" name="Group 253" hidden="1">
          <a:extLst>
            <a:ext uri="{FF2B5EF4-FFF2-40B4-BE49-F238E27FC236}">
              <a16:creationId xmlns:a16="http://schemas.microsoft.com/office/drawing/2014/main" id="{00000000-0008-0000-0000-0000FE000000}"/>
            </a:ext>
          </a:extLst>
        </xdr:cNvPr>
        <xdr:cNvGrpSpPr/>
      </xdr:nvGrpSpPr>
      <xdr:grpSpPr>
        <a:xfrm>
          <a:off x="9074468" y="2825115"/>
          <a:ext cx="5327332" cy="2350770"/>
          <a:chOff x="9288780" y="2743200"/>
          <a:chExt cx="5455920" cy="2259330"/>
        </a:xfrm>
      </xdr:grpSpPr>
      <xdr:sp macro="" textlink="">
        <xdr:nvSpPr>
          <xdr:cNvPr id="20" name="Rectangle: Rounded Corners 19">
            <a:extLst>
              <a:ext uri="{FF2B5EF4-FFF2-40B4-BE49-F238E27FC236}">
                <a16:creationId xmlns:a16="http://schemas.microsoft.com/office/drawing/2014/main" id="{00000000-0008-0000-0000-000014000000}"/>
              </a:ext>
            </a:extLst>
          </xdr:cNvPr>
          <xdr:cNvSpPr/>
        </xdr:nvSpPr>
        <xdr:spPr>
          <a:xfrm>
            <a:off x="9723120" y="2857500"/>
            <a:ext cx="4572000" cy="1958340"/>
          </a:xfrm>
          <a:prstGeom prst="roundRect">
            <a:avLst>
              <a:gd name="adj" fmla="val 6939"/>
            </a:avLst>
          </a:prstGeom>
          <a:gradFill>
            <a:gsLst>
              <a:gs pos="48000">
                <a:srgbClr val="1A1A26"/>
              </a:gs>
              <a:gs pos="100000">
                <a:srgbClr val="565B71"/>
              </a:gs>
            </a:gsLst>
            <a:lin ang="19200000" scaled="0"/>
          </a:gradFill>
          <a:ln w="9525">
            <a:gradFill flip="none" rotWithShape="1">
              <a:gsLst>
                <a:gs pos="30000">
                  <a:srgbClr val="1A1A26"/>
                </a:gs>
                <a:gs pos="100000">
                  <a:srgbClr val="B6B8CF"/>
                </a:gs>
              </a:gsLst>
              <a:lin ang="19200000" scaled="0"/>
              <a:tileRect/>
            </a:gradFill>
          </a:ln>
          <a:effectLst>
            <a:outerShdw blurRad="533400" dist="88900" dir="16200000" rotWithShape="0">
              <a:prstClr val="black">
                <a:alpha val="5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aphicFrame macro="">
        <xdr:nvGraphicFramePr>
          <xdr:cNvPr id="253" name="Chart 252">
            <a:extLst>
              <a:ext uri="{FF2B5EF4-FFF2-40B4-BE49-F238E27FC236}">
                <a16:creationId xmlns:a16="http://schemas.microsoft.com/office/drawing/2014/main" id="{00000000-0008-0000-0000-0000FD000000}"/>
              </a:ext>
            </a:extLst>
          </xdr:cNvPr>
          <xdr:cNvGraphicFramePr>
            <a:graphicFrameLocks/>
          </xdr:cNvGraphicFramePr>
        </xdr:nvGraphicFramePr>
        <xdr:xfrm>
          <a:off x="9288780" y="3208020"/>
          <a:ext cx="5455920" cy="179451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36" name="Freeform: Shape 235">
            <a:extLst>
              <a:ext uri="{FF2B5EF4-FFF2-40B4-BE49-F238E27FC236}">
                <a16:creationId xmlns:a16="http://schemas.microsoft.com/office/drawing/2014/main" id="{00000000-0008-0000-0000-0000EC000000}"/>
              </a:ext>
            </a:extLst>
          </xdr:cNvPr>
          <xdr:cNvSpPr/>
        </xdr:nvSpPr>
        <xdr:spPr>
          <a:xfrm>
            <a:off x="9593580" y="2743200"/>
            <a:ext cx="4893012" cy="2247091"/>
          </a:xfrm>
          <a:custGeom>
            <a:avLst/>
            <a:gdLst>
              <a:gd name="connsiteX0" fmla="*/ 278561 w 4893012"/>
              <a:gd name="connsiteY0" fmla="*/ 115192 h 2247091"/>
              <a:gd name="connsiteX1" fmla="*/ 142672 w 4893012"/>
              <a:gd name="connsiteY1" fmla="*/ 251081 h 2247091"/>
              <a:gd name="connsiteX2" fmla="*/ 142672 w 4893012"/>
              <a:gd name="connsiteY2" fmla="*/ 1937643 h 2247091"/>
              <a:gd name="connsiteX3" fmla="*/ 278561 w 4893012"/>
              <a:gd name="connsiteY3" fmla="*/ 2073532 h 2247091"/>
              <a:gd name="connsiteX4" fmla="*/ 4578783 w 4893012"/>
              <a:gd name="connsiteY4" fmla="*/ 2073532 h 2247091"/>
              <a:gd name="connsiteX5" fmla="*/ 4714672 w 4893012"/>
              <a:gd name="connsiteY5" fmla="*/ 1937643 h 2247091"/>
              <a:gd name="connsiteX6" fmla="*/ 4714672 w 4893012"/>
              <a:gd name="connsiteY6" fmla="*/ 251081 h 2247091"/>
              <a:gd name="connsiteX7" fmla="*/ 4578783 w 4893012"/>
              <a:gd name="connsiteY7" fmla="*/ 115192 h 2247091"/>
              <a:gd name="connsiteX8" fmla="*/ 0 w 4893012"/>
              <a:gd name="connsiteY8" fmla="*/ 0 h 2247091"/>
              <a:gd name="connsiteX9" fmla="*/ 4893012 w 4893012"/>
              <a:gd name="connsiteY9" fmla="*/ 0 h 2247091"/>
              <a:gd name="connsiteX10" fmla="*/ 4893012 w 4893012"/>
              <a:gd name="connsiteY10" fmla="*/ 2247091 h 2247091"/>
              <a:gd name="connsiteX11" fmla="*/ 0 w 4893012"/>
              <a:gd name="connsiteY11" fmla="*/ 2247091 h 22470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4893012" h="2247091">
                <a:moveTo>
                  <a:pt x="278561" y="115192"/>
                </a:moveTo>
                <a:cubicBezTo>
                  <a:pt x="203512" y="115192"/>
                  <a:pt x="142672" y="176032"/>
                  <a:pt x="142672" y="251081"/>
                </a:cubicBezTo>
                <a:lnTo>
                  <a:pt x="142672" y="1937643"/>
                </a:lnTo>
                <a:cubicBezTo>
                  <a:pt x="142672" y="2012692"/>
                  <a:pt x="203512" y="2073532"/>
                  <a:pt x="278561" y="2073532"/>
                </a:cubicBezTo>
                <a:lnTo>
                  <a:pt x="4578783" y="2073532"/>
                </a:lnTo>
                <a:cubicBezTo>
                  <a:pt x="4653832" y="2073532"/>
                  <a:pt x="4714672" y="2012692"/>
                  <a:pt x="4714672" y="1937643"/>
                </a:cubicBezTo>
                <a:lnTo>
                  <a:pt x="4714672" y="251081"/>
                </a:lnTo>
                <a:cubicBezTo>
                  <a:pt x="4714672" y="176032"/>
                  <a:pt x="4653832" y="115192"/>
                  <a:pt x="4578783" y="115192"/>
                </a:cubicBezTo>
                <a:close/>
                <a:moveTo>
                  <a:pt x="0" y="0"/>
                </a:moveTo>
                <a:lnTo>
                  <a:pt x="4893012" y="0"/>
                </a:lnTo>
                <a:lnTo>
                  <a:pt x="4893012" y="2247091"/>
                </a:lnTo>
                <a:lnTo>
                  <a:pt x="0" y="2247091"/>
                </a:lnTo>
                <a:close/>
              </a:path>
            </a:pathLst>
          </a:cu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15</xdr:col>
      <xdr:colOff>586740</xdr:colOff>
      <xdr:row>24</xdr:row>
      <xdr:rowOff>0</xdr:rowOff>
    </xdr:from>
    <xdr:to>
      <xdr:col>19</xdr:col>
      <xdr:colOff>449580</xdr:colOff>
      <xdr:row>34</xdr:row>
      <xdr:rowOff>129540</xdr:rowOff>
    </xdr:to>
    <xdr:grpSp>
      <xdr:nvGrpSpPr>
        <xdr:cNvPr id="276" name="Group 275" hidden="1">
          <a:extLst>
            <a:ext uri="{FF2B5EF4-FFF2-40B4-BE49-F238E27FC236}">
              <a16:creationId xmlns:a16="http://schemas.microsoft.com/office/drawing/2014/main" id="{00000000-0008-0000-0000-000014010000}"/>
            </a:ext>
          </a:extLst>
        </xdr:cNvPr>
        <xdr:cNvGrpSpPr/>
      </xdr:nvGrpSpPr>
      <xdr:grpSpPr>
        <a:xfrm>
          <a:off x="9516428" y="5095875"/>
          <a:ext cx="2244090" cy="2034540"/>
          <a:chOff x="9730740" y="4922520"/>
          <a:chExt cx="2301240" cy="1958340"/>
        </a:xfrm>
      </xdr:grpSpPr>
      <xdr:sp macro="" textlink="">
        <xdr:nvSpPr>
          <xdr:cNvPr id="271" name="Rectangle: Rounded Corners 270">
            <a:extLst>
              <a:ext uri="{FF2B5EF4-FFF2-40B4-BE49-F238E27FC236}">
                <a16:creationId xmlns:a16="http://schemas.microsoft.com/office/drawing/2014/main" id="{00000000-0008-0000-0000-00000F010000}"/>
              </a:ext>
            </a:extLst>
          </xdr:cNvPr>
          <xdr:cNvSpPr/>
        </xdr:nvSpPr>
        <xdr:spPr>
          <a:xfrm>
            <a:off x="9730740" y="4922520"/>
            <a:ext cx="2212848" cy="1958340"/>
          </a:xfrm>
          <a:prstGeom prst="roundRect">
            <a:avLst>
              <a:gd name="adj" fmla="val 6939"/>
            </a:avLst>
          </a:prstGeom>
          <a:gradFill>
            <a:gsLst>
              <a:gs pos="48000">
                <a:srgbClr val="1A1A26"/>
              </a:gs>
              <a:gs pos="100000">
                <a:srgbClr val="3C3F4E"/>
              </a:gs>
            </a:gsLst>
            <a:lin ang="19200000" scaled="0"/>
          </a:gradFill>
          <a:ln w="9525">
            <a:gradFill flip="none" rotWithShape="1">
              <a:gsLst>
                <a:gs pos="30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74" name="Rectangle: Rounded Corners 273">
            <a:extLst>
              <a:ext uri="{FF2B5EF4-FFF2-40B4-BE49-F238E27FC236}">
                <a16:creationId xmlns:a16="http://schemas.microsoft.com/office/drawing/2014/main" id="{00000000-0008-0000-0000-000012010000}"/>
              </a:ext>
            </a:extLst>
          </xdr:cNvPr>
          <xdr:cNvSpPr/>
        </xdr:nvSpPr>
        <xdr:spPr>
          <a:xfrm>
            <a:off x="9974580" y="6004560"/>
            <a:ext cx="1737360" cy="182880"/>
          </a:xfrm>
          <a:prstGeom prst="roundRect">
            <a:avLst>
              <a:gd name="adj" fmla="val 50000"/>
            </a:avLst>
          </a:prstGeom>
          <a:solidFill>
            <a:srgbClr val="292B37"/>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75" name="Rectangle: Rounded Corners 274">
            <a:extLst>
              <a:ext uri="{FF2B5EF4-FFF2-40B4-BE49-F238E27FC236}">
                <a16:creationId xmlns:a16="http://schemas.microsoft.com/office/drawing/2014/main" id="{00000000-0008-0000-0000-000013010000}"/>
              </a:ext>
            </a:extLst>
          </xdr:cNvPr>
          <xdr:cNvSpPr/>
        </xdr:nvSpPr>
        <xdr:spPr>
          <a:xfrm>
            <a:off x="9974580" y="6416040"/>
            <a:ext cx="1737360" cy="182880"/>
          </a:xfrm>
          <a:prstGeom prst="roundRect">
            <a:avLst>
              <a:gd name="adj" fmla="val 50000"/>
            </a:avLst>
          </a:prstGeom>
          <a:solidFill>
            <a:srgbClr val="292B37"/>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73" name="Rectangle: Rounded Corners 272">
            <a:extLst>
              <a:ext uri="{FF2B5EF4-FFF2-40B4-BE49-F238E27FC236}">
                <a16:creationId xmlns:a16="http://schemas.microsoft.com/office/drawing/2014/main" id="{00000000-0008-0000-0000-000011010000}"/>
              </a:ext>
            </a:extLst>
          </xdr:cNvPr>
          <xdr:cNvSpPr/>
        </xdr:nvSpPr>
        <xdr:spPr>
          <a:xfrm>
            <a:off x="9974580" y="5593080"/>
            <a:ext cx="1737360" cy="182880"/>
          </a:xfrm>
          <a:prstGeom prst="roundRect">
            <a:avLst>
              <a:gd name="adj" fmla="val 50000"/>
            </a:avLst>
          </a:prstGeom>
          <a:solidFill>
            <a:srgbClr val="292B37"/>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aphicFrame macro="">
        <xdr:nvGraphicFramePr>
          <xdr:cNvPr id="272" name="Chart 271">
            <a:extLst>
              <a:ext uri="{FF2B5EF4-FFF2-40B4-BE49-F238E27FC236}">
                <a16:creationId xmlns:a16="http://schemas.microsoft.com/office/drawing/2014/main" id="{00000000-0008-0000-0000-000010010000}"/>
              </a:ext>
            </a:extLst>
          </xdr:cNvPr>
          <xdr:cNvGraphicFramePr>
            <a:graphicFrameLocks/>
          </xdr:cNvGraphicFramePr>
        </xdr:nvGraphicFramePr>
        <xdr:xfrm>
          <a:off x="9837420" y="5341620"/>
          <a:ext cx="2194560" cy="151257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15</xdr:col>
      <xdr:colOff>99060</xdr:colOff>
      <xdr:row>23</xdr:row>
      <xdr:rowOff>38100</xdr:rowOff>
    </xdr:from>
    <xdr:to>
      <xdr:col>20</xdr:col>
      <xdr:colOff>243840</xdr:colOff>
      <xdr:row>35</xdr:row>
      <xdr:rowOff>148590</xdr:rowOff>
    </xdr:to>
    <xdr:grpSp>
      <xdr:nvGrpSpPr>
        <xdr:cNvPr id="264" name="Group 263">
          <a:extLst>
            <a:ext uri="{FF2B5EF4-FFF2-40B4-BE49-F238E27FC236}">
              <a16:creationId xmlns:a16="http://schemas.microsoft.com/office/drawing/2014/main" id="{00000000-0008-0000-0000-000008010000}"/>
            </a:ext>
          </a:extLst>
        </xdr:cNvPr>
        <xdr:cNvGrpSpPr/>
      </xdr:nvGrpSpPr>
      <xdr:grpSpPr>
        <a:xfrm>
          <a:off x="9028748" y="4943475"/>
          <a:ext cx="3121342" cy="2396490"/>
          <a:chOff x="9243060" y="4777740"/>
          <a:chExt cx="3192780" cy="2305050"/>
        </a:xfrm>
      </xdr:grpSpPr>
      <xdr:sp macro="" textlink="">
        <xdr:nvSpPr>
          <xdr:cNvPr id="29" name="Rectangle: Rounded Corners 28">
            <a:extLst>
              <a:ext uri="{FF2B5EF4-FFF2-40B4-BE49-F238E27FC236}">
                <a16:creationId xmlns:a16="http://schemas.microsoft.com/office/drawing/2014/main" id="{00000000-0008-0000-0000-00001D000000}"/>
              </a:ext>
            </a:extLst>
          </xdr:cNvPr>
          <xdr:cNvSpPr/>
        </xdr:nvSpPr>
        <xdr:spPr>
          <a:xfrm>
            <a:off x="9723120" y="4922520"/>
            <a:ext cx="2212848" cy="1958340"/>
          </a:xfrm>
          <a:prstGeom prst="roundRect">
            <a:avLst>
              <a:gd name="adj" fmla="val 6939"/>
            </a:avLst>
          </a:prstGeom>
          <a:gradFill>
            <a:gsLst>
              <a:gs pos="64000">
                <a:srgbClr val="1A1A26"/>
              </a:gs>
              <a:gs pos="100000">
                <a:srgbClr val="3C3F4E"/>
              </a:gs>
            </a:gsLst>
            <a:lin ang="19200000" scaled="0"/>
          </a:gradFill>
          <a:ln w="9525">
            <a:gradFill flip="none" rotWithShape="1">
              <a:gsLst>
                <a:gs pos="46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aphicFrame macro="">
        <xdr:nvGraphicFramePr>
          <xdr:cNvPr id="259" name="Chart 258">
            <a:extLst>
              <a:ext uri="{FF2B5EF4-FFF2-40B4-BE49-F238E27FC236}">
                <a16:creationId xmlns:a16="http://schemas.microsoft.com/office/drawing/2014/main" id="{00000000-0008-0000-0000-000003010000}"/>
              </a:ext>
            </a:extLst>
          </xdr:cNvPr>
          <xdr:cNvGraphicFramePr>
            <a:graphicFrameLocks/>
          </xdr:cNvGraphicFramePr>
        </xdr:nvGraphicFramePr>
        <xdr:xfrm>
          <a:off x="9243060" y="5440680"/>
          <a:ext cx="3192780" cy="164211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61" name="Freeform: Shape 260">
            <a:extLst>
              <a:ext uri="{FF2B5EF4-FFF2-40B4-BE49-F238E27FC236}">
                <a16:creationId xmlns:a16="http://schemas.microsoft.com/office/drawing/2014/main" id="{00000000-0008-0000-0000-000005010000}"/>
              </a:ext>
            </a:extLst>
          </xdr:cNvPr>
          <xdr:cNvSpPr/>
        </xdr:nvSpPr>
        <xdr:spPr>
          <a:xfrm>
            <a:off x="9273540" y="4777740"/>
            <a:ext cx="3122579" cy="2247091"/>
          </a:xfrm>
          <a:custGeom>
            <a:avLst/>
            <a:gdLst>
              <a:gd name="connsiteX0" fmla="*/ 590755 w 3122579"/>
              <a:gd name="connsiteY0" fmla="*/ 144376 h 2247091"/>
              <a:gd name="connsiteX1" fmla="*/ 454866 w 3122579"/>
              <a:gd name="connsiteY1" fmla="*/ 280265 h 2247091"/>
              <a:gd name="connsiteX2" fmla="*/ 454866 w 3122579"/>
              <a:gd name="connsiteY2" fmla="*/ 1966827 h 2247091"/>
              <a:gd name="connsiteX3" fmla="*/ 590755 w 3122579"/>
              <a:gd name="connsiteY3" fmla="*/ 2102716 h 2247091"/>
              <a:gd name="connsiteX4" fmla="*/ 2531825 w 3122579"/>
              <a:gd name="connsiteY4" fmla="*/ 2102716 h 2247091"/>
              <a:gd name="connsiteX5" fmla="*/ 2667714 w 3122579"/>
              <a:gd name="connsiteY5" fmla="*/ 1966827 h 2247091"/>
              <a:gd name="connsiteX6" fmla="*/ 2667714 w 3122579"/>
              <a:gd name="connsiteY6" fmla="*/ 280265 h 2247091"/>
              <a:gd name="connsiteX7" fmla="*/ 2531825 w 3122579"/>
              <a:gd name="connsiteY7" fmla="*/ 144376 h 2247091"/>
              <a:gd name="connsiteX8" fmla="*/ 0 w 3122579"/>
              <a:gd name="connsiteY8" fmla="*/ 0 h 2247091"/>
              <a:gd name="connsiteX9" fmla="*/ 3122579 w 3122579"/>
              <a:gd name="connsiteY9" fmla="*/ 0 h 2247091"/>
              <a:gd name="connsiteX10" fmla="*/ 3122579 w 3122579"/>
              <a:gd name="connsiteY10" fmla="*/ 2247091 h 2247091"/>
              <a:gd name="connsiteX11" fmla="*/ 0 w 3122579"/>
              <a:gd name="connsiteY11" fmla="*/ 2247091 h 224709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3122579" h="2247091">
                <a:moveTo>
                  <a:pt x="590755" y="144376"/>
                </a:moveTo>
                <a:cubicBezTo>
                  <a:pt x="515706" y="144376"/>
                  <a:pt x="454866" y="205216"/>
                  <a:pt x="454866" y="280265"/>
                </a:cubicBezTo>
                <a:lnTo>
                  <a:pt x="454866" y="1966827"/>
                </a:lnTo>
                <a:cubicBezTo>
                  <a:pt x="454866" y="2041876"/>
                  <a:pt x="515706" y="2102716"/>
                  <a:pt x="590755" y="2102716"/>
                </a:cubicBezTo>
                <a:lnTo>
                  <a:pt x="2531825" y="2102716"/>
                </a:lnTo>
                <a:cubicBezTo>
                  <a:pt x="2606874" y="2102716"/>
                  <a:pt x="2667714" y="2041876"/>
                  <a:pt x="2667714" y="1966827"/>
                </a:cubicBezTo>
                <a:lnTo>
                  <a:pt x="2667714" y="280265"/>
                </a:lnTo>
                <a:cubicBezTo>
                  <a:pt x="2667714" y="205216"/>
                  <a:pt x="2606874" y="144376"/>
                  <a:pt x="2531825" y="144376"/>
                </a:cubicBezTo>
                <a:close/>
                <a:moveTo>
                  <a:pt x="0" y="0"/>
                </a:moveTo>
                <a:lnTo>
                  <a:pt x="3122579" y="0"/>
                </a:lnTo>
                <a:lnTo>
                  <a:pt x="3122579" y="2247091"/>
                </a:lnTo>
                <a:lnTo>
                  <a:pt x="0" y="2247091"/>
                </a:lnTo>
                <a:close/>
              </a:path>
            </a:pathLst>
          </a:cu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15</xdr:col>
      <xdr:colOff>586740</xdr:colOff>
      <xdr:row>12</xdr:row>
      <xdr:rowOff>121920</xdr:rowOff>
    </xdr:from>
    <xdr:to>
      <xdr:col>23</xdr:col>
      <xdr:colOff>358140</xdr:colOff>
      <xdr:row>23</xdr:row>
      <xdr:rowOff>68580</xdr:rowOff>
    </xdr:to>
    <xdr:grpSp>
      <xdr:nvGrpSpPr>
        <xdr:cNvPr id="270" name="Group 269">
          <a:extLst>
            <a:ext uri="{FF2B5EF4-FFF2-40B4-BE49-F238E27FC236}">
              <a16:creationId xmlns:a16="http://schemas.microsoft.com/office/drawing/2014/main" id="{00000000-0008-0000-0000-00000E010000}"/>
            </a:ext>
          </a:extLst>
        </xdr:cNvPr>
        <xdr:cNvGrpSpPr/>
      </xdr:nvGrpSpPr>
      <xdr:grpSpPr>
        <a:xfrm>
          <a:off x="9516428" y="2931795"/>
          <a:ext cx="4533900" cy="2042160"/>
          <a:chOff x="9730740" y="2849880"/>
          <a:chExt cx="4648200" cy="1958340"/>
        </a:xfrm>
      </xdr:grpSpPr>
      <xdr:sp macro="" textlink="">
        <xdr:nvSpPr>
          <xdr:cNvPr id="263" name="Rectangle: Rounded Corners 262">
            <a:extLst>
              <a:ext uri="{FF2B5EF4-FFF2-40B4-BE49-F238E27FC236}">
                <a16:creationId xmlns:a16="http://schemas.microsoft.com/office/drawing/2014/main" id="{00000000-0008-0000-0000-000007010000}"/>
              </a:ext>
            </a:extLst>
          </xdr:cNvPr>
          <xdr:cNvSpPr/>
        </xdr:nvSpPr>
        <xdr:spPr>
          <a:xfrm>
            <a:off x="9730740" y="2849880"/>
            <a:ext cx="4572000" cy="1958340"/>
          </a:xfrm>
          <a:prstGeom prst="roundRect">
            <a:avLst>
              <a:gd name="adj" fmla="val 6939"/>
            </a:avLst>
          </a:prstGeom>
          <a:gradFill>
            <a:gsLst>
              <a:gs pos="48000">
                <a:srgbClr val="1A1A26"/>
              </a:gs>
              <a:gs pos="100000">
                <a:srgbClr val="565B71"/>
              </a:gs>
            </a:gsLst>
            <a:lin ang="19200000" scaled="0"/>
          </a:gradFill>
          <a:ln w="9525">
            <a:gradFill flip="none" rotWithShape="1">
              <a:gsLst>
                <a:gs pos="30000">
                  <a:srgbClr val="1A1A26"/>
                </a:gs>
                <a:gs pos="100000">
                  <a:srgbClr val="B6B8CF"/>
                </a:gs>
              </a:gsLst>
              <a:lin ang="19200000" scaled="0"/>
              <a:tileRect/>
            </a:gradFill>
          </a:ln>
          <a:effectLst>
            <a:outerShdw blurRad="533400" dist="88900" dir="16200000" rotWithShape="0">
              <a:prstClr val="black">
                <a:alpha val="5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68" name="Rectangle: Rounded Corners 267">
            <a:extLst>
              <a:ext uri="{FF2B5EF4-FFF2-40B4-BE49-F238E27FC236}">
                <a16:creationId xmlns:a16="http://schemas.microsoft.com/office/drawing/2014/main" id="{00000000-0008-0000-0000-00000C010000}"/>
              </a:ext>
            </a:extLst>
          </xdr:cNvPr>
          <xdr:cNvSpPr/>
        </xdr:nvSpPr>
        <xdr:spPr>
          <a:xfrm>
            <a:off x="10119360" y="3901440"/>
            <a:ext cx="3749040" cy="182880"/>
          </a:xfrm>
          <a:prstGeom prst="roundRect">
            <a:avLst>
              <a:gd name="adj" fmla="val 50000"/>
            </a:avLst>
          </a:prstGeom>
          <a:solidFill>
            <a:srgbClr val="292B37"/>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69" name="Rectangle: Rounded Corners 268">
            <a:extLst>
              <a:ext uri="{FF2B5EF4-FFF2-40B4-BE49-F238E27FC236}">
                <a16:creationId xmlns:a16="http://schemas.microsoft.com/office/drawing/2014/main" id="{00000000-0008-0000-0000-00000D010000}"/>
              </a:ext>
            </a:extLst>
          </xdr:cNvPr>
          <xdr:cNvSpPr/>
        </xdr:nvSpPr>
        <xdr:spPr>
          <a:xfrm>
            <a:off x="10119360" y="4312920"/>
            <a:ext cx="3749040" cy="182880"/>
          </a:xfrm>
          <a:prstGeom prst="roundRect">
            <a:avLst>
              <a:gd name="adj" fmla="val 50000"/>
            </a:avLst>
          </a:prstGeom>
          <a:solidFill>
            <a:srgbClr val="292B37"/>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267" name="Rectangle: Rounded Corners 266">
            <a:extLst>
              <a:ext uri="{FF2B5EF4-FFF2-40B4-BE49-F238E27FC236}">
                <a16:creationId xmlns:a16="http://schemas.microsoft.com/office/drawing/2014/main" id="{00000000-0008-0000-0000-00000B010000}"/>
              </a:ext>
            </a:extLst>
          </xdr:cNvPr>
          <xdr:cNvSpPr/>
        </xdr:nvSpPr>
        <xdr:spPr>
          <a:xfrm>
            <a:off x="10119360" y="3489960"/>
            <a:ext cx="3749040" cy="182880"/>
          </a:xfrm>
          <a:prstGeom prst="roundRect">
            <a:avLst>
              <a:gd name="adj" fmla="val 50000"/>
            </a:avLst>
          </a:prstGeom>
          <a:solidFill>
            <a:srgbClr val="292B37"/>
          </a:solidFill>
          <a:ln>
            <a:noFill/>
          </a:ln>
          <a:effectLst>
            <a:innerShdw blurRad="1905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aphicFrame macro="">
        <xdr:nvGraphicFramePr>
          <xdr:cNvPr id="266" name="Chart 265">
            <a:extLst>
              <a:ext uri="{FF2B5EF4-FFF2-40B4-BE49-F238E27FC236}">
                <a16:creationId xmlns:a16="http://schemas.microsoft.com/office/drawing/2014/main" id="{00000000-0008-0000-0000-00000A010000}"/>
              </a:ext>
            </a:extLst>
          </xdr:cNvPr>
          <xdr:cNvGraphicFramePr>
            <a:graphicFrameLocks/>
          </xdr:cNvGraphicFramePr>
        </xdr:nvGraphicFramePr>
        <xdr:xfrm>
          <a:off x="9989820" y="3238500"/>
          <a:ext cx="4389120" cy="151257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8</xdr:col>
      <xdr:colOff>114300</xdr:colOff>
      <xdr:row>1</xdr:row>
      <xdr:rowOff>76198</xdr:rowOff>
    </xdr:from>
    <xdr:to>
      <xdr:col>15</xdr:col>
      <xdr:colOff>419100</xdr:colOff>
      <xdr:row>20</xdr:row>
      <xdr:rowOff>76198</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4991100" y="792478"/>
          <a:ext cx="4572000" cy="3474720"/>
        </a:xfrm>
        <a:prstGeom prst="roundRect">
          <a:avLst>
            <a:gd name="adj" fmla="val 5505"/>
          </a:avLst>
        </a:prstGeom>
        <a:gradFill>
          <a:gsLst>
            <a:gs pos="37000">
              <a:srgbClr val="1A1A26"/>
            </a:gs>
            <a:gs pos="100000">
              <a:srgbClr val="565B71"/>
            </a:gs>
          </a:gsLst>
          <a:lin ang="18900000" scaled="1"/>
        </a:gradFill>
        <a:ln w="9525">
          <a:gradFill flip="none" rotWithShape="1">
            <a:gsLst>
              <a:gs pos="30000">
                <a:srgbClr val="1A1A26"/>
              </a:gs>
              <a:gs pos="100000">
                <a:srgbClr val="B6B8CF"/>
              </a:gs>
            </a:gsLst>
            <a:lin ang="18900000" scaled="1"/>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259080</xdr:colOff>
      <xdr:row>24</xdr:row>
      <xdr:rowOff>0</xdr:rowOff>
    </xdr:from>
    <xdr:to>
      <xdr:col>7</xdr:col>
      <xdr:colOff>563880</xdr:colOff>
      <xdr:row>34</xdr:row>
      <xdr:rowOff>129540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259080" y="4922520"/>
          <a:ext cx="4572000" cy="1958340"/>
        </a:xfrm>
        <a:prstGeom prst="roundRect">
          <a:avLst>
            <a:gd name="adj" fmla="val 6939"/>
          </a:avLst>
        </a:prstGeom>
        <a:gradFill>
          <a:gsLst>
            <a:gs pos="68000">
              <a:srgbClr val="1A1A26"/>
            </a:gs>
            <a:gs pos="100000">
              <a:srgbClr val="3C3F4E"/>
            </a:gs>
          </a:gsLst>
          <a:lin ang="19200000" scaled="0"/>
        </a:gradFill>
        <a:ln w="9525">
          <a:gradFill flip="none" rotWithShape="1">
            <a:gsLst>
              <a:gs pos="51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114300</xdr:colOff>
      <xdr:row>21</xdr:row>
      <xdr:rowOff>38100</xdr:rowOff>
    </xdr:from>
    <xdr:to>
      <xdr:col>11</xdr:col>
      <xdr:colOff>480060</xdr:colOff>
      <xdr:row>34</xdr:row>
      <xdr:rowOff>129540</xdr:rowOff>
    </xdr:to>
    <xdr:sp macro="" textlink="">
      <xdr:nvSpPr>
        <xdr:cNvPr id="21" name="Rectangle: Rounded Corners 20">
          <a:extLst>
            <a:ext uri="{FF2B5EF4-FFF2-40B4-BE49-F238E27FC236}">
              <a16:creationId xmlns:a16="http://schemas.microsoft.com/office/drawing/2014/main" id="{00000000-0008-0000-0000-000015000000}"/>
            </a:ext>
          </a:extLst>
        </xdr:cNvPr>
        <xdr:cNvSpPr/>
      </xdr:nvSpPr>
      <xdr:spPr>
        <a:xfrm>
          <a:off x="4991100" y="4411980"/>
          <a:ext cx="2194560" cy="2468880"/>
        </a:xfrm>
        <a:prstGeom prst="roundRect">
          <a:avLst>
            <a:gd name="adj" fmla="val 6939"/>
          </a:avLst>
        </a:prstGeom>
        <a:gradFill>
          <a:gsLst>
            <a:gs pos="60000">
              <a:srgbClr val="1A1A26"/>
            </a:gs>
            <a:gs pos="100000">
              <a:srgbClr val="3C3F4E"/>
            </a:gs>
          </a:gsLst>
          <a:lin ang="19200000" scaled="0"/>
        </a:gradFill>
        <a:ln w="9525">
          <a:gradFill flip="none" rotWithShape="1">
            <a:gsLst>
              <a:gs pos="48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12</xdr:col>
      <xdr:colOff>53340</xdr:colOff>
      <xdr:row>21</xdr:row>
      <xdr:rowOff>38100</xdr:rowOff>
    </xdr:from>
    <xdr:to>
      <xdr:col>15</xdr:col>
      <xdr:colOff>419100</xdr:colOff>
      <xdr:row>34</xdr:row>
      <xdr:rowOff>129540</xdr:rowOff>
    </xdr:to>
    <xdr:sp macro="" textlink="">
      <xdr:nvSpPr>
        <xdr:cNvPr id="22" name="Rectangle: Rounded Corners 21">
          <a:extLst>
            <a:ext uri="{FF2B5EF4-FFF2-40B4-BE49-F238E27FC236}">
              <a16:creationId xmlns:a16="http://schemas.microsoft.com/office/drawing/2014/main" id="{00000000-0008-0000-0000-000016000000}"/>
            </a:ext>
          </a:extLst>
        </xdr:cNvPr>
        <xdr:cNvSpPr/>
      </xdr:nvSpPr>
      <xdr:spPr>
        <a:xfrm>
          <a:off x="7368540" y="4411980"/>
          <a:ext cx="2194560" cy="2468880"/>
        </a:xfrm>
        <a:prstGeom prst="roundRect">
          <a:avLst>
            <a:gd name="adj" fmla="val 6939"/>
          </a:avLst>
        </a:prstGeom>
        <a:gradFill>
          <a:gsLst>
            <a:gs pos="48000">
              <a:srgbClr val="1A1A26"/>
            </a:gs>
            <a:gs pos="100000">
              <a:srgbClr val="3C3F4E"/>
            </a:gs>
          </a:gsLst>
          <a:lin ang="19200000" scaled="0"/>
        </a:gradFill>
        <a:ln w="9525">
          <a:gradFill flip="none" rotWithShape="1">
            <a:gsLst>
              <a:gs pos="30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19</xdr:col>
      <xdr:colOff>499872</xdr:colOff>
      <xdr:row>24</xdr:row>
      <xdr:rowOff>0</xdr:rowOff>
    </xdr:from>
    <xdr:to>
      <xdr:col>23</xdr:col>
      <xdr:colOff>274320</xdr:colOff>
      <xdr:row>34</xdr:row>
      <xdr:rowOff>129540</xdr:rowOff>
    </xdr:to>
    <xdr:sp macro="" textlink="">
      <xdr:nvSpPr>
        <xdr:cNvPr id="30" name="Rectangle: Rounded Corners 29">
          <a:extLst>
            <a:ext uri="{FF2B5EF4-FFF2-40B4-BE49-F238E27FC236}">
              <a16:creationId xmlns:a16="http://schemas.microsoft.com/office/drawing/2014/main" id="{00000000-0008-0000-0000-00001E000000}"/>
            </a:ext>
          </a:extLst>
        </xdr:cNvPr>
        <xdr:cNvSpPr/>
      </xdr:nvSpPr>
      <xdr:spPr>
        <a:xfrm>
          <a:off x="12082272" y="4922520"/>
          <a:ext cx="2212848" cy="1958340"/>
        </a:xfrm>
        <a:prstGeom prst="roundRect">
          <a:avLst>
            <a:gd name="adj" fmla="val 6939"/>
          </a:avLst>
        </a:prstGeom>
        <a:gradFill>
          <a:gsLst>
            <a:gs pos="48000">
              <a:srgbClr val="1A1A26"/>
            </a:gs>
            <a:gs pos="100000">
              <a:srgbClr val="3C3F4E"/>
            </a:gs>
          </a:gsLst>
          <a:lin ang="19200000" scaled="0"/>
        </a:gradFill>
        <a:ln w="9525">
          <a:gradFill flip="none" rotWithShape="1">
            <a:gsLst>
              <a:gs pos="30000">
                <a:srgbClr val="1A1A26"/>
              </a:gs>
              <a:gs pos="100000">
                <a:srgbClr val="B6B8CF"/>
              </a:gs>
            </a:gsLst>
            <a:lin ang="19200000" scaled="0"/>
            <a:tileRect/>
          </a:gradFill>
        </a:ln>
        <a:effectLst>
          <a:outerShdw blurRad="50800" dist="1524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8</xdr:col>
      <xdr:colOff>411563</xdr:colOff>
      <xdr:row>2</xdr:row>
      <xdr:rowOff>156068</xdr:rowOff>
    </xdr:from>
    <xdr:to>
      <xdr:col>13</xdr:col>
      <xdr:colOff>307204</xdr:colOff>
      <xdr:row>19</xdr:row>
      <xdr:rowOff>13930</xdr:rowOff>
    </xdr:to>
    <xdr:grpSp>
      <xdr:nvGrpSpPr>
        <xdr:cNvPr id="1038" name="Group 1037">
          <a:extLst>
            <a:ext uri="{FF2B5EF4-FFF2-40B4-BE49-F238E27FC236}">
              <a16:creationId xmlns:a16="http://schemas.microsoft.com/office/drawing/2014/main" id="{D745D009-6851-45E3-F6EA-5CF4C67C08E3}"/>
            </a:ext>
          </a:extLst>
        </xdr:cNvPr>
        <xdr:cNvGrpSpPr/>
      </xdr:nvGrpSpPr>
      <xdr:grpSpPr>
        <a:xfrm>
          <a:off x="5174063" y="1060943"/>
          <a:ext cx="2872204" cy="3096362"/>
          <a:chOff x="5288363" y="1055228"/>
          <a:chExt cx="2943641" cy="2966822"/>
        </a:xfrm>
      </xdr:grpSpPr>
      <xdr:sp macro="" textlink="Processing!A1">
        <xdr:nvSpPr>
          <xdr:cNvPr id="2" name="TextBox 1">
            <a:extLst>
              <a:ext uri="{FF2B5EF4-FFF2-40B4-BE49-F238E27FC236}">
                <a16:creationId xmlns:a16="http://schemas.microsoft.com/office/drawing/2014/main" id="{00000000-0008-0000-0000-000002000000}"/>
              </a:ext>
            </a:extLst>
          </xdr:cNvPr>
          <xdr:cNvSpPr txBox="1"/>
        </xdr:nvSpPr>
        <xdr:spPr>
          <a:xfrm>
            <a:off x="6642641" y="369506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D21373-D582-4A7C-A2D9-AE8919770FC1}"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
        <xdr:nvSpPr>
          <xdr:cNvPr id="8" name="TextBox 7">
            <a:extLst>
              <a:ext uri="{FF2B5EF4-FFF2-40B4-BE49-F238E27FC236}">
                <a16:creationId xmlns:a16="http://schemas.microsoft.com/office/drawing/2014/main" id="{00000000-0008-0000-0000-000008000000}"/>
              </a:ext>
            </a:extLst>
          </xdr:cNvPr>
          <xdr:cNvSpPr txBox="1"/>
        </xdr:nvSpPr>
        <xdr:spPr>
          <a:xfrm>
            <a:off x="6341305" y="365365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653D07-7BDB-409B-9EF7-9913A0E515D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
        <xdr:nvSpPr>
          <xdr:cNvPr id="9" name="TextBox 8">
            <a:extLst>
              <a:ext uri="{FF2B5EF4-FFF2-40B4-BE49-F238E27FC236}">
                <a16:creationId xmlns:a16="http://schemas.microsoft.com/office/drawing/2014/main" id="{00000000-0008-0000-0000-000009000000}"/>
              </a:ext>
            </a:extLst>
          </xdr:cNvPr>
          <xdr:cNvSpPr txBox="1"/>
        </xdr:nvSpPr>
        <xdr:spPr>
          <a:xfrm>
            <a:off x="6081533" y="356393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692674-E619-41D4-BA49-9907AA2DBC1C}"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
        <xdr:nvSpPr>
          <xdr:cNvPr id="10" name="TextBox 9">
            <a:extLst>
              <a:ext uri="{FF2B5EF4-FFF2-40B4-BE49-F238E27FC236}">
                <a16:creationId xmlns:a16="http://schemas.microsoft.com/office/drawing/2014/main" id="{00000000-0008-0000-0000-00000A000000}"/>
              </a:ext>
            </a:extLst>
          </xdr:cNvPr>
          <xdr:cNvSpPr txBox="1"/>
        </xdr:nvSpPr>
        <xdr:spPr>
          <a:xfrm>
            <a:off x="5828689" y="339829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63619A-2B6B-4A98-A649-1DD8583E45A2}"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
        <xdr:nvSpPr>
          <xdr:cNvPr id="11" name="TextBox 10">
            <a:extLst>
              <a:ext uri="{FF2B5EF4-FFF2-40B4-BE49-F238E27FC236}">
                <a16:creationId xmlns:a16="http://schemas.microsoft.com/office/drawing/2014/main" id="{00000000-0008-0000-0000-00000B000000}"/>
              </a:ext>
            </a:extLst>
          </xdr:cNvPr>
          <xdr:cNvSpPr txBox="1"/>
        </xdr:nvSpPr>
        <xdr:spPr>
          <a:xfrm>
            <a:off x="6950908" y="365019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D65DA9F-D9BF-443F-BF03-D2D51334DC9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
        <xdr:nvSpPr>
          <xdr:cNvPr id="15" name="TextBox 14">
            <a:extLst>
              <a:ext uri="{FF2B5EF4-FFF2-40B4-BE49-F238E27FC236}">
                <a16:creationId xmlns:a16="http://schemas.microsoft.com/office/drawing/2014/main" id="{00000000-0008-0000-0000-00000F000000}"/>
              </a:ext>
            </a:extLst>
          </xdr:cNvPr>
          <xdr:cNvSpPr txBox="1"/>
        </xdr:nvSpPr>
        <xdr:spPr>
          <a:xfrm>
            <a:off x="7241853" y="355703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6A0F36-D2F0-4E79-AF52-BE745FE39A6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0">
        <xdr:nvSpPr>
          <xdr:cNvPr id="16" name="TextBox 15">
            <a:extLst>
              <a:ext uri="{FF2B5EF4-FFF2-40B4-BE49-F238E27FC236}">
                <a16:creationId xmlns:a16="http://schemas.microsoft.com/office/drawing/2014/main" id="{00000000-0008-0000-0000-000010000000}"/>
              </a:ext>
            </a:extLst>
          </xdr:cNvPr>
          <xdr:cNvSpPr txBox="1"/>
        </xdr:nvSpPr>
        <xdr:spPr>
          <a:xfrm>
            <a:off x="7473916" y="3429353"/>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1DDAB6-DB28-4948-A1F2-667B1531BFE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1">
        <xdr:nvSpPr>
          <xdr:cNvPr id="18" name="TextBox 17">
            <a:extLst>
              <a:ext uri="{FF2B5EF4-FFF2-40B4-BE49-F238E27FC236}">
                <a16:creationId xmlns:a16="http://schemas.microsoft.com/office/drawing/2014/main" id="{00000000-0008-0000-0000-000012000000}"/>
              </a:ext>
            </a:extLst>
          </xdr:cNvPr>
          <xdr:cNvSpPr txBox="1"/>
        </xdr:nvSpPr>
        <xdr:spPr>
          <a:xfrm>
            <a:off x="7141407" y="339139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A0B617-A26F-4818-B8C5-E4273C3C37E0}"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
        <xdr:nvSpPr>
          <xdr:cNvPr id="19" name="TextBox 18">
            <a:extLst>
              <a:ext uri="{FF2B5EF4-FFF2-40B4-BE49-F238E27FC236}">
                <a16:creationId xmlns:a16="http://schemas.microsoft.com/office/drawing/2014/main" id="{00000000-0008-0000-0000-000013000000}"/>
              </a:ext>
            </a:extLst>
          </xdr:cNvPr>
          <xdr:cNvSpPr txBox="1"/>
        </xdr:nvSpPr>
        <xdr:spPr>
          <a:xfrm>
            <a:off x="6850461" y="339484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CB355F-FB86-476E-A439-DA1567AAD3CE}"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
        <xdr:nvSpPr>
          <xdr:cNvPr id="24" name="TextBox 23">
            <a:extLst>
              <a:ext uri="{FF2B5EF4-FFF2-40B4-BE49-F238E27FC236}">
                <a16:creationId xmlns:a16="http://schemas.microsoft.com/office/drawing/2014/main" id="{00000000-0008-0000-0000-000018000000}"/>
              </a:ext>
            </a:extLst>
          </xdr:cNvPr>
          <xdr:cNvSpPr txBox="1"/>
        </xdr:nvSpPr>
        <xdr:spPr>
          <a:xfrm>
            <a:off x="6590689" y="339829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3713FB-3AA7-4BF7-972F-ECD6A818F21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
        <xdr:nvSpPr>
          <xdr:cNvPr id="25" name="TextBox 24">
            <a:extLst>
              <a:ext uri="{FF2B5EF4-FFF2-40B4-BE49-F238E27FC236}">
                <a16:creationId xmlns:a16="http://schemas.microsoft.com/office/drawing/2014/main" id="{00000000-0008-0000-0000-000019000000}"/>
              </a:ext>
            </a:extLst>
          </xdr:cNvPr>
          <xdr:cNvSpPr txBox="1"/>
        </xdr:nvSpPr>
        <xdr:spPr>
          <a:xfrm>
            <a:off x="6382872" y="338104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11BC6D-B600-43DA-9C9F-928EB027EC64}"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2">
        <xdr:nvSpPr>
          <xdr:cNvPr id="26" name="TextBox 25">
            <a:extLst>
              <a:ext uri="{FF2B5EF4-FFF2-40B4-BE49-F238E27FC236}">
                <a16:creationId xmlns:a16="http://schemas.microsoft.com/office/drawing/2014/main" id="{00000000-0008-0000-0000-00001A000000}"/>
              </a:ext>
            </a:extLst>
          </xdr:cNvPr>
          <xdr:cNvSpPr txBox="1"/>
        </xdr:nvSpPr>
        <xdr:spPr>
          <a:xfrm>
            <a:off x="6185446" y="332237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DF3437-5960-41B3-A9BB-4C7852335C3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3">
        <xdr:nvSpPr>
          <xdr:cNvPr id="28" name="TextBox 27">
            <a:extLst>
              <a:ext uri="{FF2B5EF4-FFF2-40B4-BE49-F238E27FC236}">
                <a16:creationId xmlns:a16="http://schemas.microsoft.com/office/drawing/2014/main" id="{00000000-0008-0000-0000-00001C000000}"/>
              </a:ext>
            </a:extLst>
          </xdr:cNvPr>
          <xdr:cNvSpPr txBox="1"/>
        </xdr:nvSpPr>
        <xdr:spPr>
          <a:xfrm>
            <a:off x="5994947" y="330512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CCF50A-8A9C-41C6-BFD1-3B86F94502D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8">
        <xdr:nvSpPr>
          <xdr:cNvPr id="31" name="TextBox 30">
            <a:extLst>
              <a:ext uri="{FF2B5EF4-FFF2-40B4-BE49-F238E27FC236}">
                <a16:creationId xmlns:a16="http://schemas.microsoft.com/office/drawing/2014/main" id="{00000000-0008-0000-0000-00001F000000}"/>
              </a:ext>
            </a:extLst>
          </xdr:cNvPr>
          <xdr:cNvSpPr txBox="1"/>
        </xdr:nvSpPr>
        <xdr:spPr>
          <a:xfrm>
            <a:off x="5634731" y="320505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C0411E-2A04-455E-9A51-1EE46C52E6C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2">
        <xdr:nvSpPr>
          <xdr:cNvPr id="32" name="TextBox 31">
            <a:extLst>
              <a:ext uri="{FF2B5EF4-FFF2-40B4-BE49-F238E27FC236}">
                <a16:creationId xmlns:a16="http://schemas.microsoft.com/office/drawing/2014/main" id="{00000000-0008-0000-0000-000020000000}"/>
              </a:ext>
            </a:extLst>
          </xdr:cNvPr>
          <xdr:cNvSpPr txBox="1"/>
        </xdr:nvSpPr>
        <xdr:spPr>
          <a:xfrm>
            <a:off x="5794058" y="307737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B14BF9-236C-413A-90D0-3B0C585BA6A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7">
        <xdr:nvSpPr>
          <xdr:cNvPr id="33" name="TextBox 32">
            <a:extLst>
              <a:ext uri="{FF2B5EF4-FFF2-40B4-BE49-F238E27FC236}">
                <a16:creationId xmlns:a16="http://schemas.microsoft.com/office/drawing/2014/main" id="{00000000-0008-0000-0000-000021000000}"/>
              </a:ext>
            </a:extLst>
          </xdr:cNvPr>
          <xdr:cNvSpPr txBox="1"/>
        </xdr:nvSpPr>
        <xdr:spPr>
          <a:xfrm>
            <a:off x="6711921" y="319124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53AC65-778D-4D10-9C38-95C0CB06C13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9">
        <xdr:nvSpPr>
          <xdr:cNvPr id="34" name="TextBox 33">
            <a:extLst>
              <a:ext uri="{FF2B5EF4-FFF2-40B4-BE49-F238E27FC236}">
                <a16:creationId xmlns:a16="http://schemas.microsoft.com/office/drawing/2014/main" id="{00000000-0008-0000-0000-000022000000}"/>
              </a:ext>
            </a:extLst>
          </xdr:cNvPr>
          <xdr:cNvSpPr txBox="1"/>
        </xdr:nvSpPr>
        <xdr:spPr>
          <a:xfrm>
            <a:off x="7054820" y="316364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E0B128-FECB-4824-A80D-D4C5ED12513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6">
        <xdr:nvSpPr>
          <xdr:cNvPr id="35" name="TextBox 34">
            <a:extLst>
              <a:ext uri="{FF2B5EF4-FFF2-40B4-BE49-F238E27FC236}">
                <a16:creationId xmlns:a16="http://schemas.microsoft.com/office/drawing/2014/main" id="{00000000-0008-0000-0000-000023000000}"/>
              </a:ext>
            </a:extLst>
          </xdr:cNvPr>
          <xdr:cNvSpPr txBox="1"/>
        </xdr:nvSpPr>
        <xdr:spPr>
          <a:xfrm>
            <a:off x="7300739" y="319814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ED2D33-45A7-41B4-90AC-7FAD909C4571}"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5">
        <xdr:nvSpPr>
          <xdr:cNvPr id="36" name="TextBox 35">
            <a:extLst>
              <a:ext uri="{FF2B5EF4-FFF2-40B4-BE49-F238E27FC236}">
                <a16:creationId xmlns:a16="http://schemas.microsoft.com/office/drawing/2014/main" id="{00000000-0008-0000-0000-000024000000}"/>
              </a:ext>
            </a:extLst>
          </xdr:cNvPr>
          <xdr:cNvSpPr txBox="1"/>
        </xdr:nvSpPr>
        <xdr:spPr>
          <a:xfrm>
            <a:off x="7470458" y="314638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657D9F-ADF5-4A1A-ABE8-95B1F53C693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4">
        <xdr:nvSpPr>
          <xdr:cNvPr id="37" name="TextBox 36">
            <a:extLst>
              <a:ext uri="{FF2B5EF4-FFF2-40B4-BE49-F238E27FC236}">
                <a16:creationId xmlns:a16="http://schemas.microsoft.com/office/drawing/2014/main" id="{00000000-0008-0000-0000-000025000000}"/>
              </a:ext>
            </a:extLst>
          </xdr:cNvPr>
          <xdr:cNvSpPr txBox="1"/>
        </xdr:nvSpPr>
        <xdr:spPr>
          <a:xfrm>
            <a:off x="7716375" y="320504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BE903B-B9A8-4069-BC10-22D9D0DA3109}"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0">
        <xdr:nvSpPr>
          <xdr:cNvPr id="38" name="TextBox 37">
            <a:extLst>
              <a:ext uri="{FF2B5EF4-FFF2-40B4-BE49-F238E27FC236}">
                <a16:creationId xmlns:a16="http://schemas.microsoft.com/office/drawing/2014/main" id="{00000000-0008-0000-0000-000026000000}"/>
              </a:ext>
            </a:extLst>
          </xdr:cNvPr>
          <xdr:cNvSpPr txBox="1"/>
        </xdr:nvSpPr>
        <xdr:spPr>
          <a:xfrm>
            <a:off x="6524884" y="310497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C99D60-B3F7-4B60-9413-8333A826174B}"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1">
        <xdr:nvSpPr>
          <xdr:cNvPr id="39" name="TextBox 38">
            <a:extLst>
              <a:ext uri="{FF2B5EF4-FFF2-40B4-BE49-F238E27FC236}">
                <a16:creationId xmlns:a16="http://schemas.microsoft.com/office/drawing/2014/main" id="{00000000-0008-0000-0000-000027000000}"/>
              </a:ext>
            </a:extLst>
          </xdr:cNvPr>
          <xdr:cNvSpPr txBox="1"/>
        </xdr:nvSpPr>
        <xdr:spPr>
          <a:xfrm>
            <a:off x="6147348" y="3001453"/>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F87BC8-D32C-4ED2-8F46-FEE41B3E9992}"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4">
        <xdr:nvSpPr>
          <xdr:cNvPr id="40" name="TextBox 39">
            <a:extLst>
              <a:ext uri="{FF2B5EF4-FFF2-40B4-BE49-F238E27FC236}">
                <a16:creationId xmlns:a16="http://schemas.microsoft.com/office/drawing/2014/main" id="{00000000-0008-0000-0000-000028000000}"/>
              </a:ext>
            </a:extLst>
          </xdr:cNvPr>
          <xdr:cNvSpPr txBox="1"/>
        </xdr:nvSpPr>
        <xdr:spPr>
          <a:xfrm>
            <a:off x="6348239" y="294969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145C19-E5D3-42CA-804D-31523C16B07A}"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0">
        <xdr:nvSpPr>
          <xdr:cNvPr id="41" name="TextBox 40">
            <a:extLst>
              <a:ext uri="{FF2B5EF4-FFF2-40B4-BE49-F238E27FC236}">
                <a16:creationId xmlns:a16="http://schemas.microsoft.com/office/drawing/2014/main" id="{00000000-0008-0000-0000-000029000000}"/>
              </a:ext>
            </a:extLst>
          </xdr:cNvPr>
          <xdr:cNvSpPr txBox="1"/>
        </xdr:nvSpPr>
        <xdr:spPr>
          <a:xfrm>
            <a:off x="6618401" y="286342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FCAA61-C857-41A2-B62E-52252937952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5">
        <xdr:nvSpPr>
          <xdr:cNvPr id="42" name="TextBox 41">
            <a:extLst>
              <a:ext uri="{FF2B5EF4-FFF2-40B4-BE49-F238E27FC236}">
                <a16:creationId xmlns:a16="http://schemas.microsoft.com/office/drawing/2014/main" id="{00000000-0008-0000-0000-00002A000000}"/>
              </a:ext>
            </a:extLst>
          </xdr:cNvPr>
          <xdr:cNvSpPr txBox="1"/>
        </xdr:nvSpPr>
        <xdr:spPr>
          <a:xfrm>
            <a:off x="6871248" y="2960043"/>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63F622-0549-4225-B4BA-1C05A26A494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6">
        <xdr:nvSpPr>
          <xdr:cNvPr id="43" name="TextBox 42">
            <a:extLst>
              <a:ext uri="{FF2B5EF4-FFF2-40B4-BE49-F238E27FC236}">
                <a16:creationId xmlns:a16="http://schemas.microsoft.com/office/drawing/2014/main" id="{00000000-0008-0000-0000-00002B000000}"/>
              </a:ext>
            </a:extLst>
          </xdr:cNvPr>
          <xdr:cNvSpPr txBox="1"/>
        </xdr:nvSpPr>
        <xdr:spPr>
          <a:xfrm>
            <a:off x="7314593" y="289793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134FB1-E0B4-4733-94DB-5BF403FB8D6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1">
        <xdr:nvSpPr>
          <xdr:cNvPr id="44" name="TextBox 43">
            <a:extLst>
              <a:ext uri="{FF2B5EF4-FFF2-40B4-BE49-F238E27FC236}">
                <a16:creationId xmlns:a16="http://schemas.microsoft.com/office/drawing/2014/main" id="{00000000-0008-0000-0000-00002C000000}"/>
              </a:ext>
            </a:extLst>
          </xdr:cNvPr>
          <xdr:cNvSpPr txBox="1"/>
        </xdr:nvSpPr>
        <xdr:spPr>
          <a:xfrm>
            <a:off x="7092920" y="285307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323442-5547-4D9C-B85C-BC53A351F934}"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3">
        <xdr:nvSpPr>
          <xdr:cNvPr id="45" name="TextBox 44">
            <a:extLst>
              <a:ext uri="{FF2B5EF4-FFF2-40B4-BE49-F238E27FC236}">
                <a16:creationId xmlns:a16="http://schemas.microsoft.com/office/drawing/2014/main" id="{00000000-0008-0000-0000-00002D000000}"/>
              </a:ext>
            </a:extLst>
          </xdr:cNvPr>
          <xdr:cNvSpPr txBox="1"/>
        </xdr:nvSpPr>
        <xdr:spPr>
          <a:xfrm>
            <a:off x="7899945" y="293934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E92F1C-0E4A-4FDE-9F7B-658AADC7F2C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7">
        <xdr:nvSpPr>
          <xdr:cNvPr id="46" name="TextBox 45">
            <a:extLst>
              <a:ext uri="{FF2B5EF4-FFF2-40B4-BE49-F238E27FC236}">
                <a16:creationId xmlns:a16="http://schemas.microsoft.com/office/drawing/2014/main" id="{00000000-0008-0000-0000-00002E000000}"/>
              </a:ext>
            </a:extLst>
          </xdr:cNvPr>
          <xdr:cNvSpPr txBox="1"/>
        </xdr:nvSpPr>
        <xdr:spPr>
          <a:xfrm>
            <a:off x="7702517" y="283926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8C5F5D-27B8-4257-B71F-E560CBC9E31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8">
        <xdr:nvSpPr>
          <xdr:cNvPr id="47" name="TextBox 46">
            <a:extLst>
              <a:ext uri="{FF2B5EF4-FFF2-40B4-BE49-F238E27FC236}">
                <a16:creationId xmlns:a16="http://schemas.microsoft.com/office/drawing/2014/main" id="{00000000-0008-0000-0000-00002F000000}"/>
              </a:ext>
            </a:extLst>
          </xdr:cNvPr>
          <xdr:cNvSpPr txBox="1"/>
        </xdr:nvSpPr>
        <xdr:spPr>
          <a:xfrm>
            <a:off x="5458080" y="296349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34EAB7-CE26-41F2-B200-FFBA000A2FE1}"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2">
        <xdr:nvSpPr>
          <xdr:cNvPr id="48" name="TextBox 47">
            <a:extLst>
              <a:ext uri="{FF2B5EF4-FFF2-40B4-BE49-F238E27FC236}">
                <a16:creationId xmlns:a16="http://schemas.microsoft.com/office/drawing/2014/main" id="{00000000-0008-0000-0000-000030000000}"/>
              </a:ext>
            </a:extLst>
          </xdr:cNvPr>
          <xdr:cNvSpPr txBox="1"/>
        </xdr:nvSpPr>
        <xdr:spPr>
          <a:xfrm>
            <a:off x="5634726" y="282891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102441-9072-4C24-84E5-84A1D61B85F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29">
        <xdr:nvSpPr>
          <xdr:cNvPr id="49" name="TextBox 48">
            <a:extLst>
              <a:ext uri="{FF2B5EF4-FFF2-40B4-BE49-F238E27FC236}">
                <a16:creationId xmlns:a16="http://schemas.microsoft.com/office/drawing/2014/main" id="{00000000-0008-0000-0000-000031000000}"/>
              </a:ext>
            </a:extLst>
          </xdr:cNvPr>
          <xdr:cNvSpPr txBox="1"/>
        </xdr:nvSpPr>
        <xdr:spPr>
          <a:xfrm>
            <a:off x="5981090" y="2866873"/>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6EF8FB-6718-4BC7-B8D3-4FDC7264C93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6">
        <xdr:nvSpPr>
          <xdr:cNvPr id="50" name="TextBox 49">
            <a:extLst>
              <a:ext uri="{FF2B5EF4-FFF2-40B4-BE49-F238E27FC236}">
                <a16:creationId xmlns:a16="http://schemas.microsoft.com/office/drawing/2014/main" id="{00000000-0008-0000-0000-000032000000}"/>
              </a:ext>
            </a:extLst>
          </xdr:cNvPr>
          <xdr:cNvSpPr txBox="1"/>
        </xdr:nvSpPr>
        <xdr:spPr>
          <a:xfrm>
            <a:off x="6223544" y="268053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21F399-6B3E-48AC-BE78-1A5AFD2ED37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3">
        <xdr:nvSpPr>
          <xdr:cNvPr id="51" name="TextBox 50">
            <a:extLst>
              <a:ext uri="{FF2B5EF4-FFF2-40B4-BE49-F238E27FC236}">
                <a16:creationId xmlns:a16="http://schemas.microsoft.com/office/drawing/2014/main" id="{00000000-0008-0000-0000-000033000000}"/>
              </a:ext>
            </a:extLst>
          </xdr:cNvPr>
          <xdr:cNvSpPr txBox="1"/>
        </xdr:nvSpPr>
        <xdr:spPr>
          <a:xfrm>
            <a:off x="7435816" y="275645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F1FD73-8800-4E1A-BB03-C8591484B9F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4">
        <xdr:nvSpPr>
          <xdr:cNvPr id="52" name="TextBox 51">
            <a:extLst>
              <a:ext uri="{FF2B5EF4-FFF2-40B4-BE49-F238E27FC236}">
                <a16:creationId xmlns:a16="http://schemas.microsoft.com/office/drawing/2014/main" id="{00000000-0008-0000-0000-000034000000}"/>
              </a:ext>
            </a:extLst>
          </xdr:cNvPr>
          <xdr:cNvSpPr txBox="1"/>
        </xdr:nvSpPr>
        <xdr:spPr>
          <a:xfrm>
            <a:off x="5343780" y="269778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CD9C67-6475-4B3F-A02E-0D7F6BB4D2DA}"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5">
        <xdr:nvSpPr>
          <xdr:cNvPr id="53" name="TextBox 52">
            <a:extLst>
              <a:ext uri="{FF2B5EF4-FFF2-40B4-BE49-F238E27FC236}">
                <a16:creationId xmlns:a16="http://schemas.microsoft.com/office/drawing/2014/main" id="{00000000-0008-0000-0000-000035000000}"/>
              </a:ext>
            </a:extLst>
          </xdr:cNvPr>
          <xdr:cNvSpPr txBox="1"/>
        </xdr:nvSpPr>
        <xdr:spPr>
          <a:xfrm>
            <a:off x="8014243" y="268398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C1F9EF-7CC5-461F-9660-225646CE81BB}"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4">
        <xdr:nvSpPr>
          <xdr:cNvPr id="54" name="TextBox 53">
            <a:extLst>
              <a:ext uri="{FF2B5EF4-FFF2-40B4-BE49-F238E27FC236}">
                <a16:creationId xmlns:a16="http://schemas.microsoft.com/office/drawing/2014/main" id="{00000000-0008-0000-0000-000036000000}"/>
              </a:ext>
            </a:extLst>
          </xdr:cNvPr>
          <xdr:cNvSpPr txBox="1"/>
        </xdr:nvSpPr>
        <xdr:spPr>
          <a:xfrm>
            <a:off x="7830670" y="257011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2BABD0-729D-48EF-B192-2677537356DF}"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3">
        <xdr:nvSpPr>
          <xdr:cNvPr id="55" name="TextBox 54">
            <a:extLst>
              <a:ext uri="{FF2B5EF4-FFF2-40B4-BE49-F238E27FC236}">
                <a16:creationId xmlns:a16="http://schemas.microsoft.com/office/drawing/2014/main" id="{00000000-0008-0000-0000-000037000000}"/>
              </a:ext>
            </a:extLst>
          </xdr:cNvPr>
          <xdr:cNvSpPr txBox="1"/>
        </xdr:nvSpPr>
        <xdr:spPr>
          <a:xfrm>
            <a:off x="7550115" y="255285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3DBC6C-D6F8-4FDD-8711-B1215CAA26B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2">
        <xdr:nvSpPr>
          <xdr:cNvPr id="56" name="TextBox 55">
            <a:extLst>
              <a:ext uri="{FF2B5EF4-FFF2-40B4-BE49-F238E27FC236}">
                <a16:creationId xmlns:a16="http://schemas.microsoft.com/office/drawing/2014/main" id="{00000000-0008-0000-0000-000038000000}"/>
              </a:ext>
            </a:extLst>
          </xdr:cNvPr>
          <xdr:cNvSpPr txBox="1"/>
        </xdr:nvSpPr>
        <xdr:spPr>
          <a:xfrm>
            <a:off x="7259169" y="257355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57DE87-3BE2-4116-BBB8-BCCFF53D5330}"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9">
        <xdr:nvSpPr>
          <xdr:cNvPr id="57" name="TextBox 56">
            <a:extLst>
              <a:ext uri="{FF2B5EF4-FFF2-40B4-BE49-F238E27FC236}">
                <a16:creationId xmlns:a16="http://schemas.microsoft.com/office/drawing/2014/main" id="{00000000-0008-0000-0000-000039000000}"/>
              </a:ext>
            </a:extLst>
          </xdr:cNvPr>
          <xdr:cNvSpPr txBox="1"/>
        </xdr:nvSpPr>
        <xdr:spPr>
          <a:xfrm>
            <a:off x="6957832" y="258736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8A01F6-CB9A-4534-949B-B4C5879EC8E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7">
        <xdr:nvSpPr>
          <xdr:cNvPr id="58" name="TextBox 57">
            <a:extLst>
              <a:ext uri="{FF2B5EF4-FFF2-40B4-BE49-F238E27FC236}">
                <a16:creationId xmlns:a16="http://schemas.microsoft.com/office/drawing/2014/main" id="{00000000-0008-0000-0000-00003A000000}"/>
              </a:ext>
            </a:extLst>
          </xdr:cNvPr>
          <xdr:cNvSpPr txBox="1"/>
        </xdr:nvSpPr>
        <xdr:spPr>
          <a:xfrm>
            <a:off x="6760406" y="263912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DA4B8B-A213-4E5F-9023-B532C495FE22}"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38">
        <xdr:nvSpPr>
          <xdr:cNvPr id="59" name="TextBox 58">
            <a:extLst>
              <a:ext uri="{FF2B5EF4-FFF2-40B4-BE49-F238E27FC236}">
                <a16:creationId xmlns:a16="http://schemas.microsoft.com/office/drawing/2014/main" id="{00000000-0008-0000-0000-00003B000000}"/>
              </a:ext>
            </a:extLst>
          </xdr:cNvPr>
          <xdr:cNvSpPr txBox="1"/>
        </xdr:nvSpPr>
        <xdr:spPr>
          <a:xfrm>
            <a:off x="6372479" y="258045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45B723-4272-4471-AD3F-CBEB99CD7E2B}"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1">
        <xdr:nvSpPr>
          <xdr:cNvPr id="60" name="TextBox 59">
            <a:extLst>
              <a:ext uri="{FF2B5EF4-FFF2-40B4-BE49-F238E27FC236}">
                <a16:creationId xmlns:a16="http://schemas.microsoft.com/office/drawing/2014/main" id="{00000000-0008-0000-0000-00003C000000}"/>
              </a:ext>
            </a:extLst>
          </xdr:cNvPr>
          <xdr:cNvSpPr txBox="1"/>
        </xdr:nvSpPr>
        <xdr:spPr>
          <a:xfrm>
            <a:off x="6078070" y="258045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E630AA-FEE2-409A-B256-A245DA18FA7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0">
        <xdr:nvSpPr>
          <xdr:cNvPr id="61" name="TextBox 60">
            <a:extLst>
              <a:ext uri="{FF2B5EF4-FFF2-40B4-BE49-F238E27FC236}">
                <a16:creationId xmlns:a16="http://schemas.microsoft.com/office/drawing/2014/main" id="{00000000-0008-0000-0000-00003D000000}"/>
              </a:ext>
            </a:extLst>
          </xdr:cNvPr>
          <xdr:cNvSpPr txBox="1"/>
        </xdr:nvSpPr>
        <xdr:spPr>
          <a:xfrm>
            <a:off x="5797516" y="258390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E1D20C-38B4-44C1-8D2E-ED7B0C40636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6">
        <xdr:nvSpPr>
          <xdr:cNvPr id="62" name="TextBox 61">
            <a:extLst>
              <a:ext uri="{FF2B5EF4-FFF2-40B4-BE49-F238E27FC236}">
                <a16:creationId xmlns:a16="http://schemas.microsoft.com/office/drawing/2014/main" id="{00000000-0008-0000-0000-00003E000000}"/>
              </a:ext>
            </a:extLst>
          </xdr:cNvPr>
          <xdr:cNvSpPr txBox="1"/>
        </xdr:nvSpPr>
        <xdr:spPr>
          <a:xfrm>
            <a:off x="5503108" y="248728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1479CC-050F-4B5C-A344-245932C09130}"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8">
        <xdr:nvSpPr>
          <xdr:cNvPr id="63" name="TextBox 62">
            <a:extLst>
              <a:ext uri="{FF2B5EF4-FFF2-40B4-BE49-F238E27FC236}">
                <a16:creationId xmlns:a16="http://schemas.microsoft.com/office/drawing/2014/main" id="{00000000-0008-0000-0000-00003F000000}"/>
              </a:ext>
            </a:extLst>
          </xdr:cNvPr>
          <xdr:cNvSpPr txBox="1"/>
        </xdr:nvSpPr>
        <xdr:spPr>
          <a:xfrm>
            <a:off x="5288363" y="237341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7031CE-1EBD-44AA-8885-5DD58979397B}"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1">
        <xdr:nvSpPr>
          <xdr:cNvPr id="64" name="TextBox 63">
            <a:extLst>
              <a:ext uri="{FF2B5EF4-FFF2-40B4-BE49-F238E27FC236}">
                <a16:creationId xmlns:a16="http://schemas.microsoft.com/office/drawing/2014/main" id="{00000000-0008-0000-0000-000040000000}"/>
              </a:ext>
            </a:extLst>
          </xdr:cNvPr>
          <xdr:cNvSpPr txBox="1"/>
        </xdr:nvSpPr>
        <xdr:spPr>
          <a:xfrm>
            <a:off x="5634727" y="235960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89DC1D-0D59-41A4-8893-A8CD76F82A3F}"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3">
        <xdr:nvSpPr>
          <xdr:cNvPr id="65" name="TextBox 64">
            <a:extLst>
              <a:ext uri="{FF2B5EF4-FFF2-40B4-BE49-F238E27FC236}">
                <a16:creationId xmlns:a16="http://schemas.microsoft.com/office/drawing/2014/main" id="{00000000-0008-0000-0000-000041000000}"/>
              </a:ext>
            </a:extLst>
          </xdr:cNvPr>
          <xdr:cNvSpPr txBox="1"/>
        </xdr:nvSpPr>
        <xdr:spPr>
          <a:xfrm>
            <a:off x="5977627" y="230784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96AEF9-D40A-4653-BDD5-DA5E24197EEE}"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5">
        <xdr:nvSpPr>
          <xdr:cNvPr id="66" name="TextBox 65">
            <a:extLst>
              <a:ext uri="{FF2B5EF4-FFF2-40B4-BE49-F238E27FC236}">
                <a16:creationId xmlns:a16="http://schemas.microsoft.com/office/drawing/2014/main" id="{00000000-0008-0000-0000-000042000000}"/>
              </a:ext>
            </a:extLst>
          </xdr:cNvPr>
          <xdr:cNvSpPr txBox="1"/>
        </xdr:nvSpPr>
        <xdr:spPr>
          <a:xfrm>
            <a:off x="6545663" y="247348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5FA5E0-5546-4484-9866-C2D55F603B0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2">
        <xdr:nvSpPr>
          <xdr:cNvPr id="67" name="TextBox 66">
            <a:extLst>
              <a:ext uri="{FF2B5EF4-FFF2-40B4-BE49-F238E27FC236}">
                <a16:creationId xmlns:a16="http://schemas.microsoft.com/office/drawing/2014/main" id="{00000000-0008-0000-0000-000043000000}"/>
              </a:ext>
            </a:extLst>
          </xdr:cNvPr>
          <xdr:cNvSpPr txBox="1"/>
        </xdr:nvSpPr>
        <xdr:spPr>
          <a:xfrm>
            <a:off x="6850462" y="234925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CE1F9D-196C-4D9D-86A8-ECCE9208DFD0}"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5">
        <xdr:nvSpPr>
          <xdr:cNvPr id="68" name="TextBox 67">
            <a:extLst>
              <a:ext uri="{FF2B5EF4-FFF2-40B4-BE49-F238E27FC236}">
                <a16:creationId xmlns:a16="http://schemas.microsoft.com/office/drawing/2014/main" id="{00000000-0008-0000-0000-000044000000}"/>
              </a:ext>
            </a:extLst>
          </xdr:cNvPr>
          <xdr:cNvSpPr txBox="1"/>
        </xdr:nvSpPr>
        <xdr:spPr>
          <a:xfrm>
            <a:off x="7196827" y="230439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444F78-23D0-4DBF-AF0A-16F12864737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6">
        <xdr:nvSpPr>
          <xdr:cNvPr id="69" name="TextBox 68">
            <a:extLst>
              <a:ext uri="{FF2B5EF4-FFF2-40B4-BE49-F238E27FC236}">
                <a16:creationId xmlns:a16="http://schemas.microsoft.com/office/drawing/2014/main" id="{00000000-0008-0000-0000-000045000000}"/>
              </a:ext>
            </a:extLst>
          </xdr:cNvPr>
          <xdr:cNvSpPr txBox="1"/>
        </xdr:nvSpPr>
        <xdr:spPr>
          <a:xfrm>
            <a:off x="5589699" y="208009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32DF7E-4EA8-4EDD-9D6B-1FB495091A4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0">
        <xdr:nvSpPr>
          <xdr:cNvPr id="70" name="TextBox 69">
            <a:extLst>
              <a:ext uri="{FF2B5EF4-FFF2-40B4-BE49-F238E27FC236}">
                <a16:creationId xmlns:a16="http://schemas.microsoft.com/office/drawing/2014/main" id="{00000000-0008-0000-0000-000046000000}"/>
              </a:ext>
            </a:extLst>
          </xdr:cNvPr>
          <xdr:cNvSpPr txBox="1"/>
        </xdr:nvSpPr>
        <xdr:spPr>
          <a:xfrm>
            <a:off x="7529336" y="228024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4C548D-FFDB-47D8-B9C4-3A129944DE00}"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9">
        <xdr:nvSpPr>
          <xdr:cNvPr id="71" name="TextBox 70">
            <a:extLst>
              <a:ext uri="{FF2B5EF4-FFF2-40B4-BE49-F238E27FC236}">
                <a16:creationId xmlns:a16="http://schemas.microsoft.com/office/drawing/2014/main" id="{00000000-0008-0000-0000-000047000000}"/>
              </a:ext>
            </a:extLst>
          </xdr:cNvPr>
          <xdr:cNvSpPr txBox="1"/>
        </xdr:nvSpPr>
        <xdr:spPr>
          <a:xfrm>
            <a:off x="7764863" y="233890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145962-8511-4F02-9D20-6E8E26674DC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4">
        <xdr:nvSpPr>
          <xdr:cNvPr id="72" name="TextBox 71">
            <a:extLst>
              <a:ext uri="{FF2B5EF4-FFF2-40B4-BE49-F238E27FC236}">
                <a16:creationId xmlns:a16="http://schemas.microsoft.com/office/drawing/2014/main" id="{00000000-0008-0000-0000-000048000000}"/>
              </a:ext>
            </a:extLst>
          </xdr:cNvPr>
          <xdr:cNvSpPr txBox="1"/>
        </xdr:nvSpPr>
        <xdr:spPr>
          <a:xfrm>
            <a:off x="6289354" y="228368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6BC050-7CBE-4E3D-B017-B452A2B5C35A}"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7">
        <xdr:nvSpPr>
          <xdr:cNvPr id="73" name="TextBox 72">
            <a:extLst>
              <a:ext uri="{FF2B5EF4-FFF2-40B4-BE49-F238E27FC236}">
                <a16:creationId xmlns:a16="http://schemas.microsoft.com/office/drawing/2014/main" id="{00000000-0008-0000-0000-000049000000}"/>
              </a:ext>
            </a:extLst>
          </xdr:cNvPr>
          <xdr:cNvSpPr txBox="1"/>
        </xdr:nvSpPr>
        <xdr:spPr>
          <a:xfrm>
            <a:off x="6459073" y="216636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E22876-F8BB-428F-A262-263087E301BF}"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5">
        <xdr:nvSpPr>
          <xdr:cNvPr id="74" name="TextBox 73">
            <a:extLst>
              <a:ext uri="{FF2B5EF4-FFF2-40B4-BE49-F238E27FC236}">
                <a16:creationId xmlns:a16="http://schemas.microsoft.com/office/drawing/2014/main" id="{00000000-0008-0000-0000-00004A000000}"/>
              </a:ext>
            </a:extLst>
          </xdr:cNvPr>
          <xdr:cNvSpPr txBox="1"/>
        </xdr:nvSpPr>
        <xdr:spPr>
          <a:xfrm>
            <a:off x="5343783" y="206629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48195B-2D67-4B1C-A89B-E62B5104753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4">
        <xdr:nvSpPr>
          <xdr:cNvPr id="75" name="TextBox 74">
            <a:extLst>
              <a:ext uri="{FF2B5EF4-FFF2-40B4-BE49-F238E27FC236}">
                <a16:creationId xmlns:a16="http://schemas.microsoft.com/office/drawing/2014/main" id="{00000000-0008-0000-0000-00004B000000}"/>
              </a:ext>
            </a:extLst>
          </xdr:cNvPr>
          <xdr:cNvSpPr txBox="1"/>
        </xdr:nvSpPr>
        <xdr:spPr>
          <a:xfrm>
            <a:off x="6005338" y="187305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E8FBCA-03F0-486A-898F-4E5E07660DC1}"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3">
        <xdr:nvSpPr>
          <xdr:cNvPr id="76" name="TextBox 75">
            <a:extLst>
              <a:ext uri="{FF2B5EF4-FFF2-40B4-BE49-F238E27FC236}">
                <a16:creationId xmlns:a16="http://schemas.microsoft.com/office/drawing/2014/main" id="{00000000-0008-0000-0000-00004C000000}"/>
              </a:ext>
            </a:extLst>
          </xdr:cNvPr>
          <xdr:cNvSpPr txBox="1"/>
        </xdr:nvSpPr>
        <xdr:spPr>
          <a:xfrm>
            <a:off x="5825229" y="207319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9FFB34-8D9A-49EF-891E-5E2086E4DC4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8">
        <xdr:nvSpPr>
          <xdr:cNvPr id="77" name="TextBox 76">
            <a:extLst>
              <a:ext uri="{FF2B5EF4-FFF2-40B4-BE49-F238E27FC236}">
                <a16:creationId xmlns:a16="http://schemas.microsoft.com/office/drawing/2014/main" id="{00000000-0008-0000-0000-00004D000000}"/>
              </a:ext>
            </a:extLst>
          </xdr:cNvPr>
          <xdr:cNvSpPr txBox="1"/>
        </xdr:nvSpPr>
        <xdr:spPr>
          <a:xfrm>
            <a:off x="6715384" y="212495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EA2EE-60E9-42AC-BE6A-CBF1C8F9876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6">
        <xdr:nvSpPr>
          <xdr:cNvPr id="78" name="TextBox 77">
            <a:extLst>
              <a:ext uri="{FF2B5EF4-FFF2-40B4-BE49-F238E27FC236}">
                <a16:creationId xmlns:a16="http://schemas.microsoft.com/office/drawing/2014/main" id="{00000000-0008-0000-0000-00004E000000}"/>
              </a:ext>
            </a:extLst>
          </xdr:cNvPr>
          <xdr:cNvSpPr txBox="1"/>
        </xdr:nvSpPr>
        <xdr:spPr>
          <a:xfrm>
            <a:off x="7979612" y="205249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51EEEB-658A-4B14-A157-26974B6B8C1B}"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7">
        <xdr:nvSpPr>
          <xdr:cNvPr id="79" name="TextBox 78">
            <a:extLst>
              <a:ext uri="{FF2B5EF4-FFF2-40B4-BE49-F238E27FC236}">
                <a16:creationId xmlns:a16="http://schemas.microsoft.com/office/drawing/2014/main" id="{00000000-0008-0000-0000-00004F000000}"/>
              </a:ext>
            </a:extLst>
          </xdr:cNvPr>
          <xdr:cNvSpPr txBox="1"/>
        </xdr:nvSpPr>
        <xdr:spPr>
          <a:xfrm>
            <a:off x="7868775" y="175227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ABF4E2-46F4-4AAB-B7E0-962665C574A4}"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7">
        <xdr:nvSpPr>
          <xdr:cNvPr id="80" name="TextBox 79">
            <a:extLst>
              <a:ext uri="{FF2B5EF4-FFF2-40B4-BE49-F238E27FC236}">
                <a16:creationId xmlns:a16="http://schemas.microsoft.com/office/drawing/2014/main" id="{00000000-0008-0000-0000-000050000000}"/>
              </a:ext>
            </a:extLst>
          </xdr:cNvPr>
          <xdr:cNvSpPr txBox="1"/>
        </xdr:nvSpPr>
        <xdr:spPr>
          <a:xfrm>
            <a:off x="7685203" y="206629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B1B03-E27A-4C6E-A4BD-07708DBCC28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1">
        <xdr:nvSpPr>
          <xdr:cNvPr id="81" name="TextBox 80">
            <a:extLst>
              <a:ext uri="{FF2B5EF4-FFF2-40B4-BE49-F238E27FC236}">
                <a16:creationId xmlns:a16="http://schemas.microsoft.com/office/drawing/2014/main" id="{00000000-0008-0000-0000-000051000000}"/>
              </a:ext>
            </a:extLst>
          </xdr:cNvPr>
          <xdr:cNvSpPr txBox="1"/>
        </xdr:nvSpPr>
        <xdr:spPr>
          <a:xfrm>
            <a:off x="7390793" y="2066295"/>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51547B-8979-4B3C-A9EC-141DEB8E061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0">
        <xdr:nvSpPr>
          <xdr:cNvPr id="82" name="TextBox 81">
            <a:extLst>
              <a:ext uri="{FF2B5EF4-FFF2-40B4-BE49-F238E27FC236}">
                <a16:creationId xmlns:a16="http://schemas.microsoft.com/office/drawing/2014/main" id="{00000000-0008-0000-0000-000052000000}"/>
              </a:ext>
            </a:extLst>
          </xdr:cNvPr>
          <xdr:cNvSpPr txBox="1"/>
        </xdr:nvSpPr>
        <xdr:spPr>
          <a:xfrm>
            <a:off x="7099849" y="205939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997AFD-45A1-482F-AC0F-A71154AC5DBA}"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59">
        <xdr:nvSpPr>
          <xdr:cNvPr id="83" name="TextBox 82">
            <a:extLst>
              <a:ext uri="{FF2B5EF4-FFF2-40B4-BE49-F238E27FC236}">
                <a16:creationId xmlns:a16="http://schemas.microsoft.com/office/drawing/2014/main" id="{00000000-0008-0000-0000-000053000000}"/>
              </a:ext>
            </a:extLst>
          </xdr:cNvPr>
          <xdr:cNvSpPr txBox="1"/>
        </xdr:nvSpPr>
        <xdr:spPr>
          <a:xfrm>
            <a:off x="6923204" y="205249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81102F-1BCA-485E-A105-71FC33B5BC6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2">
        <xdr:nvSpPr>
          <xdr:cNvPr id="84" name="TextBox 83">
            <a:extLst>
              <a:ext uri="{FF2B5EF4-FFF2-40B4-BE49-F238E27FC236}">
                <a16:creationId xmlns:a16="http://schemas.microsoft.com/office/drawing/2014/main" id="{00000000-0008-0000-0000-000054000000}"/>
              </a:ext>
            </a:extLst>
          </xdr:cNvPr>
          <xdr:cNvSpPr txBox="1"/>
        </xdr:nvSpPr>
        <xdr:spPr>
          <a:xfrm>
            <a:off x="6140422" y="206629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408842-47CA-4F40-BBCC-59A273D683D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8">
        <xdr:nvSpPr>
          <xdr:cNvPr id="85" name="TextBox 84">
            <a:extLst>
              <a:ext uri="{FF2B5EF4-FFF2-40B4-BE49-F238E27FC236}">
                <a16:creationId xmlns:a16="http://schemas.microsoft.com/office/drawing/2014/main" id="{00000000-0008-0000-0000-000055000000}"/>
              </a:ext>
            </a:extLst>
          </xdr:cNvPr>
          <xdr:cNvSpPr txBox="1"/>
        </xdr:nvSpPr>
        <xdr:spPr>
          <a:xfrm>
            <a:off x="6587232" y="195241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C6B83-B329-482D-96E6-0C592D8DA3A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8">
        <xdr:nvSpPr>
          <xdr:cNvPr id="86" name="TextBox 85">
            <a:extLst>
              <a:ext uri="{FF2B5EF4-FFF2-40B4-BE49-F238E27FC236}">
                <a16:creationId xmlns:a16="http://schemas.microsoft.com/office/drawing/2014/main" id="{00000000-0008-0000-0000-000056000000}"/>
              </a:ext>
            </a:extLst>
          </xdr:cNvPr>
          <xdr:cNvSpPr txBox="1"/>
        </xdr:nvSpPr>
        <xdr:spPr>
          <a:xfrm>
            <a:off x="7418504" y="162805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D2D719-2F39-4CD3-B880-F1F532D70B52}"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69">
        <xdr:nvSpPr>
          <xdr:cNvPr id="87" name="TextBox 86">
            <a:extLst>
              <a:ext uri="{FF2B5EF4-FFF2-40B4-BE49-F238E27FC236}">
                <a16:creationId xmlns:a16="http://schemas.microsoft.com/office/drawing/2014/main" id="{00000000-0008-0000-0000-000057000000}"/>
              </a:ext>
            </a:extLst>
          </xdr:cNvPr>
          <xdr:cNvSpPr txBox="1"/>
        </xdr:nvSpPr>
        <xdr:spPr>
          <a:xfrm>
            <a:off x="7252250" y="185925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B44703-C0A7-4B7D-B65E-04917D8BD14A}"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4">
        <xdr:nvSpPr>
          <xdr:cNvPr id="88" name="TextBox 87">
            <a:extLst>
              <a:ext uri="{FF2B5EF4-FFF2-40B4-BE49-F238E27FC236}">
                <a16:creationId xmlns:a16="http://schemas.microsoft.com/office/drawing/2014/main" id="{00000000-0008-0000-0000-000058000000}"/>
              </a:ext>
            </a:extLst>
          </xdr:cNvPr>
          <xdr:cNvSpPr txBox="1"/>
        </xdr:nvSpPr>
        <xdr:spPr>
          <a:xfrm>
            <a:off x="7068678" y="177643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8ADFAA-8C31-4F2B-B03E-F2FD7175010E}"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0">
        <xdr:nvSpPr>
          <xdr:cNvPr id="89" name="TextBox 88">
            <a:extLst>
              <a:ext uri="{FF2B5EF4-FFF2-40B4-BE49-F238E27FC236}">
                <a16:creationId xmlns:a16="http://schemas.microsoft.com/office/drawing/2014/main" id="{00000000-0008-0000-0000-000059000000}"/>
              </a:ext>
            </a:extLst>
          </xdr:cNvPr>
          <xdr:cNvSpPr txBox="1"/>
        </xdr:nvSpPr>
        <xdr:spPr>
          <a:xfrm>
            <a:off x="7609005" y="178333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3CA22A-D7D3-4547-89EB-50AAFFADBBC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6">
        <xdr:nvSpPr>
          <xdr:cNvPr id="90" name="TextBox 89">
            <a:extLst>
              <a:ext uri="{FF2B5EF4-FFF2-40B4-BE49-F238E27FC236}">
                <a16:creationId xmlns:a16="http://schemas.microsoft.com/office/drawing/2014/main" id="{00000000-0008-0000-0000-00005A000000}"/>
              </a:ext>
            </a:extLst>
          </xdr:cNvPr>
          <xdr:cNvSpPr txBox="1"/>
        </xdr:nvSpPr>
        <xdr:spPr>
          <a:xfrm>
            <a:off x="5704006" y="177988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AAED86-0F72-43AE-8482-A48814FD1CFB}"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5">
        <xdr:nvSpPr>
          <xdr:cNvPr id="91" name="TextBox 90">
            <a:extLst>
              <a:ext uri="{FF2B5EF4-FFF2-40B4-BE49-F238E27FC236}">
                <a16:creationId xmlns:a16="http://schemas.microsoft.com/office/drawing/2014/main" id="{00000000-0008-0000-0000-00005B000000}"/>
              </a:ext>
            </a:extLst>
          </xdr:cNvPr>
          <xdr:cNvSpPr txBox="1"/>
        </xdr:nvSpPr>
        <xdr:spPr>
          <a:xfrm>
            <a:off x="5423451" y="176608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7317A5-0BAD-40AB-A3C3-5C9733A03EA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1">
        <xdr:nvSpPr>
          <xdr:cNvPr id="92" name="TextBox 91">
            <a:extLst>
              <a:ext uri="{FF2B5EF4-FFF2-40B4-BE49-F238E27FC236}">
                <a16:creationId xmlns:a16="http://schemas.microsoft.com/office/drawing/2014/main" id="{00000000-0008-0000-0000-00005C000000}"/>
              </a:ext>
            </a:extLst>
          </xdr:cNvPr>
          <xdr:cNvSpPr txBox="1"/>
        </xdr:nvSpPr>
        <xdr:spPr>
          <a:xfrm>
            <a:off x="6358632" y="183854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ADD435-16EC-4C98-9488-4F806D7FFD4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3">
        <xdr:nvSpPr>
          <xdr:cNvPr id="93" name="TextBox 92">
            <a:extLst>
              <a:ext uri="{FF2B5EF4-FFF2-40B4-BE49-F238E27FC236}">
                <a16:creationId xmlns:a16="http://schemas.microsoft.com/office/drawing/2014/main" id="{00000000-0008-0000-0000-00005D000000}"/>
              </a:ext>
            </a:extLst>
          </xdr:cNvPr>
          <xdr:cNvSpPr txBox="1"/>
        </xdr:nvSpPr>
        <xdr:spPr>
          <a:xfrm>
            <a:off x="6812367" y="179023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16A577-9C69-4BAC-B8FC-FEF03D22C8D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2">
        <xdr:nvSpPr>
          <xdr:cNvPr id="94" name="TextBox 93">
            <a:extLst>
              <a:ext uri="{FF2B5EF4-FFF2-40B4-BE49-F238E27FC236}">
                <a16:creationId xmlns:a16="http://schemas.microsoft.com/office/drawing/2014/main" id="{00000000-0008-0000-0000-00005E000000}"/>
              </a:ext>
            </a:extLst>
          </xdr:cNvPr>
          <xdr:cNvSpPr txBox="1"/>
        </xdr:nvSpPr>
        <xdr:spPr>
          <a:xfrm>
            <a:off x="6164665" y="175227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00B3C7-AF73-4EA4-A91F-5AF02F2CD7B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79">
        <xdr:nvSpPr>
          <xdr:cNvPr id="95" name="TextBox 94">
            <a:extLst>
              <a:ext uri="{FF2B5EF4-FFF2-40B4-BE49-F238E27FC236}">
                <a16:creationId xmlns:a16="http://schemas.microsoft.com/office/drawing/2014/main" id="{00000000-0008-0000-0000-00005F000000}"/>
              </a:ext>
            </a:extLst>
          </xdr:cNvPr>
          <xdr:cNvSpPr txBox="1"/>
        </xdr:nvSpPr>
        <xdr:spPr>
          <a:xfrm>
            <a:off x="6604548" y="166945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049244-E8DB-4095-A1EC-B3D26873001C}"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1">
        <xdr:nvSpPr>
          <xdr:cNvPr id="96" name="TextBox 95">
            <a:extLst>
              <a:ext uri="{FF2B5EF4-FFF2-40B4-BE49-F238E27FC236}">
                <a16:creationId xmlns:a16="http://schemas.microsoft.com/office/drawing/2014/main" id="{00000000-0008-0000-0000-000060000000}"/>
              </a:ext>
            </a:extLst>
          </xdr:cNvPr>
          <xdr:cNvSpPr txBox="1"/>
        </xdr:nvSpPr>
        <xdr:spPr>
          <a:xfrm>
            <a:off x="7252247" y="145896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947704-B890-4C4F-8C9A-1E3157FF20E9}"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3">
        <xdr:nvSpPr>
          <xdr:cNvPr id="97" name="TextBox 96">
            <a:extLst>
              <a:ext uri="{FF2B5EF4-FFF2-40B4-BE49-F238E27FC236}">
                <a16:creationId xmlns:a16="http://schemas.microsoft.com/office/drawing/2014/main" id="{00000000-0008-0000-0000-000061000000}"/>
              </a:ext>
            </a:extLst>
          </xdr:cNvPr>
          <xdr:cNvSpPr txBox="1"/>
        </xdr:nvSpPr>
        <xdr:spPr>
          <a:xfrm>
            <a:off x="7667882" y="149002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C481B7-3867-4860-9D07-DC7721DE93B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0">
        <xdr:nvSpPr>
          <xdr:cNvPr id="98" name="TextBox 97">
            <a:extLst>
              <a:ext uri="{FF2B5EF4-FFF2-40B4-BE49-F238E27FC236}">
                <a16:creationId xmlns:a16="http://schemas.microsoft.com/office/drawing/2014/main" id="{00000000-0008-0000-0000-000062000000}"/>
              </a:ext>
            </a:extLst>
          </xdr:cNvPr>
          <xdr:cNvSpPr txBox="1"/>
        </xdr:nvSpPr>
        <xdr:spPr>
          <a:xfrm>
            <a:off x="5884112" y="1593543"/>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9DEE9-6772-448E-9B20-3E9BA6F8BF2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2">
        <xdr:nvSpPr>
          <xdr:cNvPr id="99" name="TextBox 98">
            <a:extLst>
              <a:ext uri="{FF2B5EF4-FFF2-40B4-BE49-F238E27FC236}">
                <a16:creationId xmlns:a16="http://schemas.microsoft.com/office/drawing/2014/main" id="{00000000-0008-0000-0000-000063000000}"/>
              </a:ext>
            </a:extLst>
          </xdr:cNvPr>
          <xdr:cNvSpPr txBox="1"/>
        </xdr:nvSpPr>
        <xdr:spPr>
          <a:xfrm>
            <a:off x="5586239" y="152107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3A0099-4254-47D8-9850-8868760BABB5}"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0">
        <xdr:nvSpPr>
          <xdr:cNvPr id="100" name="TextBox 99">
            <a:extLst>
              <a:ext uri="{FF2B5EF4-FFF2-40B4-BE49-F238E27FC236}">
                <a16:creationId xmlns:a16="http://schemas.microsoft.com/office/drawing/2014/main" id="{00000000-0008-0000-0000-000064000000}"/>
              </a:ext>
            </a:extLst>
          </xdr:cNvPr>
          <xdr:cNvSpPr txBox="1"/>
        </xdr:nvSpPr>
        <xdr:spPr>
          <a:xfrm>
            <a:off x="5752493" y="137614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D6140E-FBFD-4F86-8988-2EA6E528581F}"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8">
        <xdr:nvSpPr>
          <xdr:cNvPr id="101" name="TextBox 100">
            <a:extLst>
              <a:ext uri="{FF2B5EF4-FFF2-40B4-BE49-F238E27FC236}">
                <a16:creationId xmlns:a16="http://schemas.microsoft.com/office/drawing/2014/main" id="{00000000-0008-0000-0000-000065000000}"/>
              </a:ext>
            </a:extLst>
          </xdr:cNvPr>
          <xdr:cNvSpPr txBox="1"/>
        </xdr:nvSpPr>
        <xdr:spPr>
          <a:xfrm>
            <a:off x="6053830" y="147276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95CD3F-6AB1-4A9F-828F-D7A681D4183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9">
        <xdr:nvSpPr>
          <xdr:cNvPr id="102" name="TextBox 101">
            <a:extLst>
              <a:ext uri="{FF2B5EF4-FFF2-40B4-BE49-F238E27FC236}">
                <a16:creationId xmlns:a16="http://schemas.microsoft.com/office/drawing/2014/main" id="{00000000-0008-0000-0000-000066000000}"/>
              </a:ext>
            </a:extLst>
          </xdr:cNvPr>
          <xdr:cNvSpPr txBox="1"/>
        </xdr:nvSpPr>
        <xdr:spPr>
          <a:xfrm>
            <a:off x="6247793" y="143825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5CA01F-6B2E-4681-9491-F007EAEB205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5">
        <xdr:nvSpPr>
          <xdr:cNvPr id="103" name="TextBox 102">
            <a:extLst>
              <a:ext uri="{FF2B5EF4-FFF2-40B4-BE49-F238E27FC236}">
                <a16:creationId xmlns:a16="http://schemas.microsoft.com/office/drawing/2014/main" id="{00000000-0008-0000-0000-000067000000}"/>
              </a:ext>
            </a:extLst>
          </xdr:cNvPr>
          <xdr:cNvSpPr txBox="1"/>
        </xdr:nvSpPr>
        <xdr:spPr>
          <a:xfrm>
            <a:off x="6424439" y="146586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21D28C-33D1-4CD5-96E7-4CB95E75733B}"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4">
        <xdr:nvSpPr>
          <xdr:cNvPr id="104" name="TextBox 103">
            <a:extLst>
              <a:ext uri="{FF2B5EF4-FFF2-40B4-BE49-F238E27FC236}">
                <a16:creationId xmlns:a16="http://schemas.microsoft.com/office/drawing/2014/main" id="{00000000-0008-0000-0000-000068000000}"/>
              </a:ext>
            </a:extLst>
          </xdr:cNvPr>
          <xdr:cNvSpPr txBox="1"/>
        </xdr:nvSpPr>
        <xdr:spPr>
          <a:xfrm>
            <a:off x="6781194" y="150037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C91C01-EDAA-4692-B232-87CB0FE896EC}"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6">
        <xdr:nvSpPr>
          <xdr:cNvPr id="105" name="TextBox 104">
            <a:extLst>
              <a:ext uri="{FF2B5EF4-FFF2-40B4-BE49-F238E27FC236}">
                <a16:creationId xmlns:a16="http://schemas.microsoft.com/office/drawing/2014/main" id="{00000000-0008-0000-0000-000069000000}"/>
              </a:ext>
            </a:extLst>
          </xdr:cNvPr>
          <xdr:cNvSpPr txBox="1"/>
        </xdr:nvSpPr>
        <xdr:spPr>
          <a:xfrm>
            <a:off x="7065212" y="146586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D6D3FF-5A4B-4FAE-A1BC-413213472EE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87">
        <xdr:nvSpPr>
          <xdr:cNvPr id="106" name="TextBox 105">
            <a:extLst>
              <a:ext uri="{FF2B5EF4-FFF2-40B4-BE49-F238E27FC236}">
                <a16:creationId xmlns:a16="http://schemas.microsoft.com/office/drawing/2014/main" id="{00000000-0008-0000-0000-00006A000000}"/>
              </a:ext>
            </a:extLst>
          </xdr:cNvPr>
          <xdr:cNvSpPr txBox="1"/>
        </xdr:nvSpPr>
        <xdr:spPr>
          <a:xfrm>
            <a:off x="7498167" y="1327836"/>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BB8567-F2BE-4597-8882-0C6798C43496}"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1">
        <xdr:nvSpPr>
          <xdr:cNvPr id="107" name="TextBox 106">
            <a:extLst>
              <a:ext uri="{FF2B5EF4-FFF2-40B4-BE49-F238E27FC236}">
                <a16:creationId xmlns:a16="http://schemas.microsoft.com/office/drawing/2014/main" id="{00000000-0008-0000-0000-00006B000000}"/>
              </a:ext>
            </a:extLst>
          </xdr:cNvPr>
          <xdr:cNvSpPr txBox="1"/>
        </xdr:nvSpPr>
        <xdr:spPr>
          <a:xfrm>
            <a:off x="5932602" y="125882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274A59-136A-47D5-8D5A-AD577A96DF34}"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2">
        <xdr:nvSpPr>
          <xdr:cNvPr id="108" name="TextBox 107">
            <a:extLst>
              <a:ext uri="{FF2B5EF4-FFF2-40B4-BE49-F238E27FC236}">
                <a16:creationId xmlns:a16="http://schemas.microsoft.com/office/drawing/2014/main" id="{00000000-0008-0000-0000-00006C000000}"/>
              </a:ext>
            </a:extLst>
          </xdr:cNvPr>
          <xdr:cNvSpPr txBox="1"/>
        </xdr:nvSpPr>
        <xdr:spPr>
          <a:xfrm>
            <a:off x="6608013" y="134163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D19095-F220-40BF-9BB5-AF0818E3C2E3}"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3">
        <xdr:nvSpPr>
          <xdr:cNvPr id="109" name="TextBox 108">
            <a:extLst>
              <a:ext uri="{FF2B5EF4-FFF2-40B4-BE49-F238E27FC236}">
                <a16:creationId xmlns:a16="http://schemas.microsoft.com/office/drawing/2014/main" id="{00000000-0008-0000-0000-00006D000000}"/>
              </a:ext>
            </a:extLst>
          </xdr:cNvPr>
          <xdr:cNvSpPr txBox="1"/>
        </xdr:nvSpPr>
        <xdr:spPr>
          <a:xfrm>
            <a:off x="6912810" y="1338189"/>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8DE2B6-005D-435B-8D59-D2158EF773FF}"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4">
        <xdr:nvSpPr>
          <xdr:cNvPr id="110" name="TextBox 109">
            <a:extLst>
              <a:ext uri="{FF2B5EF4-FFF2-40B4-BE49-F238E27FC236}">
                <a16:creationId xmlns:a16="http://schemas.microsoft.com/office/drawing/2014/main" id="{00000000-0008-0000-0000-00006E000000}"/>
              </a:ext>
            </a:extLst>
          </xdr:cNvPr>
          <xdr:cNvSpPr txBox="1"/>
        </xdr:nvSpPr>
        <xdr:spPr>
          <a:xfrm>
            <a:off x="6088463" y="1182907"/>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0762FC-78EA-41B9-99F4-F9F34D01FE98}"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6">
        <xdr:nvSpPr>
          <xdr:cNvPr id="111" name="TextBox 110">
            <a:extLst>
              <a:ext uri="{FF2B5EF4-FFF2-40B4-BE49-F238E27FC236}">
                <a16:creationId xmlns:a16="http://schemas.microsoft.com/office/drawing/2014/main" id="{00000000-0008-0000-0000-00006F000000}"/>
              </a:ext>
            </a:extLst>
          </xdr:cNvPr>
          <xdr:cNvSpPr txBox="1"/>
        </xdr:nvSpPr>
        <xdr:spPr>
          <a:xfrm>
            <a:off x="6289354" y="110699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C7CB3B-D020-421A-9CA5-E30E3BC510D4}"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7">
        <xdr:nvSpPr>
          <xdr:cNvPr id="112" name="TextBox 111">
            <a:extLst>
              <a:ext uri="{FF2B5EF4-FFF2-40B4-BE49-F238E27FC236}">
                <a16:creationId xmlns:a16="http://schemas.microsoft.com/office/drawing/2014/main" id="{00000000-0008-0000-0000-000070000000}"/>
              </a:ext>
            </a:extLst>
          </xdr:cNvPr>
          <xdr:cNvSpPr txBox="1"/>
        </xdr:nvSpPr>
        <xdr:spPr>
          <a:xfrm>
            <a:off x="6466001" y="1075934"/>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AADADC-B4E5-410E-A893-1F6BB889BF6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100">
        <xdr:nvSpPr>
          <xdr:cNvPr id="113" name="TextBox 112">
            <a:extLst>
              <a:ext uri="{FF2B5EF4-FFF2-40B4-BE49-F238E27FC236}">
                <a16:creationId xmlns:a16="http://schemas.microsoft.com/office/drawing/2014/main" id="{00000000-0008-0000-0000-000071000000}"/>
              </a:ext>
            </a:extLst>
          </xdr:cNvPr>
          <xdr:cNvSpPr txBox="1"/>
        </xdr:nvSpPr>
        <xdr:spPr>
          <a:xfrm>
            <a:off x="6670355" y="105522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442A5C-071D-4F25-BD29-1D598A78AA8C}"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47">
        <xdr:nvSpPr>
          <xdr:cNvPr id="114" name="TextBox 113">
            <a:extLst>
              <a:ext uri="{FF2B5EF4-FFF2-40B4-BE49-F238E27FC236}">
                <a16:creationId xmlns:a16="http://schemas.microsoft.com/office/drawing/2014/main" id="{00000000-0008-0000-0000-000072000000}"/>
              </a:ext>
            </a:extLst>
          </xdr:cNvPr>
          <xdr:cNvSpPr txBox="1"/>
        </xdr:nvSpPr>
        <xdr:spPr>
          <a:xfrm>
            <a:off x="8035027" y="2373411"/>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948E3C-9117-43E8-A7E4-E218A3EF14AF}"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 </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9">
        <xdr:nvSpPr>
          <xdr:cNvPr id="115" name="TextBox 114">
            <a:extLst>
              <a:ext uri="{FF2B5EF4-FFF2-40B4-BE49-F238E27FC236}">
                <a16:creationId xmlns:a16="http://schemas.microsoft.com/office/drawing/2014/main" id="{00000000-0008-0000-0000-000073000000}"/>
              </a:ext>
            </a:extLst>
          </xdr:cNvPr>
          <xdr:cNvSpPr txBox="1"/>
        </xdr:nvSpPr>
        <xdr:spPr>
          <a:xfrm>
            <a:off x="6888563" y="1065580"/>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FAAC13-E7AF-4B48-A038-ABCA7DF2D9CE}"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8">
        <xdr:nvSpPr>
          <xdr:cNvPr id="116" name="TextBox 115">
            <a:extLst>
              <a:ext uri="{FF2B5EF4-FFF2-40B4-BE49-F238E27FC236}">
                <a16:creationId xmlns:a16="http://schemas.microsoft.com/office/drawing/2014/main" id="{00000000-0008-0000-0000-000074000000}"/>
              </a:ext>
            </a:extLst>
          </xdr:cNvPr>
          <xdr:cNvSpPr txBox="1"/>
        </xdr:nvSpPr>
        <xdr:spPr>
          <a:xfrm>
            <a:off x="7141410" y="1134598"/>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6893AB-80E9-4BD7-ABB9-2C8EC5071A8D}"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sp macro="" textlink="Processing!A95">
        <xdr:nvSpPr>
          <xdr:cNvPr id="117" name="TextBox 116">
            <a:extLst>
              <a:ext uri="{FF2B5EF4-FFF2-40B4-BE49-F238E27FC236}">
                <a16:creationId xmlns:a16="http://schemas.microsoft.com/office/drawing/2014/main" id="{00000000-0008-0000-0000-000075000000}"/>
              </a:ext>
            </a:extLst>
          </xdr:cNvPr>
          <xdr:cNvSpPr txBox="1"/>
        </xdr:nvSpPr>
        <xdr:spPr>
          <a:xfrm>
            <a:off x="7307664" y="1203612"/>
            <a:ext cx="196977" cy="326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CF8211-DC1B-434C-83B7-906C7D17F0B7}" type="TxLink">
              <a:rPr lang="en-US" sz="1600" b="0" i="0" u="none" strike="noStrike">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latin typeface="Aptos Narrow"/>
              </a:rPr>
              <a:pPr algn="ctr"/>
              <a:t>█</a:t>
            </a:fld>
            <a:endParaRPr lang="ru-RU" sz="1600">
              <a:blipFill>
                <a:blip xmlns:r="http://schemas.openxmlformats.org/officeDocument/2006/relationships" r:embed="rId8">
                  <a:extLst>
                    <a:ext uri="{96DAC541-7B7A-43D3-8B79-37D633B846F1}">
                      <asvg:svgBlip xmlns:asvg="http://schemas.microsoft.com/office/drawing/2016/SVG/main" r:embed="rId9"/>
                    </a:ext>
                  </a:extLst>
                </a:blip>
                <a:stretch>
                  <a:fillRect/>
                </a:stretch>
              </a:blipFill>
            </a:endParaRPr>
          </a:p>
        </xdr:txBody>
      </xdr:sp>
    </xdr:grpSp>
    <xdr:clientData/>
  </xdr:twoCellAnchor>
  <xdr:twoCellAnchor>
    <xdr:from>
      <xdr:col>8</xdr:col>
      <xdr:colOff>411563</xdr:colOff>
      <xdr:row>2</xdr:row>
      <xdr:rowOff>156068</xdr:rowOff>
    </xdr:from>
    <xdr:to>
      <xdr:col>13</xdr:col>
      <xdr:colOff>307204</xdr:colOff>
      <xdr:row>19</xdr:row>
      <xdr:rowOff>13930</xdr:rowOff>
    </xdr:to>
    <xdr:grpSp>
      <xdr:nvGrpSpPr>
        <xdr:cNvPr id="225" name="Group 224">
          <a:extLst>
            <a:ext uri="{FF2B5EF4-FFF2-40B4-BE49-F238E27FC236}">
              <a16:creationId xmlns:a16="http://schemas.microsoft.com/office/drawing/2014/main" id="{00000000-0008-0000-0000-0000E1000000}"/>
            </a:ext>
          </a:extLst>
        </xdr:cNvPr>
        <xdr:cNvGrpSpPr/>
      </xdr:nvGrpSpPr>
      <xdr:grpSpPr>
        <a:xfrm>
          <a:off x="5174063" y="1060943"/>
          <a:ext cx="2872204" cy="3096362"/>
          <a:chOff x="5364563" y="293921"/>
          <a:chExt cx="2943641" cy="2977905"/>
        </a:xfrm>
      </xdr:grpSpPr>
      <xdr:sp macro="" textlink="Processing!B1">
        <xdr:nvSpPr>
          <xdr:cNvPr id="120" name="TextBox 119">
            <a:extLst>
              <a:ext uri="{FF2B5EF4-FFF2-40B4-BE49-F238E27FC236}">
                <a16:creationId xmlns:a16="http://schemas.microsoft.com/office/drawing/2014/main" id="{00000000-0008-0000-0000-000078000000}"/>
              </a:ext>
            </a:extLst>
          </xdr:cNvPr>
          <xdr:cNvSpPr txBox="1"/>
        </xdr:nvSpPr>
        <xdr:spPr>
          <a:xfrm>
            <a:off x="6718841" y="294361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7607CE-1498-4D1B-BE94-83C4160F4830}"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
        <xdr:nvSpPr>
          <xdr:cNvPr id="121" name="TextBox 120">
            <a:extLst>
              <a:ext uri="{FF2B5EF4-FFF2-40B4-BE49-F238E27FC236}">
                <a16:creationId xmlns:a16="http://schemas.microsoft.com/office/drawing/2014/main" id="{00000000-0008-0000-0000-000079000000}"/>
              </a:ext>
            </a:extLst>
          </xdr:cNvPr>
          <xdr:cNvSpPr txBox="1"/>
        </xdr:nvSpPr>
        <xdr:spPr>
          <a:xfrm>
            <a:off x="6417505" y="290205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32A2DE-7178-4340-B2D7-53A9C3BC627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
        <xdr:nvSpPr>
          <xdr:cNvPr id="122" name="TextBox 121">
            <a:extLst>
              <a:ext uri="{FF2B5EF4-FFF2-40B4-BE49-F238E27FC236}">
                <a16:creationId xmlns:a16="http://schemas.microsoft.com/office/drawing/2014/main" id="{00000000-0008-0000-0000-00007A000000}"/>
              </a:ext>
            </a:extLst>
          </xdr:cNvPr>
          <xdr:cNvSpPr txBox="1"/>
        </xdr:nvSpPr>
        <xdr:spPr>
          <a:xfrm>
            <a:off x="6157733" y="281199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E9D9B2-67FA-4FD9-AEF9-E62B67BFD425}"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
        <xdr:nvSpPr>
          <xdr:cNvPr id="123" name="TextBox 122">
            <a:extLst>
              <a:ext uri="{FF2B5EF4-FFF2-40B4-BE49-F238E27FC236}">
                <a16:creationId xmlns:a16="http://schemas.microsoft.com/office/drawing/2014/main" id="{00000000-0008-0000-0000-00007B000000}"/>
              </a:ext>
            </a:extLst>
          </xdr:cNvPr>
          <xdr:cNvSpPr txBox="1"/>
        </xdr:nvSpPr>
        <xdr:spPr>
          <a:xfrm>
            <a:off x="5904889" y="264574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2C6AE8-3365-41E0-AA7E-A106F9EB952F}"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
        <xdr:nvSpPr>
          <xdr:cNvPr id="124" name="TextBox 123">
            <a:extLst>
              <a:ext uri="{FF2B5EF4-FFF2-40B4-BE49-F238E27FC236}">
                <a16:creationId xmlns:a16="http://schemas.microsoft.com/office/drawing/2014/main" id="{00000000-0008-0000-0000-00007C000000}"/>
              </a:ext>
            </a:extLst>
          </xdr:cNvPr>
          <xdr:cNvSpPr txBox="1"/>
        </xdr:nvSpPr>
        <xdr:spPr>
          <a:xfrm>
            <a:off x="7027108" y="289858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EB7C54-BB1A-4729-9602-F87623154E6B}"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
        <xdr:nvSpPr>
          <xdr:cNvPr id="125" name="TextBox 124">
            <a:extLst>
              <a:ext uri="{FF2B5EF4-FFF2-40B4-BE49-F238E27FC236}">
                <a16:creationId xmlns:a16="http://schemas.microsoft.com/office/drawing/2014/main" id="{00000000-0008-0000-0000-00007D000000}"/>
              </a:ext>
            </a:extLst>
          </xdr:cNvPr>
          <xdr:cNvSpPr txBox="1"/>
        </xdr:nvSpPr>
        <xdr:spPr>
          <a:xfrm>
            <a:off x="7318053" y="280506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4405F5-003D-4C29-9CF2-C9A2ECBF9AC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0">
        <xdr:nvSpPr>
          <xdr:cNvPr id="126" name="TextBox 125">
            <a:extLst>
              <a:ext uri="{FF2B5EF4-FFF2-40B4-BE49-F238E27FC236}">
                <a16:creationId xmlns:a16="http://schemas.microsoft.com/office/drawing/2014/main" id="{00000000-0008-0000-0000-00007E000000}"/>
              </a:ext>
            </a:extLst>
          </xdr:cNvPr>
          <xdr:cNvSpPr txBox="1"/>
        </xdr:nvSpPr>
        <xdr:spPr>
          <a:xfrm>
            <a:off x="7550116" y="267691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FE1590-DD19-4E9D-9C27-DDC471EC70F6}"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1">
        <xdr:nvSpPr>
          <xdr:cNvPr id="127" name="TextBox 126">
            <a:extLst>
              <a:ext uri="{FF2B5EF4-FFF2-40B4-BE49-F238E27FC236}">
                <a16:creationId xmlns:a16="http://schemas.microsoft.com/office/drawing/2014/main" id="{00000000-0008-0000-0000-00007F000000}"/>
              </a:ext>
            </a:extLst>
          </xdr:cNvPr>
          <xdr:cNvSpPr txBox="1"/>
        </xdr:nvSpPr>
        <xdr:spPr>
          <a:xfrm>
            <a:off x="7217607" y="263881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20A5EC-9D4C-4F45-BEA9-648C671EF3D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
        <xdr:nvSpPr>
          <xdr:cNvPr id="128" name="TextBox 127">
            <a:extLst>
              <a:ext uri="{FF2B5EF4-FFF2-40B4-BE49-F238E27FC236}">
                <a16:creationId xmlns:a16="http://schemas.microsoft.com/office/drawing/2014/main" id="{00000000-0008-0000-0000-000080000000}"/>
              </a:ext>
            </a:extLst>
          </xdr:cNvPr>
          <xdr:cNvSpPr txBox="1"/>
        </xdr:nvSpPr>
        <xdr:spPr>
          <a:xfrm>
            <a:off x="6926661" y="264227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F118CB-C198-41B2-8B06-60AEA8786569}"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
        <xdr:nvSpPr>
          <xdr:cNvPr id="129" name="TextBox 128">
            <a:extLst>
              <a:ext uri="{FF2B5EF4-FFF2-40B4-BE49-F238E27FC236}">
                <a16:creationId xmlns:a16="http://schemas.microsoft.com/office/drawing/2014/main" id="{00000000-0008-0000-0000-000081000000}"/>
              </a:ext>
            </a:extLst>
          </xdr:cNvPr>
          <xdr:cNvSpPr txBox="1"/>
        </xdr:nvSpPr>
        <xdr:spPr>
          <a:xfrm>
            <a:off x="6666889" y="264574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2F35DA-25D6-4564-A6B3-DD4D17DD1245}"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
        <xdr:nvSpPr>
          <xdr:cNvPr id="130" name="TextBox 129">
            <a:extLst>
              <a:ext uri="{FF2B5EF4-FFF2-40B4-BE49-F238E27FC236}">
                <a16:creationId xmlns:a16="http://schemas.microsoft.com/office/drawing/2014/main" id="{00000000-0008-0000-0000-000082000000}"/>
              </a:ext>
            </a:extLst>
          </xdr:cNvPr>
          <xdr:cNvSpPr txBox="1"/>
        </xdr:nvSpPr>
        <xdr:spPr>
          <a:xfrm>
            <a:off x="6459072" y="2628423"/>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4252D2-4CA8-473A-9BE6-D80E6D858D0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2">
        <xdr:nvSpPr>
          <xdr:cNvPr id="131" name="TextBox 130">
            <a:extLst>
              <a:ext uri="{FF2B5EF4-FFF2-40B4-BE49-F238E27FC236}">
                <a16:creationId xmlns:a16="http://schemas.microsoft.com/office/drawing/2014/main" id="{00000000-0008-0000-0000-000083000000}"/>
              </a:ext>
            </a:extLst>
          </xdr:cNvPr>
          <xdr:cNvSpPr txBox="1"/>
        </xdr:nvSpPr>
        <xdr:spPr>
          <a:xfrm>
            <a:off x="6261646" y="256954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4626B7-AAB7-42BE-927C-6446566A7985}"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3">
        <xdr:nvSpPr>
          <xdr:cNvPr id="132" name="TextBox 131">
            <a:extLst>
              <a:ext uri="{FF2B5EF4-FFF2-40B4-BE49-F238E27FC236}">
                <a16:creationId xmlns:a16="http://schemas.microsoft.com/office/drawing/2014/main" id="{00000000-0008-0000-0000-000084000000}"/>
              </a:ext>
            </a:extLst>
          </xdr:cNvPr>
          <xdr:cNvSpPr txBox="1"/>
        </xdr:nvSpPr>
        <xdr:spPr>
          <a:xfrm>
            <a:off x="6071147" y="255222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48D3C2-393D-40E6-91FE-BE8C390FD340}"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8">
        <xdr:nvSpPr>
          <xdr:cNvPr id="133" name="TextBox 132">
            <a:extLst>
              <a:ext uri="{FF2B5EF4-FFF2-40B4-BE49-F238E27FC236}">
                <a16:creationId xmlns:a16="http://schemas.microsoft.com/office/drawing/2014/main" id="{00000000-0008-0000-0000-000085000000}"/>
              </a:ext>
            </a:extLst>
          </xdr:cNvPr>
          <xdr:cNvSpPr txBox="1"/>
        </xdr:nvSpPr>
        <xdr:spPr>
          <a:xfrm>
            <a:off x="5710931" y="245177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B3A3C3-9269-4E23-842B-FDCDE010D1C5}"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2">
        <xdr:nvSpPr>
          <xdr:cNvPr id="134" name="TextBox 133">
            <a:extLst>
              <a:ext uri="{FF2B5EF4-FFF2-40B4-BE49-F238E27FC236}">
                <a16:creationId xmlns:a16="http://schemas.microsoft.com/office/drawing/2014/main" id="{00000000-0008-0000-0000-000086000000}"/>
              </a:ext>
            </a:extLst>
          </xdr:cNvPr>
          <xdr:cNvSpPr txBox="1"/>
        </xdr:nvSpPr>
        <xdr:spPr>
          <a:xfrm>
            <a:off x="5870258" y="232362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2ACA98-CD88-4A27-A2BF-30CDACE0FCEB}"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7">
        <xdr:nvSpPr>
          <xdr:cNvPr id="135" name="TextBox 134">
            <a:extLst>
              <a:ext uri="{FF2B5EF4-FFF2-40B4-BE49-F238E27FC236}">
                <a16:creationId xmlns:a16="http://schemas.microsoft.com/office/drawing/2014/main" id="{00000000-0008-0000-0000-000087000000}"/>
              </a:ext>
            </a:extLst>
          </xdr:cNvPr>
          <xdr:cNvSpPr txBox="1"/>
        </xdr:nvSpPr>
        <xdr:spPr>
          <a:xfrm>
            <a:off x="6788121" y="243792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D4168C-7566-43A7-836C-FF0594FFF03B}"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9">
        <xdr:nvSpPr>
          <xdr:cNvPr id="136" name="TextBox 135">
            <a:extLst>
              <a:ext uri="{FF2B5EF4-FFF2-40B4-BE49-F238E27FC236}">
                <a16:creationId xmlns:a16="http://schemas.microsoft.com/office/drawing/2014/main" id="{00000000-0008-0000-0000-000088000000}"/>
              </a:ext>
            </a:extLst>
          </xdr:cNvPr>
          <xdr:cNvSpPr txBox="1"/>
        </xdr:nvSpPr>
        <xdr:spPr>
          <a:xfrm>
            <a:off x="7131020" y="241021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6D690D-BD5F-4BBF-ABCF-4F4CE8886A3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6">
        <xdr:nvSpPr>
          <xdr:cNvPr id="137" name="TextBox 136">
            <a:extLst>
              <a:ext uri="{FF2B5EF4-FFF2-40B4-BE49-F238E27FC236}">
                <a16:creationId xmlns:a16="http://schemas.microsoft.com/office/drawing/2014/main" id="{00000000-0008-0000-0000-000089000000}"/>
              </a:ext>
            </a:extLst>
          </xdr:cNvPr>
          <xdr:cNvSpPr txBox="1"/>
        </xdr:nvSpPr>
        <xdr:spPr>
          <a:xfrm>
            <a:off x="7376939" y="244484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3DDFF6-3EEA-41D9-A75B-F9C783D0A69A}"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5">
        <xdr:nvSpPr>
          <xdr:cNvPr id="138" name="TextBox 137">
            <a:extLst>
              <a:ext uri="{FF2B5EF4-FFF2-40B4-BE49-F238E27FC236}">
                <a16:creationId xmlns:a16="http://schemas.microsoft.com/office/drawing/2014/main" id="{00000000-0008-0000-0000-00008A000000}"/>
              </a:ext>
            </a:extLst>
          </xdr:cNvPr>
          <xdr:cNvSpPr txBox="1"/>
        </xdr:nvSpPr>
        <xdr:spPr>
          <a:xfrm>
            <a:off x="7546658" y="239289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F93BBA-A985-4C1D-A990-7AF061AA54E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4">
        <xdr:nvSpPr>
          <xdr:cNvPr id="139" name="TextBox 138">
            <a:extLst>
              <a:ext uri="{FF2B5EF4-FFF2-40B4-BE49-F238E27FC236}">
                <a16:creationId xmlns:a16="http://schemas.microsoft.com/office/drawing/2014/main" id="{00000000-0008-0000-0000-00008B000000}"/>
              </a:ext>
            </a:extLst>
          </xdr:cNvPr>
          <xdr:cNvSpPr txBox="1"/>
        </xdr:nvSpPr>
        <xdr:spPr>
          <a:xfrm>
            <a:off x="7792575" y="245177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766983-2C9B-42AC-B261-68829EC59A4E}"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0">
        <xdr:nvSpPr>
          <xdr:cNvPr id="140" name="TextBox 139">
            <a:extLst>
              <a:ext uri="{FF2B5EF4-FFF2-40B4-BE49-F238E27FC236}">
                <a16:creationId xmlns:a16="http://schemas.microsoft.com/office/drawing/2014/main" id="{00000000-0008-0000-0000-00008C000000}"/>
              </a:ext>
            </a:extLst>
          </xdr:cNvPr>
          <xdr:cNvSpPr txBox="1"/>
        </xdr:nvSpPr>
        <xdr:spPr>
          <a:xfrm>
            <a:off x="6601084" y="235132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AD435E-BABA-4360-A78A-F4BF81C6403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1">
        <xdr:nvSpPr>
          <xdr:cNvPr id="141" name="TextBox 140">
            <a:extLst>
              <a:ext uri="{FF2B5EF4-FFF2-40B4-BE49-F238E27FC236}">
                <a16:creationId xmlns:a16="http://schemas.microsoft.com/office/drawing/2014/main" id="{00000000-0008-0000-0000-00008D000000}"/>
              </a:ext>
            </a:extLst>
          </xdr:cNvPr>
          <xdr:cNvSpPr txBox="1"/>
        </xdr:nvSpPr>
        <xdr:spPr>
          <a:xfrm>
            <a:off x="6223548" y="224741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B49F6F-DE95-49F5-90A2-AA532F45206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4">
        <xdr:nvSpPr>
          <xdr:cNvPr id="142" name="TextBox 141">
            <a:extLst>
              <a:ext uri="{FF2B5EF4-FFF2-40B4-BE49-F238E27FC236}">
                <a16:creationId xmlns:a16="http://schemas.microsoft.com/office/drawing/2014/main" id="{00000000-0008-0000-0000-00008E000000}"/>
              </a:ext>
            </a:extLst>
          </xdr:cNvPr>
          <xdr:cNvSpPr txBox="1"/>
        </xdr:nvSpPr>
        <xdr:spPr>
          <a:xfrm>
            <a:off x="6424439" y="219546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6C9EBA-2FAA-49D8-AFD1-AAFAA2D5AD5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0">
        <xdr:nvSpPr>
          <xdr:cNvPr id="143" name="TextBox 142">
            <a:extLst>
              <a:ext uri="{FF2B5EF4-FFF2-40B4-BE49-F238E27FC236}">
                <a16:creationId xmlns:a16="http://schemas.microsoft.com/office/drawing/2014/main" id="{00000000-0008-0000-0000-00008F000000}"/>
              </a:ext>
            </a:extLst>
          </xdr:cNvPr>
          <xdr:cNvSpPr txBox="1"/>
        </xdr:nvSpPr>
        <xdr:spPr>
          <a:xfrm>
            <a:off x="6694601" y="210887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2A33E1-3439-4575-9619-11D703947BD6}"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5">
        <xdr:nvSpPr>
          <xdr:cNvPr id="144" name="TextBox 143">
            <a:extLst>
              <a:ext uri="{FF2B5EF4-FFF2-40B4-BE49-F238E27FC236}">
                <a16:creationId xmlns:a16="http://schemas.microsoft.com/office/drawing/2014/main" id="{00000000-0008-0000-0000-000090000000}"/>
              </a:ext>
            </a:extLst>
          </xdr:cNvPr>
          <xdr:cNvSpPr txBox="1"/>
        </xdr:nvSpPr>
        <xdr:spPr>
          <a:xfrm>
            <a:off x="6947448" y="220585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D77430-3298-4C14-9634-7B0DB88F881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6">
        <xdr:nvSpPr>
          <xdr:cNvPr id="145" name="TextBox 144">
            <a:extLst>
              <a:ext uri="{FF2B5EF4-FFF2-40B4-BE49-F238E27FC236}">
                <a16:creationId xmlns:a16="http://schemas.microsoft.com/office/drawing/2014/main" id="{00000000-0008-0000-0000-000091000000}"/>
              </a:ext>
            </a:extLst>
          </xdr:cNvPr>
          <xdr:cNvSpPr txBox="1"/>
        </xdr:nvSpPr>
        <xdr:spPr>
          <a:xfrm>
            <a:off x="7390793" y="214350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B46DD7-B78F-4AB1-985C-6F6C47E09E6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1">
        <xdr:nvSpPr>
          <xdr:cNvPr id="146" name="TextBox 145">
            <a:extLst>
              <a:ext uri="{FF2B5EF4-FFF2-40B4-BE49-F238E27FC236}">
                <a16:creationId xmlns:a16="http://schemas.microsoft.com/office/drawing/2014/main" id="{00000000-0008-0000-0000-000092000000}"/>
              </a:ext>
            </a:extLst>
          </xdr:cNvPr>
          <xdr:cNvSpPr txBox="1"/>
        </xdr:nvSpPr>
        <xdr:spPr>
          <a:xfrm>
            <a:off x="7169120" y="209848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141211-9931-4EC2-8889-E1A756153D7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3">
        <xdr:nvSpPr>
          <xdr:cNvPr id="147" name="TextBox 146">
            <a:extLst>
              <a:ext uri="{FF2B5EF4-FFF2-40B4-BE49-F238E27FC236}">
                <a16:creationId xmlns:a16="http://schemas.microsoft.com/office/drawing/2014/main" id="{00000000-0008-0000-0000-000093000000}"/>
              </a:ext>
            </a:extLst>
          </xdr:cNvPr>
          <xdr:cNvSpPr txBox="1"/>
        </xdr:nvSpPr>
        <xdr:spPr>
          <a:xfrm>
            <a:off x="7976145" y="218507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AEB99C-66FB-4575-ACD4-95BC73B0CB40}"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7">
        <xdr:nvSpPr>
          <xdr:cNvPr id="148" name="TextBox 147">
            <a:extLst>
              <a:ext uri="{FF2B5EF4-FFF2-40B4-BE49-F238E27FC236}">
                <a16:creationId xmlns:a16="http://schemas.microsoft.com/office/drawing/2014/main" id="{00000000-0008-0000-0000-000094000000}"/>
              </a:ext>
            </a:extLst>
          </xdr:cNvPr>
          <xdr:cNvSpPr txBox="1"/>
        </xdr:nvSpPr>
        <xdr:spPr>
          <a:xfrm>
            <a:off x="7778717" y="208462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D47AB9-7ADB-4B1F-8A0C-35D994757DBE}"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8">
        <xdr:nvSpPr>
          <xdr:cNvPr id="149" name="TextBox 148">
            <a:extLst>
              <a:ext uri="{FF2B5EF4-FFF2-40B4-BE49-F238E27FC236}">
                <a16:creationId xmlns:a16="http://schemas.microsoft.com/office/drawing/2014/main" id="{00000000-0008-0000-0000-000095000000}"/>
              </a:ext>
            </a:extLst>
          </xdr:cNvPr>
          <xdr:cNvSpPr txBox="1"/>
        </xdr:nvSpPr>
        <xdr:spPr>
          <a:xfrm>
            <a:off x="5534280" y="220931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220844-26EF-4566-A9E7-E1B20A32A9F6}"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2">
        <xdr:nvSpPr>
          <xdr:cNvPr id="150" name="TextBox 149">
            <a:extLst>
              <a:ext uri="{FF2B5EF4-FFF2-40B4-BE49-F238E27FC236}">
                <a16:creationId xmlns:a16="http://schemas.microsoft.com/office/drawing/2014/main" id="{00000000-0008-0000-0000-000096000000}"/>
              </a:ext>
            </a:extLst>
          </xdr:cNvPr>
          <xdr:cNvSpPr txBox="1"/>
        </xdr:nvSpPr>
        <xdr:spPr>
          <a:xfrm>
            <a:off x="5710926" y="207423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FBCA73-34BA-458A-9647-09AA13783B2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29">
        <xdr:nvSpPr>
          <xdr:cNvPr id="151" name="TextBox 150">
            <a:extLst>
              <a:ext uri="{FF2B5EF4-FFF2-40B4-BE49-F238E27FC236}">
                <a16:creationId xmlns:a16="http://schemas.microsoft.com/office/drawing/2014/main" id="{00000000-0008-0000-0000-000097000000}"/>
              </a:ext>
            </a:extLst>
          </xdr:cNvPr>
          <xdr:cNvSpPr txBox="1"/>
        </xdr:nvSpPr>
        <xdr:spPr>
          <a:xfrm>
            <a:off x="6057290" y="211233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1D14A2-D827-4DED-BCE2-824ABEB4257D}"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6">
        <xdr:nvSpPr>
          <xdr:cNvPr id="152" name="TextBox 151">
            <a:extLst>
              <a:ext uri="{FF2B5EF4-FFF2-40B4-BE49-F238E27FC236}">
                <a16:creationId xmlns:a16="http://schemas.microsoft.com/office/drawing/2014/main" id="{00000000-0008-0000-0000-000098000000}"/>
              </a:ext>
            </a:extLst>
          </xdr:cNvPr>
          <xdr:cNvSpPr txBox="1"/>
        </xdr:nvSpPr>
        <xdr:spPr>
          <a:xfrm>
            <a:off x="6299744" y="192529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1E6C07-FC91-4875-BC5E-C5884F7CBF61}"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3">
        <xdr:nvSpPr>
          <xdr:cNvPr id="153" name="TextBox 152">
            <a:extLst>
              <a:ext uri="{FF2B5EF4-FFF2-40B4-BE49-F238E27FC236}">
                <a16:creationId xmlns:a16="http://schemas.microsoft.com/office/drawing/2014/main" id="{00000000-0008-0000-0000-000099000000}"/>
              </a:ext>
            </a:extLst>
          </xdr:cNvPr>
          <xdr:cNvSpPr txBox="1"/>
        </xdr:nvSpPr>
        <xdr:spPr>
          <a:xfrm>
            <a:off x="7512016" y="200149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D624B1-2B34-48A9-8538-5B68F211F2FA}"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4">
        <xdr:nvSpPr>
          <xdr:cNvPr id="154" name="TextBox 153">
            <a:extLst>
              <a:ext uri="{FF2B5EF4-FFF2-40B4-BE49-F238E27FC236}">
                <a16:creationId xmlns:a16="http://schemas.microsoft.com/office/drawing/2014/main" id="{00000000-0008-0000-0000-00009A000000}"/>
              </a:ext>
            </a:extLst>
          </xdr:cNvPr>
          <xdr:cNvSpPr txBox="1"/>
        </xdr:nvSpPr>
        <xdr:spPr>
          <a:xfrm>
            <a:off x="5419980" y="194261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CEAFD-AC93-4B90-9F37-13D0138EBA1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5">
        <xdr:nvSpPr>
          <xdr:cNvPr id="155" name="TextBox 154">
            <a:extLst>
              <a:ext uri="{FF2B5EF4-FFF2-40B4-BE49-F238E27FC236}">
                <a16:creationId xmlns:a16="http://schemas.microsoft.com/office/drawing/2014/main" id="{00000000-0008-0000-0000-00009B000000}"/>
              </a:ext>
            </a:extLst>
          </xdr:cNvPr>
          <xdr:cNvSpPr txBox="1"/>
        </xdr:nvSpPr>
        <xdr:spPr>
          <a:xfrm>
            <a:off x="8090443" y="192876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AE6507-2E6D-4BB8-B7B4-AE2B5C88100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4">
        <xdr:nvSpPr>
          <xdr:cNvPr id="156" name="TextBox 155">
            <a:extLst>
              <a:ext uri="{FF2B5EF4-FFF2-40B4-BE49-F238E27FC236}">
                <a16:creationId xmlns:a16="http://schemas.microsoft.com/office/drawing/2014/main" id="{00000000-0008-0000-0000-00009C000000}"/>
              </a:ext>
            </a:extLst>
          </xdr:cNvPr>
          <xdr:cNvSpPr txBox="1"/>
        </xdr:nvSpPr>
        <xdr:spPr>
          <a:xfrm>
            <a:off x="7906870" y="181446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AC67B6-0F7E-4F2C-8275-AFBCF0D4983F}"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3">
        <xdr:nvSpPr>
          <xdr:cNvPr id="157" name="TextBox 156">
            <a:extLst>
              <a:ext uri="{FF2B5EF4-FFF2-40B4-BE49-F238E27FC236}">
                <a16:creationId xmlns:a16="http://schemas.microsoft.com/office/drawing/2014/main" id="{00000000-0008-0000-0000-00009D000000}"/>
              </a:ext>
            </a:extLst>
          </xdr:cNvPr>
          <xdr:cNvSpPr txBox="1"/>
        </xdr:nvSpPr>
        <xdr:spPr>
          <a:xfrm>
            <a:off x="7626315" y="1797143"/>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2C6ACF-A980-4C65-9CD8-9051BBA3FCF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2">
        <xdr:nvSpPr>
          <xdr:cNvPr id="158" name="TextBox 157">
            <a:extLst>
              <a:ext uri="{FF2B5EF4-FFF2-40B4-BE49-F238E27FC236}">
                <a16:creationId xmlns:a16="http://schemas.microsoft.com/office/drawing/2014/main" id="{00000000-0008-0000-0000-00009E000000}"/>
              </a:ext>
            </a:extLst>
          </xdr:cNvPr>
          <xdr:cNvSpPr txBox="1"/>
        </xdr:nvSpPr>
        <xdr:spPr>
          <a:xfrm>
            <a:off x="7335369" y="181792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0665B2-F33E-45F6-B4CA-9BA45201D3D9}"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9">
        <xdr:nvSpPr>
          <xdr:cNvPr id="159" name="TextBox 158">
            <a:extLst>
              <a:ext uri="{FF2B5EF4-FFF2-40B4-BE49-F238E27FC236}">
                <a16:creationId xmlns:a16="http://schemas.microsoft.com/office/drawing/2014/main" id="{00000000-0008-0000-0000-00009F000000}"/>
              </a:ext>
            </a:extLst>
          </xdr:cNvPr>
          <xdr:cNvSpPr txBox="1"/>
        </xdr:nvSpPr>
        <xdr:spPr>
          <a:xfrm>
            <a:off x="7034032" y="183177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CED3F8-C188-4553-9B5F-7595CAE36B9F}"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7">
        <xdr:nvSpPr>
          <xdr:cNvPr id="160" name="TextBox 159">
            <a:extLst>
              <a:ext uri="{FF2B5EF4-FFF2-40B4-BE49-F238E27FC236}">
                <a16:creationId xmlns:a16="http://schemas.microsoft.com/office/drawing/2014/main" id="{00000000-0008-0000-0000-0000A0000000}"/>
              </a:ext>
            </a:extLst>
          </xdr:cNvPr>
          <xdr:cNvSpPr txBox="1"/>
        </xdr:nvSpPr>
        <xdr:spPr>
          <a:xfrm>
            <a:off x="6836606" y="188373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1C230B-01F8-46A5-9DAF-409A21F9B7C0}"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38">
        <xdr:nvSpPr>
          <xdr:cNvPr id="161" name="TextBox 160">
            <a:extLst>
              <a:ext uri="{FF2B5EF4-FFF2-40B4-BE49-F238E27FC236}">
                <a16:creationId xmlns:a16="http://schemas.microsoft.com/office/drawing/2014/main" id="{00000000-0008-0000-0000-0000A1000000}"/>
              </a:ext>
            </a:extLst>
          </xdr:cNvPr>
          <xdr:cNvSpPr txBox="1"/>
        </xdr:nvSpPr>
        <xdr:spPr>
          <a:xfrm>
            <a:off x="6448679" y="182484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BE2403-CA66-443B-AFCE-9D5ED949850A}"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1">
        <xdr:nvSpPr>
          <xdr:cNvPr id="162" name="TextBox 161">
            <a:extLst>
              <a:ext uri="{FF2B5EF4-FFF2-40B4-BE49-F238E27FC236}">
                <a16:creationId xmlns:a16="http://schemas.microsoft.com/office/drawing/2014/main" id="{00000000-0008-0000-0000-0000A2000000}"/>
              </a:ext>
            </a:extLst>
          </xdr:cNvPr>
          <xdr:cNvSpPr txBox="1"/>
        </xdr:nvSpPr>
        <xdr:spPr>
          <a:xfrm>
            <a:off x="6154270" y="182484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C8AFF0-810B-4E2F-BEEB-4B86926360BD}"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0">
        <xdr:nvSpPr>
          <xdr:cNvPr id="163" name="TextBox 162">
            <a:extLst>
              <a:ext uri="{FF2B5EF4-FFF2-40B4-BE49-F238E27FC236}">
                <a16:creationId xmlns:a16="http://schemas.microsoft.com/office/drawing/2014/main" id="{00000000-0008-0000-0000-0000A3000000}"/>
              </a:ext>
            </a:extLst>
          </xdr:cNvPr>
          <xdr:cNvSpPr txBox="1"/>
        </xdr:nvSpPr>
        <xdr:spPr>
          <a:xfrm>
            <a:off x="5873716" y="182831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72208B-7D3D-4E7E-A9BD-0A8E0E71670E}"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6">
        <xdr:nvSpPr>
          <xdr:cNvPr id="164" name="TextBox 163">
            <a:extLst>
              <a:ext uri="{FF2B5EF4-FFF2-40B4-BE49-F238E27FC236}">
                <a16:creationId xmlns:a16="http://schemas.microsoft.com/office/drawing/2014/main" id="{00000000-0008-0000-0000-0000A4000000}"/>
              </a:ext>
            </a:extLst>
          </xdr:cNvPr>
          <xdr:cNvSpPr txBox="1"/>
        </xdr:nvSpPr>
        <xdr:spPr>
          <a:xfrm>
            <a:off x="5579308" y="173132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98A5B0-896E-45CC-8F1A-B5E429786C56}"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8">
        <xdr:nvSpPr>
          <xdr:cNvPr id="165" name="TextBox 164">
            <a:extLst>
              <a:ext uri="{FF2B5EF4-FFF2-40B4-BE49-F238E27FC236}">
                <a16:creationId xmlns:a16="http://schemas.microsoft.com/office/drawing/2014/main" id="{00000000-0008-0000-0000-0000A5000000}"/>
              </a:ext>
            </a:extLst>
          </xdr:cNvPr>
          <xdr:cNvSpPr txBox="1"/>
        </xdr:nvSpPr>
        <xdr:spPr>
          <a:xfrm>
            <a:off x="5364563" y="161702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59009D-EEDA-46AF-A05A-5828D4DE97F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1">
        <xdr:nvSpPr>
          <xdr:cNvPr id="166" name="TextBox 165">
            <a:extLst>
              <a:ext uri="{FF2B5EF4-FFF2-40B4-BE49-F238E27FC236}">
                <a16:creationId xmlns:a16="http://schemas.microsoft.com/office/drawing/2014/main" id="{00000000-0008-0000-0000-0000A6000000}"/>
              </a:ext>
            </a:extLst>
          </xdr:cNvPr>
          <xdr:cNvSpPr txBox="1"/>
        </xdr:nvSpPr>
        <xdr:spPr>
          <a:xfrm>
            <a:off x="5710927" y="160317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A9C438-CBD6-4019-99D0-5B659AB8A2D1}"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3">
        <xdr:nvSpPr>
          <xdr:cNvPr id="167" name="TextBox 166">
            <a:extLst>
              <a:ext uri="{FF2B5EF4-FFF2-40B4-BE49-F238E27FC236}">
                <a16:creationId xmlns:a16="http://schemas.microsoft.com/office/drawing/2014/main" id="{00000000-0008-0000-0000-0000A7000000}"/>
              </a:ext>
            </a:extLst>
          </xdr:cNvPr>
          <xdr:cNvSpPr txBox="1"/>
        </xdr:nvSpPr>
        <xdr:spPr>
          <a:xfrm>
            <a:off x="6053827" y="155122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375E9F-0E04-46F0-B2B9-8675A7ABD9E6}"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5">
        <xdr:nvSpPr>
          <xdr:cNvPr id="168" name="TextBox 167">
            <a:extLst>
              <a:ext uri="{FF2B5EF4-FFF2-40B4-BE49-F238E27FC236}">
                <a16:creationId xmlns:a16="http://schemas.microsoft.com/office/drawing/2014/main" id="{00000000-0008-0000-0000-0000A8000000}"/>
              </a:ext>
            </a:extLst>
          </xdr:cNvPr>
          <xdr:cNvSpPr txBox="1"/>
        </xdr:nvSpPr>
        <xdr:spPr>
          <a:xfrm>
            <a:off x="6621863" y="171747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C23003-DA4E-4108-8C19-701AE792C23B}"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2">
        <xdr:nvSpPr>
          <xdr:cNvPr id="169" name="TextBox 168">
            <a:extLst>
              <a:ext uri="{FF2B5EF4-FFF2-40B4-BE49-F238E27FC236}">
                <a16:creationId xmlns:a16="http://schemas.microsoft.com/office/drawing/2014/main" id="{00000000-0008-0000-0000-0000A9000000}"/>
              </a:ext>
            </a:extLst>
          </xdr:cNvPr>
          <xdr:cNvSpPr txBox="1"/>
        </xdr:nvSpPr>
        <xdr:spPr>
          <a:xfrm>
            <a:off x="6926662" y="1592783"/>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BFFD7C-3911-4C22-A448-B551A0B04A4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5">
        <xdr:nvSpPr>
          <xdr:cNvPr id="170" name="TextBox 169">
            <a:extLst>
              <a:ext uri="{FF2B5EF4-FFF2-40B4-BE49-F238E27FC236}">
                <a16:creationId xmlns:a16="http://schemas.microsoft.com/office/drawing/2014/main" id="{00000000-0008-0000-0000-0000AA000000}"/>
              </a:ext>
            </a:extLst>
          </xdr:cNvPr>
          <xdr:cNvSpPr txBox="1"/>
        </xdr:nvSpPr>
        <xdr:spPr>
          <a:xfrm>
            <a:off x="7273027" y="154775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41D785-507A-43A3-9D82-BFEA9154A49F}"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6">
        <xdr:nvSpPr>
          <xdr:cNvPr id="171" name="TextBox 170">
            <a:extLst>
              <a:ext uri="{FF2B5EF4-FFF2-40B4-BE49-F238E27FC236}">
                <a16:creationId xmlns:a16="http://schemas.microsoft.com/office/drawing/2014/main" id="{00000000-0008-0000-0000-0000AB000000}"/>
              </a:ext>
            </a:extLst>
          </xdr:cNvPr>
          <xdr:cNvSpPr txBox="1"/>
        </xdr:nvSpPr>
        <xdr:spPr>
          <a:xfrm>
            <a:off x="5665899" y="132261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3E562D-E0C2-4593-A848-76268DBF4FB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0">
        <xdr:nvSpPr>
          <xdr:cNvPr id="172" name="TextBox 171">
            <a:extLst>
              <a:ext uri="{FF2B5EF4-FFF2-40B4-BE49-F238E27FC236}">
                <a16:creationId xmlns:a16="http://schemas.microsoft.com/office/drawing/2014/main" id="{00000000-0008-0000-0000-0000AC000000}"/>
              </a:ext>
            </a:extLst>
          </xdr:cNvPr>
          <xdr:cNvSpPr txBox="1"/>
        </xdr:nvSpPr>
        <xdr:spPr>
          <a:xfrm>
            <a:off x="7605536" y="152350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DCF104-E046-4295-A641-2178D50ECDDE}"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9">
        <xdr:nvSpPr>
          <xdr:cNvPr id="173" name="TextBox 172">
            <a:extLst>
              <a:ext uri="{FF2B5EF4-FFF2-40B4-BE49-F238E27FC236}">
                <a16:creationId xmlns:a16="http://schemas.microsoft.com/office/drawing/2014/main" id="{00000000-0008-0000-0000-0000AD000000}"/>
              </a:ext>
            </a:extLst>
          </xdr:cNvPr>
          <xdr:cNvSpPr txBox="1"/>
        </xdr:nvSpPr>
        <xdr:spPr>
          <a:xfrm>
            <a:off x="7841063" y="1582388"/>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F0AE5-6246-4B4A-92F9-9C461A1D980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4">
        <xdr:nvSpPr>
          <xdr:cNvPr id="174" name="TextBox 173">
            <a:extLst>
              <a:ext uri="{FF2B5EF4-FFF2-40B4-BE49-F238E27FC236}">
                <a16:creationId xmlns:a16="http://schemas.microsoft.com/office/drawing/2014/main" id="{00000000-0008-0000-0000-0000AE000000}"/>
              </a:ext>
            </a:extLst>
          </xdr:cNvPr>
          <xdr:cNvSpPr txBox="1"/>
        </xdr:nvSpPr>
        <xdr:spPr>
          <a:xfrm>
            <a:off x="6365554" y="152697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BEED07-9FAF-4F24-9FE6-0926A92F49F5}"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7">
        <xdr:nvSpPr>
          <xdr:cNvPr id="175" name="TextBox 174">
            <a:extLst>
              <a:ext uri="{FF2B5EF4-FFF2-40B4-BE49-F238E27FC236}">
                <a16:creationId xmlns:a16="http://schemas.microsoft.com/office/drawing/2014/main" id="{00000000-0008-0000-0000-0000AF000000}"/>
              </a:ext>
            </a:extLst>
          </xdr:cNvPr>
          <xdr:cNvSpPr txBox="1"/>
        </xdr:nvSpPr>
        <xdr:spPr>
          <a:xfrm>
            <a:off x="6535273" y="140920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0A794D-9CD2-45E7-B141-EB7077A65973}"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5">
        <xdr:nvSpPr>
          <xdr:cNvPr id="176" name="TextBox 175">
            <a:extLst>
              <a:ext uri="{FF2B5EF4-FFF2-40B4-BE49-F238E27FC236}">
                <a16:creationId xmlns:a16="http://schemas.microsoft.com/office/drawing/2014/main" id="{00000000-0008-0000-0000-0000B0000000}"/>
              </a:ext>
            </a:extLst>
          </xdr:cNvPr>
          <xdr:cNvSpPr txBox="1"/>
        </xdr:nvSpPr>
        <xdr:spPr>
          <a:xfrm>
            <a:off x="5419983" y="130876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4949F5-E024-4212-A6CC-ED2DB240D6B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4">
        <xdr:nvSpPr>
          <xdr:cNvPr id="177" name="TextBox 176">
            <a:extLst>
              <a:ext uri="{FF2B5EF4-FFF2-40B4-BE49-F238E27FC236}">
                <a16:creationId xmlns:a16="http://schemas.microsoft.com/office/drawing/2014/main" id="{00000000-0008-0000-0000-0000B1000000}"/>
              </a:ext>
            </a:extLst>
          </xdr:cNvPr>
          <xdr:cNvSpPr txBox="1"/>
        </xdr:nvSpPr>
        <xdr:spPr>
          <a:xfrm>
            <a:off x="6081538" y="111479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9ED08A-E134-401C-B5EF-12EC4154A4F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3">
        <xdr:nvSpPr>
          <xdr:cNvPr id="178" name="TextBox 177">
            <a:extLst>
              <a:ext uri="{FF2B5EF4-FFF2-40B4-BE49-F238E27FC236}">
                <a16:creationId xmlns:a16="http://schemas.microsoft.com/office/drawing/2014/main" id="{00000000-0008-0000-0000-0000B2000000}"/>
              </a:ext>
            </a:extLst>
          </xdr:cNvPr>
          <xdr:cNvSpPr txBox="1"/>
        </xdr:nvSpPr>
        <xdr:spPr>
          <a:xfrm>
            <a:off x="5901429" y="131569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9A3A63-2455-4EEF-A8CF-905CD506B21F}"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8">
        <xdr:nvSpPr>
          <xdr:cNvPr id="179" name="TextBox 178">
            <a:extLst>
              <a:ext uri="{FF2B5EF4-FFF2-40B4-BE49-F238E27FC236}">
                <a16:creationId xmlns:a16="http://schemas.microsoft.com/office/drawing/2014/main" id="{00000000-0008-0000-0000-0000B3000000}"/>
              </a:ext>
            </a:extLst>
          </xdr:cNvPr>
          <xdr:cNvSpPr txBox="1"/>
        </xdr:nvSpPr>
        <xdr:spPr>
          <a:xfrm>
            <a:off x="6791584" y="136764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CC14A0-80A3-4ED4-A97E-7E6D205BDFA1}"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6">
        <xdr:nvSpPr>
          <xdr:cNvPr id="180" name="TextBox 179">
            <a:extLst>
              <a:ext uri="{FF2B5EF4-FFF2-40B4-BE49-F238E27FC236}">
                <a16:creationId xmlns:a16="http://schemas.microsoft.com/office/drawing/2014/main" id="{00000000-0008-0000-0000-0000B4000000}"/>
              </a:ext>
            </a:extLst>
          </xdr:cNvPr>
          <xdr:cNvSpPr txBox="1"/>
        </xdr:nvSpPr>
        <xdr:spPr>
          <a:xfrm>
            <a:off x="8055812" y="129490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E9602E-29C4-4F9E-95ED-F884D8A9367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7">
        <xdr:nvSpPr>
          <xdr:cNvPr id="181" name="TextBox 180">
            <a:extLst>
              <a:ext uri="{FF2B5EF4-FFF2-40B4-BE49-F238E27FC236}">
                <a16:creationId xmlns:a16="http://schemas.microsoft.com/office/drawing/2014/main" id="{00000000-0008-0000-0000-0000B5000000}"/>
              </a:ext>
            </a:extLst>
          </xdr:cNvPr>
          <xdr:cNvSpPr txBox="1"/>
        </xdr:nvSpPr>
        <xdr:spPr>
          <a:xfrm>
            <a:off x="7944975" y="993573"/>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4C6B60-009A-41E9-82D9-D262D2554131}"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7">
        <xdr:nvSpPr>
          <xdr:cNvPr id="182" name="TextBox 181">
            <a:extLst>
              <a:ext uri="{FF2B5EF4-FFF2-40B4-BE49-F238E27FC236}">
                <a16:creationId xmlns:a16="http://schemas.microsoft.com/office/drawing/2014/main" id="{00000000-0008-0000-0000-0000B6000000}"/>
              </a:ext>
            </a:extLst>
          </xdr:cNvPr>
          <xdr:cNvSpPr txBox="1"/>
        </xdr:nvSpPr>
        <xdr:spPr>
          <a:xfrm>
            <a:off x="7761403" y="130876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6155E3-6E07-45AB-9942-5B01527D6F1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1">
        <xdr:nvSpPr>
          <xdr:cNvPr id="183" name="TextBox 182">
            <a:extLst>
              <a:ext uri="{FF2B5EF4-FFF2-40B4-BE49-F238E27FC236}">
                <a16:creationId xmlns:a16="http://schemas.microsoft.com/office/drawing/2014/main" id="{00000000-0008-0000-0000-0000B7000000}"/>
              </a:ext>
            </a:extLst>
          </xdr:cNvPr>
          <xdr:cNvSpPr txBox="1"/>
        </xdr:nvSpPr>
        <xdr:spPr>
          <a:xfrm>
            <a:off x="7466993" y="130876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1EA208-2D34-404A-BC27-9365EE6A53F5}"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0">
        <xdr:nvSpPr>
          <xdr:cNvPr id="184" name="TextBox 183">
            <a:extLst>
              <a:ext uri="{FF2B5EF4-FFF2-40B4-BE49-F238E27FC236}">
                <a16:creationId xmlns:a16="http://schemas.microsoft.com/office/drawing/2014/main" id="{00000000-0008-0000-0000-0000B8000000}"/>
              </a:ext>
            </a:extLst>
          </xdr:cNvPr>
          <xdr:cNvSpPr txBox="1"/>
        </xdr:nvSpPr>
        <xdr:spPr>
          <a:xfrm>
            <a:off x="7176049" y="1301838"/>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F9D71A-50AD-4BBE-8F51-8174B4C278B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59">
        <xdr:nvSpPr>
          <xdr:cNvPr id="185" name="TextBox 184">
            <a:extLst>
              <a:ext uri="{FF2B5EF4-FFF2-40B4-BE49-F238E27FC236}">
                <a16:creationId xmlns:a16="http://schemas.microsoft.com/office/drawing/2014/main" id="{00000000-0008-0000-0000-0000B9000000}"/>
              </a:ext>
            </a:extLst>
          </xdr:cNvPr>
          <xdr:cNvSpPr txBox="1"/>
        </xdr:nvSpPr>
        <xdr:spPr>
          <a:xfrm>
            <a:off x="6999404" y="1294908"/>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626584-D2F8-44E1-8BDF-FA10A4B0370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2">
        <xdr:nvSpPr>
          <xdr:cNvPr id="186" name="TextBox 185">
            <a:extLst>
              <a:ext uri="{FF2B5EF4-FFF2-40B4-BE49-F238E27FC236}">
                <a16:creationId xmlns:a16="http://schemas.microsoft.com/office/drawing/2014/main" id="{00000000-0008-0000-0000-0000BA000000}"/>
              </a:ext>
            </a:extLst>
          </xdr:cNvPr>
          <xdr:cNvSpPr txBox="1"/>
        </xdr:nvSpPr>
        <xdr:spPr>
          <a:xfrm>
            <a:off x="6216622" y="130876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DD58A9-D589-454E-82FA-34ADC909EE4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8">
        <xdr:nvSpPr>
          <xdr:cNvPr id="187" name="TextBox 186">
            <a:extLst>
              <a:ext uri="{FF2B5EF4-FFF2-40B4-BE49-F238E27FC236}">
                <a16:creationId xmlns:a16="http://schemas.microsoft.com/office/drawing/2014/main" id="{00000000-0008-0000-0000-0000BB000000}"/>
              </a:ext>
            </a:extLst>
          </xdr:cNvPr>
          <xdr:cNvSpPr txBox="1"/>
        </xdr:nvSpPr>
        <xdr:spPr>
          <a:xfrm>
            <a:off x="6663432" y="119446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5D8C65-F386-44C0-8FAA-1947840FE8B1}"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8">
        <xdr:nvSpPr>
          <xdr:cNvPr id="188" name="TextBox 187">
            <a:extLst>
              <a:ext uri="{FF2B5EF4-FFF2-40B4-BE49-F238E27FC236}">
                <a16:creationId xmlns:a16="http://schemas.microsoft.com/office/drawing/2014/main" id="{00000000-0008-0000-0000-0000BC000000}"/>
              </a:ext>
            </a:extLst>
          </xdr:cNvPr>
          <xdr:cNvSpPr txBox="1"/>
        </xdr:nvSpPr>
        <xdr:spPr>
          <a:xfrm>
            <a:off x="7494704" y="86888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246509-9480-43B7-B16F-B80AEC246E9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69">
        <xdr:nvSpPr>
          <xdr:cNvPr id="189" name="TextBox 188">
            <a:extLst>
              <a:ext uri="{FF2B5EF4-FFF2-40B4-BE49-F238E27FC236}">
                <a16:creationId xmlns:a16="http://schemas.microsoft.com/office/drawing/2014/main" id="{00000000-0008-0000-0000-0000BD000000}"/>
              </a:ext>
            </a:extLst>
          </xdr:cNvPr>
          <xdr:cNvSpPr txBox="1"/>
        </xdr:nvSpPr>
        <xdr:spPr>
          <a:xfrm>
            <a:off x="7328450" y="1100948"/>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369D6C-22FC-4ADE-AD4F-EC1021D4BDC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4">
        <xdr:nvSpPr>
          <xdr:cNvPr id="190" name="TextBox 189">
            <a:extLst>
              <a:ext uri="{FF2B5EF4-FFF2-40B4-BE49-F238E27FC236}">
                <a16:creationId xmlns:a16="http://schemas.microsoft.com/office/drawing/2014/main" id="{00000000-0008-0000-0000-0000BE000000}"/>
              </a:ext>
            </a:extLst>
          </xdr:cNvPr>
          <xdr:cNvSpPr txBox="1"/>
        </xdr:nvSpPr>
        <xdr:spPr>
          <a:xfrm>
            <a:off x="7144878" y="101782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F708DE-2011-4330-A835-1D27BE0CA60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0">
        <xdr:nvSpPr>
          <xdr:cNvPr id="191" name="TextBox 190">
            <a:extLst>
              <a:ext uri="{FF2B5EF4-FFF2-40B4-BE49-F238E27FC236}">
                <a16:creationId xmlns:a16="http://schemas.microsoft.com/office/drawing/2014/main" id="{00000000-0008-0000-0000-0000BF000000}"/>
              </a:ext>
            </a:extLst>
          </xdr:cNvPr>
          <xdr:cNvSpPr txBox="1"/>
        </xdr:nvSpPr>
        <xdr:spPr>
          <a:xfrm>
            <a:off x="7685205" y="102475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B6FB38-8DE3-47D8-B304-1F0A9D62DF2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6">
        <xdr:nvSpPr>
          <xdr:cNvPr id="192" name="TextBox 191">
            <a:extLst>
              <a:ext uri="{FF2B5EF4-FFF2-40B4-BE49-F238E27FC236}">
                <a16:creationId xmlns:a16="http://schemas.microsoft.com/office/drawing/2014/main" id="{00000000-0008-0000-0000-0000C0000000}"/>
              </a:ext>
            </a:extLst>
          </xdr:cNvPr>
          <xdr:cNvSpPr txBox="1"/>
        </xdr:nvSpPr>
        <xdr:spPr>
          <a:xfrm>
            <a:off x="5780206" y="102128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D77406-0E89-46ED-9CEE-D7157A94D99B}"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5">
        <xdr:nvSpPr>
          <xdr:cNvPr id="193" name="TextBox 192">
            <a:extLst>
              <a:ext uri="{FF2B5EF4-FFF2-40B4-BE49-F238E27FC236}">
                <a16:creationId xmlns:a16="http://schemas.microsoft.com/office/drawing/2014/main" id="{00000000-0008-0000-0000-0000C1000000}"/>
              </a:ext>
            </a:extLst>
          </xdr:cNvPr>
          <xdr:cNvSpPr txBox="1"/>
        </xdr:nvSpPr>
        <xdr:spPr>
          <a:xfrm>
            <a:off x="5499651" y="100743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E53FD2-ADEE-4202-B149-0CDA702B8DD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1">
        <xdr:nvSpPr>
          <xdr:cNvPr id="194" name="TextBox 193">
            <a:extLst>
              <a:ext uri="{FF2B5EF4-FFF2-40B4-BE49-F238E27FC236}">
                <a16:creationId xmlns:a16="http://schemas.microsoft.com/office/drawing/2014/main" id="{00000000-0008-0000-0000-0000C2000000}"/>
              </a:ext>
            </a:extLst>
          </xdr:cNvPr>
          <xdr:cNvSpPr txBox="1"/>
        </xdr:nvSpPr>
        <xdr:spPr>
          <a:xfrm>
            <a:off x="6434832" y="108016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E8472E-B1AA-42FC-9614-4356C4C4CD7E}"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3">
        <xdr:nvSpPr>
          <xdr:cNvPr id="195" name="TextBox 194">
            <a:extLst>
              <a:ext uri="{FF2B5EF4-FFF2-40B4-BE49-F238E27FC236}">
                <a16:creationId xmlns:a16="http://schemas.microsoft.com/office/drawing/2014/main" id="{00000000-0008-0000-0000-0000C3000000}"/>
              </a:ext>
            </a:extLst>
          </xdr:cNvPr>
          <xdr:cNvSpPr txBox="1"/>
        </xdr:nvSpPr>
        <xdr:spPr>
          <a:xfrm>
            <a:off x="6888567" y="103167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D92D34-DDE9-417D-BE7B-16C06863A76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2">
        <xdr:nvSpPr>
          <xdr:cNvPr id="196" name="TextBox 195">
            <a:extLst>
              <a:ext uri="{FF2B5EF4-FFF2-40B4-BE49-F238E27FC236}">
                <a16:creationId xmlns:a16="http://schemas.microsoft.com/office/drawing/2014/main" id="{00000000-0008-0000-0000-0000C4000000}"/>
              </a:ext>
            </a:extLst>
          </xdr:cNvPr>
          <xdr:cNvSpPr txBox="1"/>
        </xdr:nvSpPr>
        <xdr:spPr>
          <a:xfrm>
            <a:off x="6240865" y="993576"/>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60EAD2-1396-42EB-9014-74E951ADE62D}"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79">
        <xdr:nvSpPr>
          <xdr:cNvPr id="197" name="TextBox 196">
            <a:extLst>
              <a:ext uri="{FF2B5EF4-FFF2-40B4-BE49-F238E27FC236}">
                <a16:creationId xmlns:a16="http://schemas.microsoft.com/office/drawing/2014/main" id="{00000000-0008-0000-0000-0000C5000000}"/>
              </a:ext>
            </a:extLst>
          </xdr:cNvPr>
          <xdr:cNvSpPr txBox="1"/>
        </xdr:nvSpPr>
        <xdr:spPr>
          <a:xfrm>
            <a:off x="6680748" y="91044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FF8203-84D8-4264-8CC7-D14AC4FFAD95}"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1">
        <xdr:nvSpPr>
          <xdr:cNvPr id="198" name="TextBox 197">
            <a:extLst>
              <a:ext uri="{FF2B5EF4-FFF2-40B4-BE49-F238E27FC236}">
                <a16:creationId xmlns:a16="http://schemas.microsoft.com/office/drawing/2014/main" id="{00000000-0008-0000-0000-0000C6000000}"/>
              </a:ext>
            </a:extLst>
          </xdr:cNvPr>
          <xdr:cNvSpPr txBox="1"/>
        </xdr:nvSpPr>
        <xdr:spPr>
          <a:xfrm>
            <a:off x="7328447" y="69916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0A30AE-F302-4623-A8E9-952BB2B79EDA}"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3">
        <xdr:nvSpPr>
          <xdr:cNvPr id="199" name="TextBox 198">
            <a:extLst>
              <a:ext uri="{FF2B5EF4-FFF2-40B4-BE49-F238E27FC236}">
                <a16:creationId xmlns:a16="http://schemas.microsoft.com/office/drawing/2014/main" id="{00000000-0008-0000-0000-0000C7000000}"/>
              </a:ext>
            </a:extLst>
          </xdr:cNvPr>
          <xdr:cNvSpPr txBox="1"/>
        </xdr:nvSpPr>
        <xdr:spPr>
          <a:xfrm>
            <a:off x="7744082" y="730338"/>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805FEA-0BEF-4E23-A329-7E1A9E99288A}"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0">
        <xdr:nvSpPr>
          <xdr:cNvPr id="200" name="TextBox 199">
            <a:extLst>
              <a:ext uri="{FF2B5EF4-FFF2-40B4-BE49-F238E27FC236}">
                <a16:creationId xmlns:a16="http://schemas.microsoft.com/office/drawing/2014/main" id="{00000000-0008-0000-0000-0000C8000000}"/>
              </a:ext>
            </a:extLst>
          </xdr:cNvPr>
          <xdr:cNvSpPr txBox="1"/>
        </xdr:nvSpPr>
        <xdr:spPr>
          <a:xfrm>
            <a:off x="5960312" y="83424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A6D82-D4C2-42AC-AB93-094C8D1FB993}"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2">
        <xdr:nvSpPr>
          <xdr:cNvPr id="201" name="TextBox 200">
            <a:extLst>
              <a:ext uri="{FF2B5EF4-FFF2-40B4-BE49-F238E27FC236}">
                <a16:creationId xmlns:a16="http://schemas.microsoft.com/office/drawing/2014/main" id="{00000000-0008-0000-0000-0000C9000000}"/>
              </a:ext>
            </a:extLst>
          </xdr:cNvPr>
          <xdr:cNvSpPr txBox="1"/>
        </xdr:nvSpPr>
        <xdr:spPr>
          <a:xfrm>
            <a:off x="5662439" y="76151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88B3D9-4169-4750-BC4C-2BBE3A8B7A51}"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0">
        <xdr:nvSpPr>
          <xdr:cNvPr id="202" name="TextBox 201">
            <a:extLst>
              <a:ext uri="{FF2B5EF4-FFF2-40B4-BE49-F238E27FC236}">
                <a16:creationId xmlns:a16="http://schemas.microsoft.com/office/drawing/2014/main" id="{00000000-0008-0000-0000-0000CA000000}"/>
              </a:ext>
            </a:extLst>
          </xdr:cNvPr>
          <xdr:cNvSpPr txBox="1"/>
        </xdr:nvSpPr>
        <xdr:spPr>
          <a:xfrm>
            <a:off x="5828693" y="616038"/>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0A93A8-B560-4D38-91FC-DE420911C05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8">
        <xdr:nvSpPr>
          <xdr:cNvPr id="203" name="TextBox 202">
            <a:extLst>
              <a:ext uri="{FF2B5EF4-FFF2-40B4-BE49-F238E27FC236}">
                <a16:creationId xmlns:a16="http://schemas.microsoft.com/office/drawing/2014/main" id="{00000000-0008-0000-0000-0000CB000000}"/>
              </a:ext>
            </a:extLst>
          </xdr:cNvPr>
          <xdr:cNvSpPr txBox="1"/>
        </xdr:nvSpPr>
        <xdr:spPr>
          <a:xfrm>
            <a:off x="6130030" y="71301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D62F26-01D6-472A-BAC7-89FC0491B69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9">
        <xdr:nvSpPr>
          <xdr:cNvPr id="204" name="TextBox 203">
            <a:extLst>
              <a:ext uri="{FF2B5EF4-FFF2-40B4-BE49-F238E27FC236}">
                <a16:creationId xmlns:a16="http://schemas.microsoft.com/office/drawing/2014/main" id="{00000000-0008-0000-0000-0000CC000000}"/>
              </a:ext>
            </a:extLst>
          </xdr:cNvPr>
          <xdr:cNvSpPr txBox="1"/>
        </xdr:nvSpPr>
        <xdr:spPr>
          <a:xfrm>
            <a:off x="6323993" y="678383"/>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B0BC06-C10E-4BE5-B65C-5A9280109A82}"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5">
        <xdr:nvSpPr>
          <xdr:cNvPr id="205" name="TextBox 204">
            <a:extLst>
              <a:ext uri="{FF2B5EF4-FFF2-40B4-BE49-F238E27FC236}">
                <a16:creationId xmlns:a16="http://schemas.microsoft.com/office/drawing/2014/main" id="{00000000-0008-0000-0000-0000CD000000}"/>
              </a:ext>
            </a:extLst>
          </xdr:cNvPr>
          <xdr:cNvSpPr txBox="1"/>
        </xdr:nvSpPr>
        <xdr:spPr>
          <a:xfrm>
            <a:off x="6500639" y="70609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896297-891F-4B91-A974-A5968BDAB1BF}"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4">
        <xdr:nvSpPr>
          <xdr:cNvPr id="206" name="TextBox 205">
            <a:extLst>
              <a:ext uri="{FF2B5EF4-FFF2-40B4-BE49-F238E27FC236}">
                <a16:creationId xmlns:a16="http://schemas.microsoft.com/office/drawing/2014/main" id="{00000000-0008-0000-0000-0000CE000000}"/>
              </a:ext>
            </a:extLst>
          </xdr:cNvPr>
          <xdr:cNvSpPr txBox="1"/>
        </xdr:nvSpPr>
        <xdr:spPr>
          <a:xfrm>
            <a:off x="6857394" y="740730"/>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F9B0E1-E472-4281-82EA-C0F70DF204DB}"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6">
        <xdr:nvSpPr>
          <xdr:cNvPr id="207" name="TextBox 206">
            <a:extLst>
              <a:ext uri="{FF2B5EF4-FFF2-40B4-BE49-F238E27FC236}">
                <a16:creationId xmlns:a16="http://schemas.microsoft.com/office/drawing/2014/main" id="{00000000-0008-0000-0000-0000CF000000}"/>
              </a:ext>
            </a:extLst>
          </xdr:cNvPr>
          <xdr:cNvSpPr txBox="1"/>
        </xdr:nvSpPr>
        <xdr:spPr>
          <a:xfrm>
            <a:off x="7141412" y="70609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2F48FD-A841-4C84-ACE6-A137961630FC}"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87">
        <xdr:nvSpPr>
          <xdr:cNvPr id="208" name="TextBox 207">
            <a:extLst>
              <a:ext uri="{FF2B5EF4-FFF2-40B4-BE49-F238E27FC236}">
                <a16:creationId xmlns:a16="http://schemas.microsoft.com/office/drawing/2014/main" id="{00000000-0008-0000-0000-0000D0000000}"/>
              </a:ext>
            </a:extLst>
          </xdr:cNvPr>
          <xdr:cNvSpPr txBox="1"/>
        </xdr:nvSpPr>
        <xdr:spPr>
          <a:xfrm>
            <a:off x="7574367" y="56754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F2F8C8-4EE5-43B6-8707-274CCB2B471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1">
        <xdr:nvSpPr>
          <xdr:cNvPr id="209" name="TextBox 208">
            <a:extLst>
              <a:ext uri="{FF2B5EF4-FFF2-40B4-BE49-F238E27FC236}">
                <a16:creationId xmlns:a16="http://schemas.microsoft.com/office/drawing/2014/main" id="{00000000-0008-0000-0000-0000D1000000}"/>
              </a:ext>
            </a:extLst>
          </xdr:cNvPr>
          <xdr:cNvSpPr txBox="1"/>
        </xdr:nvSpPr>
        <xdr:spPr>
          <a:xfrm>
            <a:off x="6008802" y="498275"/>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01A706-531C-4B2B-AFD3-9B87B3F1C3DF}"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2">
        <xdr:nvSpPr>
          <xdr:cNvPr id="210" name="TextBox 209">
            <a:extLst>
              <a:ext uri="{FF2B5EF4-FFF2-40B4-BE49-F238E27FC236}">
                <a16:creationId xmlns:a16="http://schemas.microsoft.com/office/drawing/2014/main" id="{00000000-0008-0000-0000-0000D2000000}"/>
              </a:ext>
            </a:extLst>
          </xdr:cNvPr>
          <xdr:cNvSpPr txBox="1"/>
        </xdr:nvSpPr>
        <xdr:spPr>
          <a:xfrm>
            <a:off x="6684213" y="58140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673824-6AF7-44AA-A3B8-30D63B516CA6}"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3">
        <xdr:nvSpPr>
          <xdr:cNvPr id="211" name="TextBox 210">
            <a:extLst>
              <a:ext uri="{FF2B5EF4-FFF2-40B4-BE49-F238E27FC236}">
                <a16:creationId xmlns:a16="http://schemas.microsoft.com/office/drawing/2014/main" id="{00000000-0008-0000-0000-0000D3000000}"/>
              </a:ext>
            </a:extLst>
          </xdr:cNvPr>
          <xdr:cNvSpPr txBox="1"/>
        </xdr:nvSpPr>
        <xdr:spPr>
          <a:xfrm>
            <a:off x="6989010" y="57793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4A83D1-1227-4619-BF04-51BF70E23AD7}"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4">
        <xdr:nvSpPr>
          <xdr:cNvPr id="212" name="TextBox 211">
            <a:extLst>
              <a:ext uri="{FF2B5EF4-FFF2-40B4-BE49-F238E27FC236}">
                <a16:creationId xmlns:a16="http://schemas.microsoft.com/office/drawing/2014/main" id="{00000000-0008-0000-0000-0000D4000000}"/>
              </a:ext>
            </a:extLst>
          </xdr:cNvPr>
          <xdr:cNvSpPr txBox="1"/>
        </xdr:nvSpPr>
        <xdr:spPr>
          <a:xfrm>
            <a:off x="6164663" y="42207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31A556-DD30-4C74-9070-1B22127FAA23}"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6">
        <xdr:nvSpPr>
          <xdr:cNvPr id="213" name="TextBox 212">
            <a:extLst>
              <a:ext uri="{FF2B5EF4-FFF2-40B4-BE49-F238E27FC236}">
                <a16:creationId xmlns:a16="http://schemas.microsoft.com/office/drawing/2014/main" id="{00000000-0008-0000-0000-0000D5000000}"/>
              </a:ext>
            </a:extLst>
          </xdr:cNvPr>
          <xdr:cNvSpPr txBox="1"/>
        </xdr:nvSpPr>
        <xdr:spPr>
          <a:xfrm>
            <a:off x="6365554" y="34587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0CA310-DD7B-4B95-BC68-E91E14416EFE}"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7">
        <xdr:nvSpPr>
          <xdr:cNvPr id="214" name="TextBox 213">
            <a:extLst>
              <a:ext uri="{FF2B5EF4-FFF2-40B4-BE49-F238E27FC236}">
                <a16:creationId xmlns:a16="http://schemas.microsoft.com/office/drawing/2014/main" id="{00000000-0008-0000-0000-0000D6000000}"/>
              </a:ext>
            </a:extLst>
          </xdr:cNvPr>
          <xdr:cNvSpPr txBox="1"/>
        </xdr:nvSpPr>
        <xdr:spPr>
          <a:xfrm>
            <a:off x="6542201" y="314704"/>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56282E-35A1-448A-A0E5-4EFBBE4D9EE0}"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100">
        <xdr:nvSpPr>
          <xdr:cNvPr id="215" name="TextBox 214">
            <a:extLst>
              <a:ext uri="{FF2B5EF4-FFF2-40B4-BE49-F238E27FC236}">
                <a16:creationId xmlns:a16="http://schemas.microsoft.com/office/drawing/2014/main" id="{00000000-0008-0000-0000-0000D7000000}"/>
              </a:ext>
            </a:extLst>
          </xdr:cNvPr>
          <xdr:cNvSpPr txBox="1"/>
        </xdr:nvSpPr>
        <xdr:spPr>
          <a:xfrm>
            <a:off x="6746555" y="293921"/>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4797FB-3E1E-4539-AE19-468A101C1464}"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47">
        <xdr:nvSpPr>
          <xdr:cNvPr id="216" name="TextBox 215">
            <a:extLst>
              <a:ext uri="{FF2B5EF4-FFF2-40B4-BE49-F238E27FC236}">
                <a16:creationId xmlns:a16="http://schemas.microsoft.com/office/drawing/2014/main" id="{00000000-0008-0000-0000-0000D8000000}"/>
              </a:ext>
            </a:extLst>
          </xdr:cNvPr>
          <xdr:cNvSpPr txBox="1"/>
        </xdr:nvSpPr>
        <xdr:spPr>
          <a:xfrm>
            <a:off x="8111227" y="1617028"/>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1ECF0-6B3E-42B8-8C01-9C33EE55380E}"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9">
        <xdr:nvSpPr>
          <xdr:cNvPr id="217" name="TextBox 216">
            <a:extLst>
              <a:ext uri="{FF2B5EF4-FFF2-40B4-BE49-F238E27FC236}">
                <a16:creationId xmlns:a16="http://schemas.microsoft.com/office/drawing/2014/main" id="{00000000-0008-0000-0000-0000D9000000}"/>
              </a:ext>
            </a:extLst>
          </xdr:cNvPr>
          <xdr:cNvSpPr txBox="1"/>
        </xdr:nvSpPr>
        <xdr:spPr>
          <a:xfrm>
            <a:off x="6964763" y="304312"/>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CF2FC1-64C7-4B55-ACDA-CA462EC4B0EB}"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8">
        <xdr:nvSpPr>
          <xdr:cNvPr id="218" name="TextBox 217">
            <a:extLst>
              <a:ext uri="{FF2B5EF4-FFF2-40B4-BE49-F238E27FC236}">
                <a16:creationId xmlns:a16="http://schemas.microsoft.com/office/drawing/2014/main" id="{00000000-0008-0000-0000-0000DA000000}"/>
              </a:ext>
            </a:extLst>
          </xdr:cNvPr>
          <xdr:cNvSpPr txBox="1"/>
        </xdr:nvSpPr>
        <xdr:spPr>
          <a:xfrm>
            <a:off x="7217610" y="373587"/>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4D2AB4-5D3C-4363-A06A-7E48F55898D8}"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sp macro="" textlink="Processing!B95">
        <xdr:nvSpPr>
          <xdr:cNvPr id="219" name="TextBox 218">
            <a:extLst>
              <a:ext uri="{FF2B5EF4-FFF2-40B4-BE49-F238E27FC236}">
                <a16:creationId xmlns:a16="http://schemas.microsoft.com/office/drawing/2014/main" id="{00000000-0008-0000-0000-0000DB000000}"/>
              </a:ext>
            </a:extLst>
          </xdr:cNvPr>
          <xdr:cNvSpPr txBox="1"/>
        </xdr:nvSpPr>
        <xdr:spPr>
          <a:xfrm>
            <a:off x="7383864" y="442859"/>
            <a:ext cx="196977" cy="328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6679C0-BF2B-4B78-B18E-1F46F654D56A}" type="TxLink">
              <a:rPr lang="en-US" sz="1600" b="0" i="0" u="none" strike="noStrike">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latin typeface="Aptos Narrow"/>
              </a:rPr>
              <a:pPr algn="ctr"/>
              <a:t> </a:t>
            </a:fld>
            <a:endParaRPr lang="ru-RU" sz="1600">
              <a:blipFill>
                <a:blip xmlns:r="http://schemas.openxmlformats.org/officeDocument/2006/relationships" r:embed="rId10">
                  <a:extLst>
                    <a:ext uri="{96DAC541-7B7A-43D3-8B79-37D633B846F1}">
                      <asvg:svgBlip xmlns:asvg="http://schemas.microsoft.com/office/drawing/2016/SVG/main" r:embed="rId11"/>
                    </a:ext>
                  </a:extLst>
                </a:blip>
                <a:stretch>
                  <a:fillRect/>
                </a:stretch>
              </a:blipFill>
            </a:endParaRPr>
          </a:p>
        </xdr:txBody>
      </xdr:sp>
    </xdr:grpSp>
    <xdr:clientData/>
  </xdr:twoCellAnchor>
  <xdr:twoCellAnchor>
    <xdr:from>
      <xdr:col>13</xdr:col>
      <xdr:colOff>211454</xdr:colOff>
      <xdr:row>13</xdr:row>
      <xdr:rowOff>160020</xdr:rowOff>
    </xdr:from>
    <xdr:to>
      <xdr:col>15</xdr:col>
      <xdr:colOff>287654</xdr:colOff>
      <xdr:row>18</xdr:row>
      <xdr:rowOff>7620</xdr:rowOff>
    </xdr:to>
    <xdr:sp macro="" textlink="Processing!D2">
      <xdr:nvSpPr>
        <xdr:cNvPr id="227" name="TextBox 226">
          <a:extLst>
            <a:ext uri="{FF2B5EF4-FFF2-40B4-BE49-F238E27FC236}">
              <a16:creationId xmlns:a16="http://schemas.microsoft.com/office/drawing/2014/main" id="{00000000-0008-0000-0000-0000E3000000}"/>
            </a:ext>
          </a:extLst>
        </xdr:cNvPr>
        <xdr:cNvSpPr txBox="1"/>
      </xdr:nvSpPr>
      <xdr:spPr>
        <a:xfrm>
          <a:off x="8136254" y="3070860"/>
          <a:ext cx="1295400" cy="76200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90B09FD2-21AF-4447-88CD-7571EE270E15}" type="TxLink">
            <a:rPr lang="en-US" sz="4800" b="1" i="0" u="none" strike="noStrike">
              <a:solidFill>
                <a:srgbClr val="3DBEFF"/>
              </a:solidFill>
              <a:latin typeface="Aptos Narrow"/>
            </a:rPr>
            <a:pPr algn="r"/>
            <a:t>65%</a:t>
          </a:fld>
          <a:endParaRPr lang="ru-RU" sz="4800" b="1">
            <a:solidFill>
              <a:srgbClr val="3DBEFF"/>
            </a:solidFill>
          </a:endParaRPr>
        </a:p>
      </xdr:txBody>
    </xdr:sp>
    <xdr:clientData/>
  </xdr:twoCellAnchor>
  <xdr:twoCellAnchor>
    <xdr:from>
      <xdr:col>18</xdr:col>
      <xdr:colOff>381000</xdr:colOff>
      <xdr:row>5</xdr:row>
      <xdr:rowOff>22860</xdr:rowOff>
    </xdr:from>
    <xdr:to>
      <xdr:col>20</xdr:col>
      <xdr:colOff>457200</xdr:colOff>
      <xdr:row>9</xdr:row>
      <xdr:rowOff>53340</xdr:rowOff>
    </xdr:to>
    <xdr:sp macro="" textlink="Processing!D5">
      <xdr:nvSpPr>
        <xdr:cNvPr id="238" name="TextBox 237">
          <a:extLst>
            <a:ext uri="{FF2B5EF4-FFF2-40B4-BE49-F238E27FC236}">
              <a16:creationId xmlns:a16="http://schemas.microsoft.com/office/drawing/2014/main" id="{00000000-0008-0000-0000-0000EE000000}"/>
            </a:ext>
          </a:extLst>
        </xdr:cNvPr>
        <xdr:cNvSpPr txBox="1"/>
      </xdr:nvSpPr>
      <xdr:spPr>
        <a:xfrm>
          <a:off x="11353800" y="1470660"/>
          <a:ext cx="12954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FC24FB-09F6-470C-AE0D-917B1BFE5ABD}" type="TxLink">
            <a:rPr lang="en-US" sz="2400" b="0" i="0" u="none" strike="noStrike">
              <a:solidFill>
                <a:schemeClr val="bg1"/>
              </a:solidFill>
              <a:latin typeface="Aptos Narrow"/>
            </a:rPr>
            <a:pPr algn="ctr"/>
            <a:t>57%</a:t>
          </a:fld>
          <a:endParaRPr lang="ru-RU" sz="8800" b="1">
            <a:solidFill>
              <a:schemeClr val="bg1"/>
            </a:solidFill>
          </a:endParaRPr>
        </a:p>
      </xdr:txBody>
    </xdr:sp>
    <xdr:clientData/>
  </xdr:twoCellAnchor>
  <xdr:twoCellAnchor>
    <xdr:from>
      <xdr:col>0</xdr:col>
      <xdr:colOff>388433</xdr:colOff>
      <xdr:row>1</xdr:row>
      <xdr:rowOff>76198</xdr:rowOff>
    </xdr:from>
    <xdr:to>
      <xdr:col>3</xdr:col>
      <xdr:colOff>571313</xdr:colOff>
      <xdr:row>12</xdr:row>
      <xdr:rowOff>76198</xdr:rowOff>
    </xdr:to>
    <xdr:grpSp>
      <xdr:nvGrpSpPr>
        <xdr:cNvPr id="243" name="Group 242">
          <a:extLst>
            <a:ext uri="{FF2B5EF4-FFF2-40B4-BE49-F238E27FC236}">
              <a16:creationId xmlns:a16="http://schemas.microsoft.com/office/drawing/2014/main" id="{00000000-0008-0000-0000-0000F3000000}"/>
            </a:ext>
          </a:extLst>
        </xdr:cNvPr>
        <xdr:cNvGrpSpPr/>
      </xdr:nvGrpSpPr>
      <xdr:grpSpPr>
        <a:xfrm>
          <a:off x="388433" y="790573"/>
          <a:ext cx="1968818" cy="2095500"/>
          <a:chOff x="357953" y="792478"/>
          <a:chExt cx="2011680" cy="2011680"/>
        </a:xfrm>
      </xdr:grpSpPr>
      <xdr:sp macro="" textlink="">
        <xdr:nvSpPr>
          <xdr:cNvPr id="241" name="Oval 240">
            <a:extLst>
              <a:ext uri="{FF2B5EF4-FFF2-40B4-BE49-F238E27FC236}">
                <a16:creationId xmlns:a16="http://schemas.microsoft.com/office/drawing/2014/main" id="{00000000-0008-0000-0000-0000F1000000}"/>
              </a:ext>
            </a:extLst>
          </xdr:cNvPr>
          <xdr:cNvSpPr/>
        </xdr:nvSpPr>
        <xdr:spPr>
          <a:xfrm>
            <a:off x="601980" y="1036320"/>
            <a:ext cx="1554480" cy="1554480"/>
          </a:xfrm>
          <a:prstGeom prst="ellipse">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239" name="Chart 238">
            <a:extLst>
              <a:ext uri="{FF2B5EF4-FFF2-40B4-BE49-F238E27FC236}">
                <a16:creationId xmlns:a16="http://schemas.microsoft.com/office/drawing/2014/main" id="{00000000-0008-0000-0000-0000EF000000}"/>
              </a:ext>
            </a:extLst>
          </xdr:cNvPr>
          <xdr:cNvGraphicFramePr>
            <a:graphicFrameLocks/>
          </xdr:cNvGraphicFramePr>
        </xdr:nvGraphicFramePr>
        <xdr:xfrm>
          <a:off x="357953" y="792478"/>
          <a:ext cx="2011680" cy="201168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240" name="Oval 239">
            <a:extLst>
              <a:ext uri="{FF2B5EF4-FFF2-40B4-BE49-F238E27FC236}">
                <a16:creationId xmlns:a16="http://schemas.microsoft.com/office/drawing/2014/main" id="{00000000-0008-0000-0000-0000F0000000}"/>
              </a:ext>
            </a:extLst>
          </xdr:cNvPr>
          <xdr:cNvSpPr/>
        </xdr:nvSpPr>
        <xdr:spPr>
          <a:xfrm>
            <a:off x="815340" y="1249680"/>
            <a:ext cx="1097280" cy="1097280"/>
          </a:xfrm>
          <a:prstGeom prst="ellipse">
            <a:avLst/>
          </a:prstGeom>
          <a:gradFill>
            <a:gsLst>
              <a:gs pos="30000">
                <a:srgbClr val="1A1A26"/>
              </a:gs>
              <a:gs pos="100000">
                <a:srgbClr val="34414A"/>
              </a:gs>
            </a:gsLst>
            <a:lin ang="19200000" scaled="0"/>
          </a:gradFill>
          <a:ln>
            <a:noFill/>
          </a:ln>
          <a:effectLst>
            <a:outerShdw blurRad="508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E9">
        <xdr:nvSpPr>
          <xdr:cNvPr id="242" name="TextBox 241">
            <a:extLst>
              <a:ext uri="{FF2B5EF4-FFF2-40B4-BE49-F238E27FC236}">
                <a16:creationId xmlns:a16="http://schemas.microsoft.com/office/drawing/2014/main" id="{00000000-0008-0000-0000-0000F2000000}"/>
              </a:ext>
            </a:extLst>
          </xdr:cNvPr>
          <xdr:cNvSpPr txBox="1"/>
        </xdr:nvSpPr>
        <xdr:spPr>
          <a:xfrm>
            <a:off x="731520" y="1402080"/>
            <a:ext cx="12954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542EAD-2E07-4B5A-8253-C4FEDAB21C04}" type="TxLink">
              <a:rPr lang="en-US" sz="1800" b="0" i="0" u="none" strike="noStrike">
                <a:solidFill>
                  <a:schemeClr val="accent4">
                    <a:lumMod val="20000"/>
                    <a:lumOff val="80000"/>
                  </a:schemeClr>
                </a:solidFill>
                <a:latin typeface="Aptos Narrow"/>
              </a:rPr>
              <a:pPr algn="ctr"/>
              <a:t>63%</a:t>
            </a:fld>
            <a:endParaRPr lang="ru-RU" sz="7200" b="1">
              <a:solidFill>
                <a:schemeClr val="accent4">
                  <a:lumMod val="20000"/>
                  <a:lumOff val="80000"/>
                </a:schemeClr>
              </a:solidFill>
            </a:endParaRPr>
          </a:p>
        </xdr:txBody>
      </xdr:sp>
    </xdr:grpSp>
    <xdr:clientData/>
  </xdr:twoCellAnchor>
  <xdr:twoCellAnchor>
    <xdr:from>
      <xdr:col>4</xdr:col>
      <xdr:colOff>266513</xdr:colOff>
      <xdr:row>1</xdr:row>
      <xdr:rowOff>76198</xdr:rowOff>
    </xdr:from>
    <xdr:to>
      <xdr:col>7</xdr:col>
      <xdr:colOff>449393</xdr:colOff>
      <xdr:row>12</xdr:row>
      <xdr:rowOff>76198</xdr:rowOff>
    </xdr:to>
    <xdr:grpSp>
      <xdr:nvGrpSpPr>
        <xdr:cNvPr id="244" name="Group 243">
          <a:extLst>
            <a:ext uri="{FF2B5EF4-FFF2-40B4-BE49-F238E27FC236}">
              <a16:creationId xmlns:a16="http://schemas.microsoft.com/office/drawing/2014/main" id="{00000000-0008-0000-0000-0000F4000000}"/>
            </a:ext>
          </a:extLst>
        </xdr:cNvPr>
        <xdr:cNvGrpSpPr/>
      </xdr:nvGrpSpPr>
      <xdr:grpSpPr>
        <a:xfrm>
          <a:off x="2647763" y="790573"/>
          <a:ext cx="1968818" cy="2095500"/>
          <a:chOff x="357953" y="792478"/>
          <a:chExt cx="2011680" cy="2011680"/>
        </a:xfrm>
      </xdr:grpSpPr>
      <xdr:sp macro="" textlink="">
        <xdr:nvSpPr>
          <xdr:cNvPr id="245" name="Oval 244">
            <a:extLst>
              <a:ext uri="{FF2B5EF4-FFF2-40B4-BE49-F238E27FC236}">
                <a16:creationId xmlns:a16="http://schemas.microsoft.com/office/drawing/2014/main" id="{00000000-0008-0000-0000-0000F5000000}"/>
              </a:ext>
            </a:extLst>
          </xdr:cNvPr>
          <xdr:cNvSpPr/>
        </xdr:nvSpPr>
        <xdr:spPr>
          <a:xfrm>
            <a:off x="601980" y="1036320"/>
            <a:ext cx="1554480" cy="1554480"/>
          </a:xfrm>
          <a:prstGeom prst="ellipse">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246" name="Chart 245">
            <a:extLst>
              <a:ext uri="{FF2B5EF4-FFF2-40B4-BE49-F238E27FC236}">
                <a16:creationId xmlns:a16="http://schemas.microsoft.com/office/drawing/2014/main" id="{00000000-0008-0000-0000-0000F6000000}"/>
              </a:ext>
            </a:extLst>
          </xdr:cNvPr>
          <xdr:cNvGraphicFramePr>
            <a:graphicFrameLocks/>
          </xdr:cNvGraphicFramePr>
        </xdr:nvGraphicFramePr>
        <xdr:xfrm>
          <a:off x="357953" y="792478"/>
          <a:ext cx="2011680" cy="2011680"/>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247" name="Oval 246">
            <a:extLst>
              <a:ext uri="{FF2B5EF4-FFF2-40B4-BE49-F238E27FC236}">
                <a16:creationId xmlns:a16="http://schemas.microsoft.com/office/drawing/2014/main" id="{00000000-0008-0000-0000-0000F7000000}"/>
              </a:ext>
            </a:extLst>
          </xdr:cNvPr>
          <xdr:cNvSpPr/>
        </xdr:nvSpPr>
        <xdr:spPr>
          <a:xfrm>
            <a:off x="815340" y="1249680"/>
            <a:ext cx="1097280" cy="1097280"/>
          </a:xfrm>
          <a:prstGeom prst="ellipse">
            <a:avLst/>
          </a:prstGeom>
          <a:gradFill>
            <a:gsLst>
              <a:gs pos="30000">
                <a:srgbClr val="1A1A26"/>
              </a:gs>
              <a:gs pos="100000">
                <a:srgbClr val="34414A"/>
              </a:gs>
            </a:gsLst>
            <a:lin ang="19200000" scaled="0"/>
          </a:gradFill>
          <a:ln>
            <a:noFill/>
          </a:ln>
          <a:effectLst>
            <a:outerShdw blurRad="508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E13">
        <xdr:nvSpPr>
          <xdr:cNvPr id="248" name="TextBox 247">
            <a:extLst>
              <a:ext uri="{FF2B5EF4-FFF2-40B4-BE49-F238E27FC236}">
                <a16:creationId xmlns:a16="http://schemas.microsoft.com/office/drawing/2014/main" id="{00000000-0008-0000-0000-0000F8000000}"/>
              </a:ext>
            </a:extLst>
          </xdr:cNvPr>
          <xdr:cNvSpPr txBox="1"/>
        </xdr:nvSpPr>
        <xdr:spPr>
          <a:xfrm>
            <a:off x="731520" y="1402080"/>
            <a:ext cx="12954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556096-44AD-4F2D-BBCA-E1752447A7B1}" type="TxLink">
              <a:rPr lang="en-US" sz="1800" b="0" i="0" u="none" strike="noStrike">
                <a:solidFill>
                  <a:schemeClr val="accent4">
                    <a:lumMod val="20000"/>
                    <a:lumOff val="80000"/>
                  </a:schemeClr>
                </a:solidFill>
                <a:latin typeface="Aptos Narrow"/>
              </a:rPr>
              <a:pPr algn="ctr"/>
              <a:t>63%</a:t>
            </a:fld>
            <a:endParaRPr lang="ru-RU" sz="23900" b="1">
              <a:solidFill>
                <a:schemeClr val="accent4">
                  <a:lumMod val="20000"/>
                  <a:lumOff val="80000"/>
                </a:schemeClr>
              </a:solidFill>
            </a:endParaRPr>
          </a:p>
        </xdr:txBody>
      </xdr:sp>
    </xdr:grpSp>
    <xdr:clientData/>
  </xdr:twoCellAnchor>
  <xdr:twoCellAnchor>
    <xdr:from>
      <xdr:col>0</xdr:col>
      <xdr:colOff>259080</xdr:colOff>
      <xdr:row>24</xdr:row>
      <xdr:rowOff>129540</xdr:rowOff>
    </xdr:from>
    <xdr:to>
      <xdr:col>7</xdr:col>
      <xdr:colOff>563880</xdr:colOff>
      <xdr:row>34</xdr:row>
      <xdr:rowOff>129540</xdr:rowOff>
    </xdr:to>
    <xdr:graphicFrame macro="">
      <xdr:nvGraphicFramePr>
        <xdr:cNvPr id="17" name="Chart 16">
          <a:extLst>
            <a:ext uri="{FF2B5EF4-FFF2-40B4-BE49-F238E27FC236}">
              <a16:creationId xmlns:a16="http://schemas.microsoft.com/office/drawing/2014/main" i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259080</xdr:colOff>
      <xdr:row>24</xdr:row>
      <xdr:rowOff>121920</xdr:rowOff>
    </xdr:from>
    <xdr:to>
      <xdr:col>7</xdr:col>
      <xdr:colOff>563880</xdr:colOff>
      <xdr:row>34</xdr:row>
      <xdr:rowOff>129540</xdr:rowOff>
    </xdr:to>
    <xdr:graphicFrame macro="">
      <xdr:nvGraphicFramePr>
        <xdr:cNvPr id="223" name="Chart 222" hidden="1">
          <a:extLst>
            <a:ext uri="{FF2B5EF4-FFF2-40B4-BE49-F238E27FC236}">
              <a16:creationId xmlns:a16="http://schemas.microsoft.com/office/drawing/2014/main" id="{00000000-0008-0000-0000-0000D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220980</xdr:colOff>
      <xdr:row>23</xdr:row>
      <xdr:rowOff>160020</xdr:rowOff>
    </xdr:from>
    <xdr:to>
      <xdr:col>11</xdr:col>
      <xdr:colOff>374642</xdr:colOff>
      <xdr:row>34</xdr:row>
      <xdr:rowOff>128787</xdr:rowOff>
    </xdr:to>
    <xdr:graphicFrame macro="">
      <xdr:nvGraphicFramePr>
        <xdr:cNvPr id="250" name="Chart 249">
          <a:extLst>
            <a:ext uri="{FF2B5EF4-FFF2-40B4-BE49-F238E27FC236}">
              <a16:creationId xmlns:a16="http://schemas.microsoft.com/office/drawing/2014/main" id="{00000000-0008-0000-0000-0000F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30480</xdr:colOff>
      <xdr:row>25</xdr:row>
      <xdr:rowOff>69332</xdr:rowOff>
    </xdr:from>
    <xdr:to>
      <xdr:col>23</xdr:col>
      <xdr:colOff>236220</xdr:colOff>
      <xdr:row>35</xdr:row>
      <xdr:rowOff>108585</xdr:rowOff>
    </xdr:to>
    <xdr:graphicFrame macro="">
      <xdr:nvGraphicFramePr>
        <xdr:cNvPr id="278" name="Chart 277">
          <a:extLst>
            <a:ext uri="{FF2B5EF4-FFF2-40B4-BE49-F238E27FC236}">
              <a16:creationId xmlns:a16="http://schemas.microsoft.com/office/drawing/2014/main" id="{00000000-0008-0000-0000-000016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312420</xdr:colOff>
      <xdr:row>8</xdr:row>
      <xdr:rowOff>106680</xdr:rowOff>
    </xdr:from>
    <xdr:to>
      <xdr:col>20</xdr:col>
      <xdr:colOff>487680</xdr:colOff>
      <xdr:row>11</xdr:row>
      <xdr:rowOff>175260</xdr:rowOff>
    </xdr:to>
    <xdr:sp macro="" textlink="Processing!D4">
      <xdr:nvSpPr>
        <xdr:cNvPr id="251" name="TextBox 250">
          <a:extLst>
            <a:ext uri="{FF2B5EF4-FFF2-40B4-BE49-F238E27FC236}">
              <a16:creationId xmlns:a16="http://schemas.microsoft.com/office/drawing/2014/main" id="{00000000-0008-0000-0000-0000FB000000}"/>
            </a:ext>
          </a:extLst>
        </xdr:cNvPr>
        <xdr:cNvSpPr txBox="1"/>
      </xdr:nvSpPr>
      <xdr:spPr>
        <a:xfrm>
          <a:off x="11285220" y="2103120"/>
          <a:ext cx="1394460" cy="617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57CE56-8B39-42D9-A43E-3267D5D5C3E7}" type="TxLink">
            <a:rPr lang="en-US" sz="1400" b="0" i="0" u="none" strike="noStrike">
              <a:solidFill>
                <a:schemeClr val="bg1"/>
              </a:solidFill>
              <a:latin typeface="Aptos Narrow"/>
            </a:rPr>
            <a:pPr algn="ctr"/>
            <a:t>General Productivity</a:t>
          </a:fld>
          <a:endParaRPr lang="ru-RU" sz="1400">
            <a:solidFill>
              <a:schemeClr val="bg1"/>
            </a:solidFill>
          </a:endParaRPr>
        </a:p>
      </xdr:txBody>
    </xdr:sp>
    <xdr:clientData/>
  </xdr:twoCellAnchor>
  <xdr:twoCellAnchor>
    <xdr:from>
      <xdr:col>20</xdr:col>
      <xdr:colOff>66397</xdr:colOff>
      <xdr:row>24</xdr:row>
      <xdr:rowOff>27728</xdr:rowOff>
    </xdr:from>
    <xdr:to>
      <xdr:col>23</xdr:col>
      <xdr:colOff>93624</xdr:colOff>
      <xdr:row>26</xdr:row>
      <xdr:rowOff>10373</xdr:rowOff>
    </xdr:to>
    <xdr:sp macro="" textlink="Processing!L40">
      <xdr:nvSpPr>
        <xdr:cNvPr id="252" name="TextBox 251">
          <a:extLst>
            <a:ext uri="{FF2B5EF4-FFF2-40B4-BE49-F238E27FC236}">
              <a16:creationId xmlns:a16="http://schemas.microsoft.com/office/drawing/2014/main" id="{00000000-0008-0000-0000-0000FC000000}"/>
            </a:ext>
          </a:extLst>
        </xdr:cNvPr>
        <xdr:cNvSpPr txBox="1"/>
      </xdr:nvSpPr>
      <xdr:spPr>
        <a:xfrm>
          <a:off x="12258397" y="4950248"/>
          <a:ext cx="1856027"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57751E-50B8-4631-9AB9-45D78BF2B704}" type="TxLink">
            <a:rPr lang="en-US" sz="1400" b="0" i="0" u="none" strike="noStrike">
              <a:solidFill>
                <a:schemeClr val="accent4">
                  <a:lumMod val="20000"/>
                  <a:lumOff val="80000"/>
                </a:schemeClr>
              </a:solidFill>
              <a:latin typeface="Aptos Narrow"/>
            </a:rPr>
            <a:pPr algn="ctr"/>
            <a:t>Loss of Working Time</a:t>
          </a:fld>
          <a:endParaRPr lang="ru-RU" sz="1800">
            <a:solidFill>
              <a:schemeClr val="accent4">
                <a:lumMod val="20000"/>
                <a:lumOff val="80000"/>
              </a:schemeClr>
            </a:solidFill>
          </a:endParaRPr>
        </a:p>
      </xdr:txBody>
    </xdr:sp>
    <xdr:clientData/>
  </xdr:twoCellAnchor>
  <xdr:twoCellAnchor>
    <xdr:from>
      <xdr:col>22</xdr:col>
      <xdr:colOff>54967</xdr:colOff>
      <xdr:row>31</xdr:row>
      <xdr:rowOff>35348</xdr:rowOff>
    </xdr:from>
    <xdr:to>
      <xdr:col>23</xdr:col>
      <xdr:colOff>269796</xdr:colOff>
      <xdr:row>33</xdr:row>
      <xdr:rowOff>17993</xdr:rowOff>
    </xdr:to>
    <xdr:sp macro="" textlink="Processing!L41">
      <xdr:nvSpPr>
        <xdr:cNvPr id="255" name="TextBox 254">
          <a:extLst>
            <a:ext uri="{FF2B5EF4-FFF2-40B4-BE49-F238E27FC236}">
              <a16:creationId xmlns:a16="http://schemas.microsoft.com/office/drawing/2014/main" id="{00000000-0008-0000-0000-0000FF000000}"/>
            </a:ext>
          </a:extLst>
        </xdr:cNvPr>
        <xdr:cNvSpPr txBox="1"/>
      </xdr:nvSpPr>
      <xdr:spPr>
        <a:xfrm>
          <a:off x="13466167" y="6343015"/>
          <a:ext cx="824429" cy="35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578A89-8ED4-40FE-B372-F8AEA679570C}" type="TxLink">
            <a:rPr lang="en-US" sz="2000" b="0" i="0" u="none" strike="noStrike">
              <a:solidFill>
                <a:schemeClr val="accent4">
                  <a:lumMod val="20000"/>
                  <a:lumOff val="80000"/>
                </a:schemeClr>
              </a:solidFill>
              <a:latin typeface="Aptos Narrow"/>
            </a:rPr>
            <a:pPr algn="ctr"/>
            <a:t>5.7%</a:t>
          </a:fld>
          <a:endParaRPr lang="ru-RU" sz="3600">
            <a:solidFill>
              <a:schemeClr val="accent4">
                <a:lumMod val="20000"/>
                <a:lumOff val="80000"/>
              </a:schemeClr>
            </a:solidFill>
          </a:endParaRPr>
        </a:p>
      </xdr:txBody>
    </xdr:sp>
    <xdr:clientData/>
  </xdr:twoCellAnchor>
  <xdr:twoCellAnchor>
    <xdr:from>
      <xdr:col>1</xdr:col>
      <xdr:colOff>379862</xdr:colOff>
      <xdr:row>7</xdr:row>
      <xdr:rowOff>35348</xdr:rowOff>
    </xdr:from>
    <xdr:to>
      <xdr:col>2</xdr:col>
      <xdr:colOff>557398</xdr:colOff>
      <xdr:row>9</xdr:row>
      <xdr:rowOff>17993</xdr:rowOff>
    </xdr:to>
    <xdr:sp macro="" textlink="Processing!D8">
      <xdr:nvSpPr>
        <xdr:cNvPr id="256" name="TextBox 255">
          <a:extLst>
            <a:ext uri="{FF2B5EF4-FFF2-40B4-BE49-F238E27FC236}">
              <a16:creationId xmlns:a16="http://schemas.microsoft.com/office/drawing/2014/main" id="{00000000-0008-0000-0000-000000010000}"/>
            </a:ext>
          </a:extLst>
        </xdr:cNvPr>
        <xdr:cNvSpPr txBox="1"/>
      </xdr:nvSpPr>
      <xdr:spPr>
        <a:xfrm>
          <a:off x="989462" y="1848908"/>
          <a:ext cx="787136"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3DB369-0594-4B07-A908-0FDB8D26A30B}" type="TxLink">
            <a:rPr lang="en-US" sz="1400" b="0" i="0" u="none" strike="noStrike">
              <a:solidFill>
                <a:schemeClr val="accent4">
                  <a:lumMod val="20000"/>
                  <a:lumOff val="80000"/>
                </a:schemeClr>
              </a:solidFill>
              <a:latin typeface="Aptos Narrow"/>
            </a:rPr>
            <a:pPr algn="ctr"/>
            <a:t>EER</a:t>
          </a:fld>
          <a:endParaRPr lang="ru-RU" sz="2400">
            <a:solidFill>
              <a:schemeClr val="accent4">
                <a:lumMod val="20000"/>
                <a:lumOff val="80000"/>
              </a:schemeClr>
            </a:solidFill>
          </a:endParaRPr>
        </a:p>
      </xdr:txBody>
    </xdr:sp>
    <xdr:clientData/>
  </xdr:twoCellAnchor>
  <xdr:twoCellAnchor>
    <xdr:from>
      <xdr:col>5</xdr:col>
      <xdr:colOff>257942</xdr:colOff>
      <xdr:row>7</xdr:row>
      <xdr:rowOff>35348</xdr:rowOff>
    </xdr:from>
    <xdr:to>
      <xdr:col>6</xdr:col>
      <xdr:colOff>435478</xdr:colOff>
      <xdr:row>9</xdr:row>
      <xdr:rowOff>17993</xdr:rowOff>
    </xdr:to>
    <xdr:sp macro="" textlink="Processing!D12">
      <xdr:nvSpPr>
        <xdr:cNvPr id="257" name="TextBox 256">
          <a:extLst>
            <a:ext uri="{FF2B5EF4-FFF2-40B4-BE49-F238E27FC236}">
              <a16:creationId xmlns:a16="http://schemas.microsoft.com/office/drawing/2014/main" id="{00000000-0008-0000-0000-000001010000}"/>
            </a:ext>
          </a:extLst>
        </xdr:cNvPr>
        <xdr:cNvSpPr txBox="1"/>
      </xdr:nvSpPr>
      <xdr:spPr>
        <a:xfrm>
          <a:off x="3305942" y="1848908"/>
          <a:ext cx="787136"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7BAC1FE-0EE0-41DB-8B17-AFBF770FB867}" type="TxLink">
            <a:rPr lang="en-US" sz="1400" b="0" i="0" u="none" strike="noStrike">
              <a:solidFill>
                <a:schemeClr val="accent4">
                  <a:lumMod val="20000"/>
                  <a:lumOff val="80000"/>
                </a:schemeClr>
              </a:solidFill>
              <a:latin typeface="Aptos Narrow"/>
              <a:ea typeface="+mn-ea"/>
              <a:cs typeface="+mn-cs"/>
            </a:rPr>
            <a:pPr marL="0" indent="0" algn="ctr"/>
            <a:t>ESR</a:t>
          </a:fld>
          <a:endParaRPr lang="ru-RU" sz="1400" b="0" i="0" u="none" strike="noStrike">
            <a:solidFill>
              <a:schemeClr val="accent4">
                <a:lumMod val="20000"/>
                <a:lumOff val="80000"/>
              </a:schemeClr>
            </a:solidFill>
            <a:latin typeface="Aptos Narrow"/>
            <a:ea typeface="+mn-ea"/>
            <a:cs typeface="+mn-cs"/>
          </a:endParaRPr>
        </a:p>
      </xdr:txBody>
    </xdr:sp>
    <xdr:clientData/>
  </xdr:twoCellAnchor>
  <xdr:twoCellAnchor>
    <xdr:from>
      <xdr:col>12</xdr:col>
      <xdr:colOff>314324</xdr:colOff>
      <xdr:row>1</xdr:row>
      <xdr:rowOff>114300</xdr:rowOff>
    </xdr:from>
    <xdr:to>
      <xdr:col>15</xdr:col>
      <xdr:colOff>287654</xdr:colOff>
      <xdr:row>6</xdr:row>
      <xdr:rowOff>99060</xdr:rowOff>
    </xdr:to>
    <xdr:sp macro="" textlink="Processing!E1">
      <xdr:nvSpPr>
        <xdr:cNvPr id="258" name="TextBox 257">
          <a:extLst>
            <a:ext uri="{FF2B5EF4-FFF2-40B4-BE49-F238E27FC236}">
              <a16:creationId xmlns:a16="http://schemas.microsoft.com/office/drawing/2014/main" id="{00000000-0008-0000-0000-000002010000}"/>
            </a:ext>
          </a:extLst>
        </xdr:cNvPr>
        <xdr:cNvSpPr txBox="1"/>
      </xdr:nvSpPr>
      <xdr:spPr>
        <a:xfrm>
          <a:off x="7629524" y="830580"/>
          <a:ext cx="1802130" cy="899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2395F04-C5C9-40B7-AF44-295ACB9607B9}" type="TxLink">
            <a:rPr lang="en-US" sz="2000" b="1" i="0" u="none" strike="noStrike">
              <a:solidFill>
                <a:schemeClr val="accent4">
                  <a:lumMod val="20000"/>
                  <a:lumOff val="80000"/>
                </a:schemeClr>
              </a:solidFill>
              <a:latin typeface="Aptos Narrow"/>
            </a:rPr>
            <a:pPr algn="r"/>
            <a:t>ABSENTEEISM RATE</a:t>
          </a:fld>
          <a:endParaRPr lang="ru-RU" sz="2800" b="1">
            <a:solidFill>
              <a:schemeClr val="accent4">
                <a:lumMod val="20000"/>
                <a:lumOff val="80000"/>
              </a:schemeClr>
            </a:solidFill>
          </a:endParaRPr>
        </a:p>
      </xdr:txBody>
    </xdr:sp>
    <xdr:clientData/>
  </xdr:twoCellAnchor>
  <xdr:twoCellAnchor>
    <xdr:from>
      <xdr:col>13</xdr:col>
      <xdr:colOff>266700</xdr:colOff>
      <xdr:row>6</xdr:row>
      <xdr:rowOff>38100</xdr:rowOff>
    </xdr:from>
    <xdr:to>
      <xdr:col>15</xdr:col>
      <xdr:colOff>287654</xdr:colOff>
      <xdr:row>8</xdr:row>
      <xdr:rowOff>129540</xdr:rowOff>
    </xdr:to>
    <xdr:sp macro="" textlink="Processing!E2">
      <xdr:nvSpPr>
        <xdr:cNvPr id="260" name="TextBox 259">
          <a:extLst>
            <a:ext uri="{FF2B5EF4-FFF2-40B4-BE49-F238E27FC236}">
              <a16:creationId xmlns:a16="http://schemas.microsoft.com/office/drawing/2014/main" id="{00000000-0008-0000-0000-000004010000}"/>
            </a:ext>
          </a:extLst>
        </xdr:cNvPr>
        <xdr:cNvSpPr txBox="1"/>
      </xdr:nvSpPr>
      <xdr:spPr>
        <a:xfrm>
          <a:off x="8191500" y="1668780"/>
          <a:ext cx="1240154" cy="45720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6A04190E-4E32-4E62-83EE-126750CDAA99}" type="TxLink">
            <a:rPr lang="en-US" sz="3600" b="1" i="0" u="none" strike="noStrike">
              <a:solidFill>
                <a:schemeClr val="accent4">
                  <a:lumMod val="20000"/>
                  <a:lumOff val="80000"/>
                </a:schemeClr>
              </a:solidFill>
              <a:latin typeface="Aptos Narrow"/>
            </a:rPr>
            <a:pPr algn="r"/>
            <a:t>35%</a:t>
          </a:fld>
          <a:endParaRPr lang="ru-RU" sz="7200" b="1">
            <a:solidFill>
              <a:schemeClr val="accent4">
                <a:lumMod val="20000"/>
                <a:lumOff val="80000"/>
              </a:schemeClr>
            </a:solidFill>
          </a:endParaRPr>
        </a:p>
      </xdr:txBody>
    </xdr:sp>
    <xdr:clientData/>
  </xdr:twoCellAnchor>
  <xdr:twoCellAnchor>
    <xdr:from>
      <xdr:col>13</xdr:col>
      <xdr:colOff>91440</xdr:colOff>
      <xdr:row>17</xdr:row>
      <xdr:rowOff>87448</xdr:rowOff>
    </xdr:from>
    <xdr:to>
      <xdr:col>15</xdr:col>
      <xdr:colOff>287654</xdr:colOff>
      <xdr:row>19</xdr:row>
      <xdr:rowOff>141153</xdr:rowOff>
    </xdr:to>
    <xdr:sp macro="" textlink="Processing!D1">
      <xdr:nvSpPr>
        <xdr:cNvPr id="262" name="TextBox 261">
          <a:extLst>
            <a:ext uri="{FF2B5EF4-FFF2-40B4-BE49-F238E27FC236}">
              <a16:creationId xmlns:a16="http://schemas.microsoft.com/office/drawing/2014/main" id="{00000000-0008-0000-0000-000006010000}"/>
            </a:ext>
          </a:extLst>
        </xdr:cNvPr>
        <xdr:cNvSpPr txBox="1"/>
      </xdr:nvSpPr>
      <xdr:spPr>
        <a:xfrm>
          <a:off x="8016240" y="3729808"/>
          <a:ext cx="1415414" cy="419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61BFAA3-1DB1-4C42-9AC6-0686125ADB06}" type="TxLink">
            <a:rPr lang="en-US" sz="1800" b="1" i="0" u="none" strike="noStrike">
              <a:solidFill>
                <a:srgbClr val="3DBEFF"/>
              </a:solidFill>
              <a:latin typeface="Aptos Narrow"/>
            </a:rPr>
            <a:pPr algn="r"/>
            <a:t>PRESENCE</a:t>
          </a:fld>
          <a:endParaRPr lang="ru-RU" sz="1800" b="1">
            <a:solidFill>
              <a:srgbClr val="3DBEFF"/>
            </a:solidFill>
          </a:endParaRPr>
        </a:p>
      </xdr:txBody>
    </xdr:sp>
    <xdr:clientData/>
  </xdr:twoCellAnchor>
  <xdr:twoCellAnchor>
    <xdr:from>
      <xdr:col>0</xdr:col>
      <xdr:colOff>314943</xdr:colOff>
      <xdr:row>12</xdr:row>
      <xdr:rowOff>157268</xdr:rowOff>
    </xdr:from>
    <xdr:to>
      <xdr:col>4</xdr:col>
      <xdr:colOff>14901</xdr:colOff>
      <xdr:row>14</xdr:row>
      <xdr:rowOff>139913</xdr:rowOff>
    </xdr:to>
    <xdr:sp macro="" textlink="Processing!H17">
      <xdr:nvSpPr>
        <xdr:cNvPr id="265" name="TextBox 264">
          <a:extLst>
            <a:ext uri="{FF2B5EF4-FFF2-40B4-BE49-F238E27FC236}">
              <a16:creationId xmlns:a16="http://schemas.microsoft.com/office/drawing/2014/main" id="{00000000-0008-0000-0000-000009010000}"/>
            </a:ext>
          </a:extLst>
        </xdr:cNvPr>
        <xdr:cNvSpPr txBox="1"/>
      </xdr:nvSpPr>
      <xdr:spPr>
        <a:xfrm>
          <a:off x="314943" y="2925868"/>
          <a:ext cx="2138358" cy="35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5F20D0-9D82-48C2-81C5-736771DAFD14}" type="TxLink">
            <a:rPr lang="en-US" sz="1400" b="0" i="0" u="none" strike="noStrike">
              <a:solidFill>
                <a:schemeClr val="accent4">
                  <a:lumMod val="20000"/>
                  <a:lumOff val="80000"/>
                </a:schemeClr>
              </a:solidFill>
              <a:latin typeface="Aptos Narrow"/>
            </a:rPr>
            <a:pPr algn="ctr"/>
            <a:t>Vacancies vs Resumes</a:t>
          </a:fld>
          <a:endParaRPr lang="ru-RU" sz="4400">
            <a:solidFill>
              <a:schemeClr val="accent4">
                <a:lumMod val="20000"/>
                <a:lumOff val="80000"/>
              </a:schemeClr>
            </a:solidFill>
          </a:endParaRPr>
        </a:p>
      </xdr:txBody>
    </xdr:sp>
    <xdr:clientData/>
  </xdr:twoCellAnchor>
  <xdr:twoCellAnchor>
    <xdr:from>
      <xdr:col>4</xdr:col>
      <xdr:colOff>393823</xdr:colOff>
      <xdr:row>12</xdr:row>
      <xdr:rowOff>157268</xdr:rowOff>
    </xdr:from>
    <xdr:to>
      <xdr:col>7</xdr:col>
      <xdr:colOff>332261</xdr:colOff>
      <xdr:row>14</xdr:row>
      <xdr:rowOff>139913</xdr:rowOff>
    </xdr:to>
    <xdr:sp macro="" textlink="Processing!D18">
      <xdr:nvSpPr>
        <xdr:cNvPr id="279" name="TextBox 278">
          <a:extLst>
            <a:ext uri="{FF2B5EF4-FFF2-40B4-BE49-F238E27FC236}">
              <a16:creationId xmlns:a16="http://schemas.microsoft.com/office/drawing/2014/main" id="{00000000-0008-0000-0000-000017010000}"/>
            </a:ext>
          </a:extLst>
        </xdr:cNvPr>
        <xdr:cNvSpPr txBox="1"/>
      </xdr:nvSpPr>
      <xdr:spPr>
        <a:xfrm>
          <a:off x="2832223" y="2885228"/>
          <a:ext cx="1767238"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36F228-CCC5-4C09-9C07-6F6BF6E02DC5}" type="TxLink">
            <a:rPr lang="en-US" sz="1400" b="0" i="0" u="none" strike="noStrike">
              <a:solidFill>
                <a:schemeClr val="accent4">
                  <a:lumMod val="20000"/>
                  <a:lumOff val="80000"/>
                </a:schemeClr>
              </a:solidFill>
              <a:latin typeface="Aptos Narrow"/>
            </a:rPr>
            <a:pPr algn="ctr"/>
            <a:t>APJO</a:t>
          </a:fld>
          <a:endParaRPr lang="ru-RU" sz="5400">
            <a:solidFill>
              <a:schemeClr val="accent4">
                <a:lumMod val="20000"/>
                <a:lumOff val="80000"/>
              </a:schemeClr>
            </a:solidFill>
          </a:endParaRPr>
        </a:p>
      </xdr:txBody>
    </xdr:sp>
    <xdr:clientData/>
  </xdr:twoCellAnchor>
  <xdr:twoCellAnchor>
    <xdr:from>
      <xdr:col>8</xdr:col>
      <xdr:colOff>272137</xdr:colOff>
      <xdr:row>21</xdr:row>
      <xdr:rowOff>58208</xdr:rowOff>
    </xdr:from>
    <xdr:to>
      <xdr:col>11</xdr:col>
      <xdr:colOff>299364</xdr:colOff>
      <xdr:row>24</xdr:row>
      <xdr:rowOff>91440</xdr:rowOff>
    </xdr:to>
    <xdr:sp macro="" textlink="Processing!D40">
      <xdr:nvSpPr>
        <xdr:cNvPr id="280" name="TextBox 279">
          <a:extLst>
            <a:ext uri="{FF2B5EF4-FFF2-40B4-BE49-F238E27FC236}">
              <a16:creationId xmlns:a16="http://schemas.microsoft.com/office/drawing/2014/main" id="{00000000-0008-0000-0000-000018010000}"/>
            </a:ext>
          </a:extLst>
        </xdr:cNvPr>
        <xdr:cNvSpPr txBox="1"/>
      </xdr:nvSpPr>
      <xdr:spPr>
        <a:xfrm>
          <a:off x="5148937" y="4432088"/>
          <a:ext cx="1856027" cy="58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F7B42B-4714-48CE-BD7F-1F19459E7060}" type="TxLink">
            <a:rPr lang="en-US" sz="1400" b="0" i="0" u="none" strike="noStrike">
              <a:solidFill>
                <a:schemeClr val="accent4">
                  <a:lumMod val="20000"/>
                  <a:lumOff val="80000"/>
                </a:schemeClr>
              </a:solidFill>
              <a:latin typeface="Aptos Narrow"/>
            </a:rPr>
            <a:pPr algn="ctr"/>
            <a:t> Top 3 Employee Productivity</a:t>
          </a:fld>
          <a:endParaRPr lang="ru-RU" sz="2400">
            <a:solidFill>
              <a:schemeClr val="accent4">
                <a:lumMod val="20000"/>
                <a:lumOff val="80000"/>
              </a:schemeClr>
            </a:solidFill>
          </a:endParaRPr>
        </a:p>
      </xdr:txBody>
    </xdr:sp>
    <xdr:clientData/>
  </xdr:twoCellAnchor>
  <xdr:twoCellAnchor>
    <xdr:from>
      <xdr:col>9</xdr:col>
      <xdr:colOff>172865</xdr:colOff>
      <xdr:row>27</xdr:row>
      <xdr:rowOff>92460</xdr:rowOff>
    </xdr:from>
    <xdr:to>
      <xdr:col>10</xdr:col>
      <xdr:colOff>429115</xdr:colOff>
      <xdr:row>29</xdr:row>
      <xdr:rowOff>163869</xdr:rowOff>
    </xdr:to>
    <xdr:sp macro="" textlink="Processing!D48">
      <xdr:nvSpPr>
        <xdr:cNvPr id="281" name="TextBox 280">
          <a:extLst>
            <a:ext uri="{FF2B5EF4-FFF2-40B4-BE49-F238E27FC236}">
              <a16:creationId xmlns:a16="http://schemas.microsoft.com/office/drawing/2014/main" id="{00000000-0008-0000-0000-000019010000}"/>
            </a:ext>
          </a:extLst>
        </xdr:cNvPr>
        <xdr:cNvSpPr txBox="1"/>
      </xdr:nvSpPr>
      <xdr:spPr>
        <a:xfrm>
          <a:off x="5659265" y="5563620"/>
          <a:ext cx="865850" cy="437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E25666-D120-479A-8605-2F8A5BBB664D}" type="TxLink">
            <a:rPr lang="en-US" sz="2400" b="0" i="0" u="none" strike="noStrike">
              <a:solidFill>
                <a:schemeClr val="accent4">
                  <a:lumMod val="20000"/>
                  <a:lumOff val="80000"/>
                </a:schemeClr>
              </a:solidFill>
              <a:latin typeface="Aptos Narrow"/>
            </a:rPr>
            <a:pPr algn="ctr"/>
            <a:t>50%</a:t>
          </a:fld>
          <a:endParaRPr lang="ru-RU" sz="4800">
            <a:solidFill>
              <a:schemeClr val="accent4">
                <a:lumMod val="20000"/>
                <a:lumOff val="80000"/>
              </a:schemeClr>
            </a:solidFill>
          </a:endParaRPr>
        </a:p>
      </xdr:txBody>
    </xdr:sp>
    <xdr:clientData/>
  </xdr:twoCellAnchor>
  <xdr:twoCellAnchor>
    <xdr:from>
      <xdr:col>9</xdr:col>
      <xdr:colOff>172865</xdr:colOff>
      <xdr:row>28</xdr:row>
      <xdr:rowOff>161040</xdr:rowOff>
    </xdr:from>
    <xdr:to>
      <xdr:col>10</xdr:col>
      <xdr:colOff>429115</xdr:colOff>
      <xdr:row>31</xdr:row>
      <xdr:rowOff>49569</xdr:rowOff>
    </xdr:to>
    <xdr:sp macro="" textlink="Processing!D47">
      <xdr:nvSpPr>
        <xdr:cNvPr id="282" name="TextBox 281">
          <a:extLst>
            <a:ext uri="{FF2B5EF4-FFF2-40B4-BE49-F238E27FC236}">
              <a16:creationId xmlns:a16="http://schemas.microsoft.com/office/drawing/2014/main" id="{00000000-0008-0000-0000-00001A010000}"/>
            </a:ext>
          </a:extLst>
        </xdr:cNvPr>
        <xdr:cNvSpPr txBox="1"/>
      </xdr:nvSpPr>
      <xdr:spPr>
        <a:xfrm>
          <a:off x="5659265" y="5815080"/>
          <a:ext cx="865850" cy="437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F3D09F-CA73-422E-BF8A-CBF99112A8C4}" type="TxLink">
            <a:rPr lang="en-US" sz="1100" b="0" i="0" u="none" strike="noStrike">
              <a:solidFill>
                <a:schemeClr val="accent4">
                  <a:lumMod val="20000"/>
                  <a:lumOff val="80000"/>
                </a:schemeClr>
              </a:solidFill>
              <a:latin typeface="Aptos Narrow"/>
            </a:rPr>
            <a:pPr algn="ctr"/>
            <a:t>AVERAGE</a:t>
          </a:fld>
          <a:endParaRPr lang="ru-RU" sz="4800">
            <a:solidFill>
              <a:schemeClr val="accent4">
                <a:lumMod val="20000"/>
                <a:lumOff val="80000"/>
              </a:schemeClr>
            </a:solidFill>
          </a:endParaRPr>
        </a:p>
      </xdr:txBody>
    </xdr:sp>
    <xdr:clientData/>
  </xdr:twoCellAnchor>
  <xdr:twoCellAnchor>
    <xdr:from>
      <xdr:col>11</xdr:col>
      <xdr:colOff>274320</xdr:colOff>
      <xdr:row>19</xdr:row>
      <xdr:rowOff>121919</xdr:rowOff>
    </xdr:from>
    <xdr:to>
      <xdr:col>17</xdr:col>
      <xdr:colOff>35120</xdr:colOff>
      <xdr:row>38</xdr:row>
      <xdr:rowOff>87288</xdr:rowOff>
    </xdr:to>
    <xdr:graphicFrame macro="">
      <xdr:nvGraphicFramePr>
        <xdr:cNvPr id="283" name="Chart 282">
          <a:extLst>
            <a:ext uri="{FF2B5EF4-FFF2-40B4-BE49-F238E27FC236}">
              <a16:creationId xmlns:a16="http://schemas.microsoft.com/office/drawing/2014/main" id="{00000000-0008-0000-0000-00001B01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xdr:col>
      <xdr:colOff>327660</xdr:colOff>
      <xdr:row>21</xdr:row>
      <xdr:rowOff>58208</xdr:rowOff>
    </xdr:from>
    <xdr:to>
      <xdr:col>15</xdr:col>
      <xdr:colOff>146964</xdr:colOff>
      <xdr:row>24</xdr:row>
      <xdr:rowOff>91440</xdr:rowOff>
    </xdr:to>
    <xdr:sp macro="" textlink="Processing!L29">
      <xdr:nvSpPr>
        <xdr:cNvPr id="284" name="TextBox 283">
          <a:extLst>
            <a:ext uri="{FF2B5EF4-FFF2-40B4-BE49-F238E27FC236}">
              <a16:creationId xmlns:a16="http://schemas.microsoft.com/office/drawing/2014/main" id="{00000000-0008-0000-0000-00001C010000}"/>
            </a:ext>
          </a:extLst>
        </xdr:cNvPr>
        <xdr:cNvSpPr txBox="1"/>
      </xdr:nvSpPr>
      <xdr:spPr>
        <a:xfrm>
          <a:off x="7642860" y="4432088"/>
          <a:ext cx="1648104" cy="58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A6C85D0-5CB3-46A9-BA09-17CF80193995}" type="TxLink">
            <a:rPr lang="en-US" sz="1400" b="0" i="0" u="none" strike="noStrike">
              <a:solidFill>
                <a:schemeClr val="accent4">
                  <a:lumMod val="20000"/>
                  <a:lumOff val="80000"/>
                </a:schemeClr>
              </a:solidFill>
              <a:latin typeface="Aptos Narrow"/>
              <a:ea typeface="+mn-ea"/>
              <a:cs typeface="+mn-cs"/>
            </a:rPr>
            <a:pPr marL="0" indent="0" algn="ctr"/>
            <a:t>Top 3 KPI Achievement</a:t>
          </a:fld>
          <a:endParaRPr lang="ru-RU" sz="1400" b="0" i="0" u="none" strike="noStrike">
            <a:solidFill>
              <a:schemeClr val="accent4">
                <a:lumMod val="20000"/>
                <a:lumOff val="80000"/>
              </a:schemeClr>
            </a:solidFill>
            <a:latin typeface="Aptos Narrow"/>
            <a:ea typeface="+mn-ea"/>
            <a:cs typeface="+mn-cs"/>
          </a:endParaRPr>
        </a:p>
      </xdr:txBody>
    </xdr:sp>
    <xdr:clientData/>
  </xdr:twoCellAnchor>
  <xdr:twoCellAnchor>
    <xdr:from>
      <xdr:col>19</xdr:col>
      <xdr:colOff>116943</xdr:colOff>
      <xdr:row>15</xdr:row>
      <xdr:rowOff>127061</xdr:rowOff>
    </xdr:from>
    <xdr:to>
      <xdr:col>20</xdr:col>
      <xdr:colOff>111657</xdr:colOff>
      <xdr:row>17</xdr:row>
      <xdr:rowOff>116779</xdr:rowOff>
    </xdr:to>
    <xdr:sp macro="" textlink="Processing!Q18">
      <xdr:nvSpPr>
        <xdr:cNvPr id="285" name="TextBox 284">
          <a:extLst>
            <a:ext uri="{FF2B5EF4-FFF2-40B4-BE49-F238E27FC236}">
              <a16:creationId xmlns:a16="http://schemas.microsoft.com/office/drawing/2014/main" id="{00000000-0008-0000-0000-00001D010000}"/>
            </a:ext>
          </a:extLst>
        </xdr:cNvPr>
        <xdr:cNvSpPr txBox="1"/>
      </xdr:nvSpPr>
      <xdr:spPr>
        <a:xfrm>
          <a:off x="11699343" y="3403661"/>
          <a:ext cx="604314" cy="35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D06E3E-429F-446E-9758-674C731FFE9E}" type="TxLink">
            <a:rPr lang="en-US" sz="1100" b="0" i="0" u="none" strike="noStrike">
              <a:solidFill>
                <a:sysClr val="windowText" lastClr="000000"/>
              </a:solidFill>
              <a:latin typeface="Aptos Narrow"/>
            </a:rPr>
            <a:pPr algn="ctr"/>
            <a:t>60%</a:t>
          </a:fld>
          <a:endParaRPr lang="ru-RU" sz="1200" b="1">
            <a:solidFill>
              <a:sysClr val="windowText" lastClr="000000"/>
            </a:solidFill>
          </a:endParaRPr>
        </a:p>
      </xdr:txBody>
    </xdr:sp>
    <xdr:clientData/>
  </xdr:twoCellAnchor>
  <xdr:twoCellAnchor>
    <xdr:from>
      <xdr:col>19</xdr:col>
      <xdr:colOff>116943</xdr:colOff>
      <xdr:row>15</xdr:row>
      <xdr:rowOff>127061</xdr:rowOff>
    </xdr:from>
    <xdr:to>
      <xdr:col>20</xdr:col>
      <xdr:colOff>111657</xdr:colOff>
      <xdr:row>17</xdr:row>
      <xdr:rowOff>116779</xdr:rowOff>
    </xdr:to>
    <xdr:sp macro="" textlink="Processing!R18">
      <xdr:nvSpPr>
        <xdr:cNvPr id="286" name="TextBox 285">
          <a:extLst>
            <a:ext uri="{FF2B5EF4-FFF2-40B4-BE49-F238E27FC236}">
              <a16:creationId xmlns:a16="http://schemas.microsoft.com/office/drawing/2014/main" id="{00000000-0008-0000-0000-00001E010000}"/>
            </a:ext>
          </a:extLst>
        </xdr:cNvPr>
        <xdr:cNvSpPr txBox="1"/>
      </xdr:nvSpPr>
      <xdr:spPr>
        <a:xfrm>
          <a:off x="11699343" y="3403661"/>
          <a:ext cx="604314" cy="35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12267A-A0FB-4CFF-81FF-D8BE9045507D}" type="TxLink">
            <a:rPr lang="en-US" sz="1100" b="0" i="0" u="none" strike="noStrike">
              <a:solidFill>
                <a:schemeClr val="tx1">
                  <a:lumMod val="50000"/>
                  <a:lumOff val="50000"/>
                </a:schemeClr>
              </a:solidFill>
              <a:latin typeface="Aptos Narrow"/>
            </a:rPr>
            <a:pPr algn="ctr"/>
            <a:t> </a:t>
          </a:fld>
          <a:endParaRPr lang="ru-RU" sz="1200" b="1">
            <a:solidFill>
              <a:schemeClr val="tx1">
                <a:lumMod val="50000"/>
                <a:lumOff val="50000"/>
              </a:schemeClr>
            </a:solidFill>
          </a:endParaRPr>
        </a:p>
      </xdr:txBody>
    </xdr:sp>
    <xdr:clientData/>
  </xdr:twoCellAnchor>
  <xdr:twoCellAnchor>
    <xdr:from>
      <xdr:col>19</xdr:col>
      <xdr:colOff>116943</xdr:colOff>
      <xdr:row>17</xdr:row>
      <xdr:rowOff>165161</xdr:rowOff>
    </xdr:from>
    <xdr:to>
      <xdr:col>20</xdr:col>
      <xdr:colOff>111657</xdr:colOff>
      <xdr:row>19</xdr:row>
      <xdr:rowOff>154879</xdr:rowOff>
    </xdr:to>
    <xdr:sp macro="" textlink="Processing!Q19">
      <xdr:nvSpPr>
        <xdr:cNvPr id="1026" name="TextBox 1025">
          <a:extLst>
            <a:ext uri="{FF2B5EF4-FFF2-40B4-BE49-F238E27FC236}">
              <a16:creationId xmlns:a16="http://schemas.microsoft.com/office/drawing/2014/main" id="{00000000-0008-0000-0000-000002040000}"/>
            </a:ext>
          </a:extLst>
        </xdr:cNvPr>
        <xdr:cNvSpPr txBox="1"/>
      </xdr:nvSpPr>
      <xdr:spPr>
        <a:xfrm>
          <a:off x="11699343" y="3807521"/>
          <a:ext cx="604314" cy="35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4F4950-71FF-43CE-BCF9-D838013E7678}" type="TxLink">
            <a:rPr lang="en-US" sz="1100" b="0" i="0" u="none" strike="noStrike">
              <a:solidFill>
                <a:sysClr val="windowText" lastClr="000000"/>
              </a:solidFill>
              <a:latin typeface="Aptos Narrow"/>
            </a:rPr>
            <a:pPr algn="ctr"/>
            <a:t>59%</a:t>
          </a:fld>
          <a:endParaRPr lang="ru-RU" sz="1200" b="1">
            <a:solidFill>
              <a:sysClr val="windowText" lastClr="000000"/>
            </a:solidFill>
          </a:endParaRPr>
        </a:p>
      </xdr:txBody>
    </xdr:sp>
    <xdr:clientData/>
  </xdr:twoCellAnchor>
  <xdr:twoCellAnchor>
    <xdr:from>
      <xdr:col>19</xdr:col>
      <xdr:colOff>116943</xdr:colOff>
      <xdr:row>17</xdr:row>
      <xdr:rowOff>165161</xdr:rowOff>
    </xdr:from>
    <xdr:to>
      <xdr:col>20</xdr:col>
      <xdr:colOff>111657</xdr:colOff>
      <xdr:row>19</xdr:row>
      <xdr:rowOff>154879</xdr:rowOff>
    </xdr:to>
    <xdr:sp macro="" textlink="Processing!R19">
      <xdr:nvSpPr>
        <xdr:cNvPr id="1027" name="TextBox 1026">
          <a:extLst>
            <a:ext uri="{FF2B5EF4-FFF2-40B4-BE49-F238E27FC236}">
              <a16:creationId xmlns:a16="http://schemas.microsoft.com/office/drawing/2014/main" id="{00000000-0008-0000-0000-000003040000}"/>
            </a:ext>
          </a:extLst>
        </xdr:cNvPr>
        <xdr:cNvSpPr txBox="1"/>
      </xdr:nvSpPr>
      <xdr:spPr>
        <a:xfrm>
          <a:off x="11699343" y="3807521"/>
          <a:ext cx="604314" cy="35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5A68C5-7C7E-4AA7-A543-AA0E398B1994}" type="TxLink">
            <a:rPr lang="en-US" sz="1100" b="0" i="0" u="none" strike="noStrike">
              <a:solidFill>
                <a:schemeClr val="tx1">
                  <a:lumMod val="50000"/>
                  <a:lumOff val="50000"/>
                </a:schemeClr>
              </a:solidFill>
              <a:latin typeface="Aptos Narrow"/>
            </a:rPr>
            <a:pPr algn="ctr"/>
            <a:t> </a:t>
          </a:fld>
          <a:endParaRPr lang="ru-RU" sz="1200" b="1">
            <a:solidFill>
              <a:schemeClr val="tx1">
                <a:lumMod val="50000"/>
                <a:lumOff val="50000"/>
              </a:schemeClr>
            </a:solidFill>
          </a:endParaRPr>
        </a:p>
      </xdr:txBody>
    </xdr:sp>
    <xdr:clientData/>
  </xdr:twoCellAnchor>
  <xdr:twoCellAnchor>
    <xdr:from>
      <xdr:col>19</xdr:col>
      <xdr:colOff>116943</xdr:colOff>
      <xdr:row>20</xdr:row>
      <xdr:rowOff>35621</xdr:rowOff>
    </xdr:from>
    <xdr:to>
      <xdr:col>20</xdr:col>
      <xdr:colOff>111657</xdr:colOff>
      <xdr:row>22</xdr:row>
      <xdr:rowOff>25339</xdr:rowOff>
    </xdr:to>
    <xdr:sp macro="" textlink="Processing!Q20">
      <xdr:nvSpPr>
        <xdr:cNvPr id="1028" name="TextBox 1027">
          <a:extLst>
            <a:ext uri="{FF2B5EF4-FFF2-40B4-BE49-F238E27FC236}">
              <a16:creationId xmlns:a16="http://schemas.microsoft.com/office/drawing/2014/main" id="{00000000-0008-0000-0000-000004040000}"/>
            </a:ext>
          </a:extLst>
        </xdr:cNvPr>
        <xdr:cNvSpPr txBox="1"/>
      </xdr:nvSpPr>
      <xdr:spPr>
        <a:xfrm>
          <a:off x="11699343" y="4226621"/>
          <a:ext cx="604314" cy="35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95FFA4-9632-430C-ACAF-76F4010BA26A}" type="TxLink">
            <a:rPr lang="en-US" sz="1100" b="0" i="0" u="none" strike="noStrike">
              <a:solidFill>
                <a:sysClr val="windowText" lastClr="000000"/>
              </a:solidFill>
              <a:latin typeface="Aptos Narrow"/>
            </a:rPr>
            <a:pPr algn="ctr"/>
            <a:t>53%</a:t>
          </a:fld>
          <a:endParaRPr lang="ru-RU" sz="1200" b="1">
            <a:solidFill>
              <a:sysClr val="windowText" lastClr="000000"/>
            </a:solidFill>
          </a:endParaRPr>
        </a:p>
      </xdr:txBody>
    </xdr:sp>
    <xdr:clientData/>
  </xdr:twoCellAnchor>
  <xdr:twoCellAnchor>
    <xdr:from>
      <xdr:col>19</xdr:col>
      <xdr:colOff>116943</xdr:colOff>
      <xdr:row>20</xdr:row>
      <xdr:rowOff>35621</xdr:rowOff>
    </xdr:from>
    <xdr:to>
      <xdr:col>20</xdr:col>
      <xdr:colOff>111657</xdr:colOff>
      <xdr:row>22</xdr:row>
      <xdr:rowOff>25339</xdr:rowOff>
    </xdr:to>
    <xdr:sp macro="" textlink="Processing!R20">
      <xdr:nvSpPr>
        <xdr:cNvPr id="1029" name="TextBox 1028">
          <a:extLst>
            <a:ext uri="{FF2B5EF4-FFF2-40B4-BE49-F238E27FC236}">
              <a16:creationId xmlns:a16="http://schemas.microsoft.com/office/drawing/2014/main" id="{00000000-0008-0000-0000-000005040000}"/>
            </a:ext>
          </a:extLst>
        </xdr:cNvPr>
        <xdr:cNvSpPr txBox="1"/>
      </xdr:nvSpPr>
      <xdr:spPr>
        <a:xfrm>
          <a:off x="11699343" y="4226621"/>
          <a:ext cx="604314" cy="35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A378EA-0A9F-48A9-A35F-063F9B982DE7}" type="TxLink">
            <a:rPr lang="en-US" sz="1100" b="0" i="0" u="none" strike="noStrike">
              <a:solidFill>
                <a:schemeClr val="tx1">
                  <a:lumMod val="50000"/>
                  <a:lumOff val="50000"/>
                </a:schemeClr>
              </a:solidFill>
              <a:latin typeface="Aptos Narrow"/>
            </a:rPr>
            <a:pPr algn="ctr"/>
            <a:t> </a:t>
          </a:fld>
          <a:endParaRPr lang="ru-RU" sz="1200" b="1">
            <a:solidFill>
              <a:schemeClr val="tx1">
                <a:lumMod val="50000"/>
                <a:lumOff val="50000"/>
              </a:schemeClr>
            </a:solidFill>
          </a:endParaRPr>
        </a:p>
      </xdr:txBody>
    </xdr:sp>
    <xdr:clientData/>
  </xdr:twoCellAnchor>
  <xdr:twoCellAnchor>
    <xdr:from>
      <xdr:col>4</xdr:col>
      <xdr:colOff>439543</xdr:colOff>
      <xdr:row>23</xdr:row>
      <xdr:rowOff>181821</xdr:rowOff>
    </xdr:from>
    <xdr:to>
      <xdr:col>7</xdr:col>
      <xdr:colOff>377981</xdr:colOff>
      <xdr:row>25</xdr:row>
      <xdr:rowOff>161079</xdr:rowOff>
    </xdr:to>
    <xdr:sp macro="" textlink="Processing!C28">
      <xdr:nvSpPr>
        <xdr:cNvPr id="1024" name="TextBox 1023">
          <a:extLst>
            <a:ext uri="{FF2B5EF4-FFF2-40B4-BE49-F238E27FC236}">
              <a16:creationId xmlns:a16="http://schemas.microsoft.com/office/drawing/2014/main" id="{FE371923-D62D-27DD-C875-7F319AD6C94F}"/>
            </a:ext>
          </a:extLst>
        </xdr:cNvPr>
        <xdr:cNvSpPr txBox="1"/>
      </xdr:nvSpPr>
      <xdr:spPr>
        <a:xfrm>
          <a:off x="2877943" y="4999354"/>
          <a:ext cx="1767238" cy="351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C24554-D838-4AFC-97AC-76A0EEA1AE0C}" type="TxLink">
            <a:rPr lang="en-US" sz="1400" b="0" i="0" u="none" strike="noStrike">
              <a:solidFill>
                <a:schemeClr val="accent4">
                  <a:lumMod val="20000"/>
                  <a:lumOff val="80000"/>
                </a:schemeClr>
              </a:solidFill>
              <a:latin typeface="Aptos Narrow"/>
            </a:rPr>
            <a:pPr algn="ctr"/>
            <a:t>Interviews</a:t>
          </a:fld>
          <a:endParaRPr lang="ru-RU" sz="6600">
            <a:solidFill>
              <a:schemeClr val="accent4">
                <a:lumMod val="20000"/>
                <a:lumOff val="80000"/>
              </a:schemeClr>
            </a:solidFill>
          </a:endParaRPr>
        </a:p>
      </xdr:txBody>
    </xdr:sp>
    <xdr:clientData/>
  </xdr:twoCellAnchor>
  <xdr:twoCellAnchor>
    <xdr:from>
      <xdr:col>16</xdr:col>
      <xdr:colOff>173077</xdr:colOff>
      <xdr:row>24</xdr:row>
      <xdr:rowOff>27728</xdr:rowOff>
    </xdr:from>
    <xdr:to>
      <xdr:col>19</xdr:col>
      <xdr:colOff>200304</xdr:colOff>
      <xdr:row>26</xdr:row>
      <xdr:rowOff>10373</xdr:rowOff>
    </xdr:to>
    <xdr:sp macro="" textlink="Processing!K1">
      <xdr:nvSpPr>
        <xdr:cNvPr id="1030" name="TextBox 1029">
          <a:extLst>
            <a:ext uri="{FF2B5EF4-FFF2-40B4-BE49-F238E27FC236}">
              <a16:creationId xmlns:a16="http://schemas.microsoft.com/office/drawing/2014/main" id="{ECC1A993-07A8-25C6-5125-9A46DEF09927}"/>
            </a:ext>
          </a:extLst>
        </xdr:cNvPr>
        <xdr:cNvSpPr txBox="1"/>
      </xdr:nvSpPr>
      <xdr:spPr>
        <a:xfrm>
          <a:off x="9926677" y="4950248"/>
          <a:ext cx="1856027"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61A680-A7BF-425F-A641-108F97FF2AC2}" type="TxLink">
            <a:rPr lang="en-US" sz="1400" b="0" i="0" u="none" strike="noStrike">
              <a:solidFill>
                <a:schemeClr val="accent4">
                  <a:lumMod val="20000"/>
                  <a:lumOff val="80000"/>
                </a:schemeClr>
              </a:solidFill>
              <a:latin typeface="Aptos Narrow"/>
            </a:rPr>
            <a:pPr algn="ctr"/>
            <a:t>Employee Turnover</a:t>
          </a:fld>
          <a:endParaRPr lang="ru-RU" sz="2400">
            <a:solidFill>
              <a:schemeClr val="accent4">
                <a:lumMod val="20000"/>
                <a:lumOff val="80000"/>
              </a:schemeClr>
            </a:solidFill>
          </a:endParaRPr>
        </a:p>
      </xdr:txBody>
    </xdr:sp>
    <xdr:clientData/>
  </xdr:twoCellAnchor>
  <xdr:twoCellAnchor>
    <xdr:from>
      <xdr:col>16</xdr:col>
      <xdr:colOff>396240</xdr:colOff>
      <xdr:row>14</xdr:row>
      <xdr:rowOff>53340</xdr:rowOff>
    </xdr:from>
    <xdr:to>
      <xdr:col>16</xdr:col>
      <xdr:colOff>487680</xdr:colOff>
      <xdr:row>14</xdr:row>
      <xdr:rowOff>144780</xdr:rowOff>
    </xdr:to>
    <xdr:sp macro="" textlink="">
      <xdr:nvSpPr>
        <xdr:cNvPr id="1031" name="Oval 1030">
          <a:extLst>
            <a:ext uri="{FF2B5EF4-FFF2-40B4-BE49-F238E27FC236}">
              <a16:creationId xmlns:a16="http://schemas.microsoft.com/office/drawing/2014/main" id="{64EE353A-FE83-86BB-07A6-0926943A41D6}"/>
            </a:ext>
          </a:extLst>
        </xdr:cNvPr>
        <xdr:cNvSpPr/>
      </xdr:nvSpPr>
      <xdr:spPr>
        <a:xfrm>
          <a:off x="10149840" y="3147060"/>
          <a:ext cx="91440" cy="91440"/>
        </a:xfrm>
        <a:prstGeom prst="ellipse">
          <a:avLst/>
        </a:prstGeom>
        <a:gradFill>
          <a:gsLst>
            <a:gs pos="0">
              <a:srgbClr val="782BDB"/>
            </a:gs>
            <a:gs pos="100000">
              <a:srgbClr val="FF00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493117</xdr:colOff>
      <xdr:row>13</xdr:row>
      <xdr:rowOff>96308</xdr:rowOff>
    </xdr:from>
    <xdr:to>
      <xdr:col>18</xdr:col>
      <xdr:colOff>480060</xdr:colOff>
      <xdr:row>15</xdr:row>
      <xdr:rowOff>78953</xdr:rowOff>
    </xdr:to>
    <xdr:sp macro="" textlink="Processing!L18">
      <xdr:nvSpPr>
        <xdr:cNvPr id="1032" name="TextBox 1031">
          <a:extLst>
            <a:ext uri="{FF2B5EF4-FFF2-40B4-BE49-F238E27FC236}">
              <a16:creationId xmlns:a16="http://schemas.microsoft.com/office/drawing/2014/main" id="{738D2832-3598-4D2C-04D7-40B80487C799}"/>
            </a:ext>
          </a:extLst>
        </xdr:cNvPr>
        <xdr:cNvSpPr txBox="1"/>
      </xdr:nvSpPr>
      <xdr:spPr>
        <a:xfrm>
          <a:off x="10246717" y="3007148"/>
          <a:ext cx="1206143"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0A979EA-EE58-4B5D-8BB9-97859C121E6C}" type="TxLink">
            <a:rPr lang="en-US" sz="1200" b="0" i="0" u="none" strike="noStrike">
              <a:solidFill>
                <a:schemeClr val="accent4">
                  <a:lumMod val="20000"/>
                  <a:lumOff val="80000"/>
                </a:schemeClr>
              </a:solidFill>
              <a:latin typeface="Aptos Narrow"/>
            </a:rPr>
            <a:pPr algn="l"/>
            <a:t>Filling Vacancies</a:t>
          </a:fld>
          <a:endParaRPr lang="ru-RU" sz="2000">
            <a:solidFill>
              <a:schemeClr val="accent4">
                <a:lumMod val="20000"/>
                <a:lumOff val="80000"/>
              </a:schemeClr>
            </a:solidFill>
          </a:endParaRPr>
        </a:p>
      </xdr:txBody>
    </xdr:sp>
    <xdr:clientData/>
  </xdr:twoCellAnchor>
  <xdr:twoCellAnchor>
    <xdr:from>
      <xdr:col>19</xdr:col>
      <xdr:colOff>355957</xdr:colOff>
      <xdr:row>13</xdr:row>
      <xdr:rowOff>96308</xdr:rowOff>
    </xdr:from>
    <xdr:to>
      <xdr:col>21</xdr:col>
      <xdr:colOff>342900</xdr:colOff>
      <xdr:row>15</xdr:row>
      <xdr:rowOff>78953</xdr:rowOff>
    </xdr:to>
    <xdr:sp macro="" textlink="Processing!L19">
      <xdr:nvSpPr>
        <xdr:cNvPr id="1033" name="TextBox 1032">
          <a:extLst>
            <a:ext uri="{FF2B5EF4-FFF2-40B4-BE49-F238E27FC236}">
              <a16:creationId xmlns:a16="http://schemas.microsoft.com/office/drawing/2014/main" id="{6D7D85F6-4E8B-0B75-27DC-EF58411C7D7F}"/>
            </a:ext>
          </a:extLst>
        </xdr:cNvPr>
        <xdr:cNvSpPr txBox="1"/>
      </xdr:nvSpPr>
      <xdr:spPr>
        <a:xfrm>
          <a:off x="11938357" y="3007148"/>
          <a:ext cx="1206143"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DAAF2C2-C524-4FE9-97D6-4986237B772B}" type="TxLink">
            <a:rPr lang="en-US" sz="1200" b="0" i="0" u="none" strike="noStrike">
              <a:solidFill>
                <a:schemeClr val="accent4">
                  <a:lumMod val="20000"/>
                  <a:lumOff val="80000"/>
                </a:schemeClr>
              </a:solidFill>
              <a:latin typeface="Aptos Narrow"/>
            </a:rPr>
            <a:pPr algn="l"/>
            <a:t>Adaptation</a:t>
          </a:fld>
          <a:endParaRPr lang="ru-RU" sz="2400">
            <a:solidFill>
              <a:schemeClr val="accent4">
                <a:lumMod val="20000"/>
                <a:lumOff val="80000"/>
              </a:schemeClr>
            </a:solidFill>
          </a:endParaRPr>
        </a:p>
      </xdr:txBody>
    </xdr:sp>
    <xdr:clientData/>
  </xdr:twoCellAnchor>
  <xdr:twoCellAnchor>
    <xdr:from>
      <xdr:col>21</xdr:col>
      <xdr:colOff>355957</xdr:colOff>
      <xdr:row>13</xdr:row>
      <xdr:rowOff>96308</xdr:rowOff>
    </xdr:from>
    <xdr:to>
      <xdr:col>23</xdr:col>
      <xdr:colOff>152400</xdr:colOff>
      <xdr:row>15</xdr:row>
      <xdr:rowOff>78953</xdr:rowOff>
    </xdr:to>
    <xdr:sp macro="" textlink="Processing!L20">
      <xdr:nvSpPr>
        <xdr:cNvPr id="1034" name="TextBox 1033">
          <a:extLst>
            <a:ext uri="{FF2B5EF4-FFF2-40B4-BE49-F238E27FC236}">
              <a16:creationId xmlns:a16="http://schemas.microsoft.com/office/drawing/2014/main" id="{D6DADAE5-49B3-1CAA-A034-2DBE7046DBD1}"/>
            </a:ext>
          </a:extLst>
        </xdr:cNvPr>
        <xdr:cNvSpPr txBox="1"/>
      </xdr:nvSpPr>
      <xdr:spPr>
        <a:xfrm>
          <a:off x="13157557" y="3007148"/>
          <a:ext cx="1015643" cy="348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18C1509-1545-4B86-AE50-B074DFF83504}" type="TxLink">
            <a:rPr lang="en-US" sz="1200" b="0" i="0" u="none" strike="noStrike">
              <a:solidFill>
                <a:schemeClr val="accent4">
                  <a:lumMod val="20000"/>
                  <a:lumOff val="80000"/>
                </a:schemeClr>
              </a:solidFill>
              <a:latin typeface="Aptos Narrow"/>
            </a:rPr>
            <a:pPr algn="l"/>
            <a:t>Education</a:t>
          </a:fld>
          <a:endParaRPr lang="ru-RU" sz="2800">
            <a:solidFill>
              <a:schemeClr val="accent4">
                <a:lumMod val="20000"/>
                <a:lumOff val="80000"/>
              </a:schemeClr>
            </a:solidFill>
          </a:endParaRPr>
        </a:p>
      </xdr:txBody>
    </xdr:sp>
    <xdr:clientData/>
  </xdr:twoCellAnchor>
  <xdr:twoCellAnchor>
    <xdr:from>
      <xdr:col>19</xdr:col>
      <xdr:colOff>266700</xdr:colOff>
      <xdr:row>14</xdr:row>
      <xdr:rowOff>53340</xdr:rowOff>
    </xdr:from>
    <xdr:to>
      <xdr:col>19</xdr:col>
      <xdr:colOff>358140</xdr:colOff>
      <xdr:row>14</xdr:row>
      <xdr:rowOff>144780</xdr:rowOff>
    </xdr:to>
    <xdr:sp macro="" textlink="">
      <xdr:nvSpPr>
        <xdr:cNvPr id="1035" name="Oval 1034">
          <a:extLst>
            <a:ext uri="{FF2B5EF4-FFF2-40B4-BE49-F238E27FC236}">
              <a16:creationId xmlns:a16="http://schemas.microsoft.com/office/drawing/2014/main" id="{E1330A5F-73CC-A5C9-8C89-4E7C0AB39DAC}"/>
            </a:ext>
          </a:extLst>
        </xdr:cNvPr>
        <xdr:cNvSpPr/>
      </xdr:nvSpPr>
      <xdr:spPr>
        <a:xfrm>
          <a:off x="11849100" y="3147060"/>
          <a:ext cx="91440" cy="91440"/>
        </a:xfrm>
        <a:prstGeom prst="ellipse">
          <a:avLst/>
        </a:prstGeom>
        <a:gradFill>
          <a:gsLst>
            <a:gs pos="0">
              <a:srgbClr val="29D85F"/>
            </a:gs>
            <a:gs pos="100000">
              <a:srgbClr val="09DBAC"/>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251460</xdr:colOff>
      <xdr:row>14</xdr:row>
      <xdr:rowOff>53340</xdr:rowOff>
    </xdr:from>
    <xdr:to>
      <xdr:col>21</xdr:col>
      <xdr:colOff>342900</xdr:colOff>
      <xdr:row>14</xdr:row>
      <xdr:rowOff>144780</xdr:rowOff>
    </xdr:to>
    <xdr:sp macro="" textlink="">
      <xdr:nvSpPr>
        <xdr:cNvPr id="1036" name="Oval 1035">
          <a:extLst>
            <a:ext uri="{FF2B5EF4-FFF2-40B4-BE49-F238E27FC236}">
              <a16:creationId xmlns:a16="http://schemas.microsoft.com/office/drawing/2014/main" id="{DDEDF49D-AA57-5C90-4A79-D5069258AB98}"/>
            </a:ext>
          </a:extLst>
        </xdr:cNvPr>
        <xdr:cNvSpPr/>
      </xdr:nvSpPr>
      <xdr:spPr>
        <a:xfrm>
          <a:off x="13053060" y="3147060"/>
          <a:ext cx="91440" cy="91440"/>
        </a:xfrm>
        <a:prstGeom prst="ellipse">
          <a:avLst/>
        </a:prstGeom>
        <a:gradFill>
          <a:gsLst>
            <a:gs pos="100000">
              <a:srgbClr val="F85C23"/>
            </a:gs>
            <a:gs pos="0">
              <a:srgbClr val="D1179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oneCellAnchor>
    <xdr:from>
      <xdr:col>6</xdr:col>
      <xdr:colOff>191644</xdr:colOff>
      <xdr:row>0</xdr:row>
      <xdr:rowOff>0</xdr:rowOff>
    </xdr:from>
    <xdr:ext cx="5849870" cy="655949"/>
    <xdr:sp macro="" textlink="">
      <xdr:nvSpPr>
        <xdr:cNvPr id="1037" name="Rectangle 1036">
          <a:extLst>
            <a:ext uri="{FF2B5EF4-FFF2-40B4-BE49-F238E27FC236}">
              <a16:creationId xmlns:a16="http://schemas.microsoft.com/office/drawing/2014/main" id="{86C787EF-2CD8-416A-E1F2-B74A2DDA4E91}"/>
            </a:ext>
          </a:extLst>
        </xdr:cNvPr>
        <xdr:cNvSpPr/>
      </xdr:nvSpPr>
      <xdr:spPr>
        <a:xfrm>
          <a:off x="3849244" y="0"/>
          <a:ext cx="5849870" cy="655949"/>
        </a:xfrm>
        <a:prstGeom prst="rect">
          <a:avLst/>
        </a:prstGeom>
        <a:noFill/>
      </xdr:spPr>
      <xdr:txBody>
        <a:bodyPr wrap="none" lIns="91440" tIns="45720" rIns="91440" bIns="45720">
          <a:spAutoFit/>
        </a:bodyPr>
        <a:lstStyle/>
        <a:p>
          <a:pPr algn="ctr"/>
          <a:r>
            <a:rPr lang="en-US" sz="3600" b="1" cap="none" spc="0">
              <a:ln w="12700" cmpd="sng">
                <a:noFill/>
                <a:prstDash val="solid"/>
              </a:ln>
              <a:gradFill>
                <a:gsLst>
                  <a:gs pos="0">
                    <a:schemeClr val="accent4"/>
                  </a:gs>
                  <a:gs pos="34000">
                    <a:schemeClr val="accent4">
                      <a:lumMod val="60000"/>
                      <a:lumOff val="40000"/>
                    </a:schemeClr>
                  </a:gs>
                  <a:gs pos="69000">
                    <a:schemeClr val="accent4">
                      <a:lumMod val="20000"/>
                      <a:lumOff val="80000"/>
                    </a:schemeClr>
                  </a:gs>
                </a:gsLst>
                <a:lin ang="5400000"/>
              </a:gradFill>
              <a:effectLst/>
            </a:rPr>
            <a:t>Human Resources Dashboard</a:t>
          </a:r>
        </a:p>
      </xdr:txBody>
    </xdr:sp>
    <xdr:clientData/>
  </xdr:oneCellAnchor>
  <xdr:twoCellAnchor editAs="oneCell">
    <xdr:from>
      <xdr:col>23</xdr:col>
      <xdr:colOff>364067</xdr:colOff>
      <xdr:row>1</xdr:row>
      <xdr:rowOff>118527</xdr:rowOff>
    </xdr:from>
    <xdr:to>
      <xdr:col>26</xdr:col>
      <xdr:colOff>181187</xdr:colOff>
      <xdr:row>14</xdr:row>
      <xdr:rowOff>84661</xdr:rowOff>
    </xdr:to>
    <mc:AlternateContent xmlns:mc="http://schemas.openxmlformats.org/markup-compatibility/2006" xmlns:a14="http://schemas.microsoft.com/office/drawing/2010/main">
      <mc:Choice Requires="a14">
        <xdr:graphicFrame macro="">
          <xdr:nvGraphicFramePr>
            <xdr:cNvPr id="1025" name="Day">
              <a:extLst>
                <a:ext uri="{FF2B5EF4-FFF2-40B4-BE49-F238E27FC236}">
                  <a16:creationId xmlns:a16="http://schemas.microsoft.com/office/drawing/2014/main" id="{ECB4E26D-3B4B-45FA-B300-D744559EBBD5}"/>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4384867" y="838194"/>
              <a:ext cx="1645920" cy="23876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364067</xdr:colOff>
      <xdr:row>15</xdr:row>
      <xdr:rowOff>16928</xdr:rowOff>
    </xdr:from>
    <xdr:to>
      <xdr:col>26</xdr:col>
      <xdr:colOff>181187</xdr:colOff>
      <xdr:row>20</xdr:row>
      <xdr:rowOff>119091</xdr:rowOff>
    </xdr:to>
    <mc:AlternateContent xmlns:mc="http://schemas.openxmlformats.org/markup-compatibility/2006" xmlns:a14="http://schemas.microsoft.com/office/drawing/2010/main">
      <mc:Choice Requires="a14">
        <xdr:graphicFrame macro="">
          <xdr:nvGraphicFramePr>
            <xdr:cNvPr id="1039" name="Week">
              <a:extLst>
                <a:ext uri="{FF2B5EF4-FFF2-40B4-BE49-F238E27FC236}">
                  <a16:creationId xmlns:a16="http://schemas.microsoft.com/office/drawing/2014/main" id="{92F21610-6020-4712-A8F1-4B1E508548AE}"/>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14384867" y="3344328"/>
              <a:ext cx="1645920" cy="103349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364067</xdr:colOff>
      <xdr:row>21</xdr:row>
      <xdr:rowOff>160860</xdr:rowOff>
    </xdr:from>
    <xdr:to>
      <xdr:col>26</xdr:col>
      <xdr:colOff>181187</xdr:colOff>
      <xdr:row>32</xdr:row>
      <xdr:rowOff>169328</xdr:rowOff>
    </xdr:to>
    <mc:AlternateContent xmlns:mc="http://schemas.openxmlformats.org/markup-compatibility/2006" xmlns:a14="http://schemas.microsoft.com/office/drawing/2010/main">
      <mc:Choice Requires="a14">
        <xdr:graphicFrame macro="">
          <xdr:nvGraphicFramePr>
            <xdr:cNvPr id="1040" name="Month">
              <a:extLst>
                <a:ext uri="{FF2B5EF4-FFF2-40B4-BE49-F238E27FC236}">
                  <a16:creationId xmlns:a16="http://schemas.microsoft.com/office/drawing/2014/main" id="{6D6AC304-04CA-4A6E-BE5F-A06429F4460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4384867" y="4605860"/>
              <a:ext cx="1645920" cy="205740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298857</xdr:colOff>
      <xdr:row>4</xdr:row>
      <xdr:rowOff>91440</xdr:rowOff>
    </xdr:from>
    <xdr:to>
      <xdr:col>7</xdr:col>
      <xdr:colOff>574396</xdr:colOff>
      <xdr:row>13</xdr:row>
      <xdr:rowOff>54864</xdr:rowOff>
    </xdr:to>
    <xdr:grpSp>
      <xdr:nvGrpSpPr>
        <xdr:cNvPr id="4" name="Group 3">
          <a:extLst>
            <a:ext uri="{FF2B5EF4-FFF2-40B4-BE49-F238E27FC236}">
              <a16:creationId xmlns:a16="http://schemas.microsoft.com/office/drawing/2014/main" id="{00000000-0008-0000-0300-000004000000}"/>
            </a:ext>
          </a:extLst>
        </xdr:cNvPr>
        <xdr:cNvGrpSpPr/>
      </xdr:nvGrpSpPr>
      <xdr:grpSpPr>
        <a:xfrm>
          <a:off x="3956457" y="853440"/>
          <a:ext cx="885139" cy="1677924"/>
          <a:chOff x="3956457" y="822960"/>
          <a:chExt cx="885139" cy="1609344"/>
        </a:xfrm>
      </xdr:grpSpPr>
      <xdr:sp macro="" textlink="">
        <xdr:nvSpPr>
          <xdr:cNvPr id="3" name="Rectangle 2">
            <a:extLst>
              <a:ext uri="{FF2B5EF4-FFF2-40B4-BE49-F238E27FC236}">
                <a16:creationId xmlns:a16="http://schemas.microsoft.com/office/drawing/2014/main" id="{00000000-0008-0000-0300-000003000000}"/>
              </a:ext>
            </a:extLst>
          </xdr:cNvPr>
          <xdr:cNvSpPr/>
        </xdr:nvSpPr>
        <xdr:spPr>
          <a:xfrm>
            <a:off x="3956457" y="822960"/>
            <a:ext cx="885139" cy="1609344"/>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 name="Freeform: Shape 1">
            <a:extLst>
              <a:ext uri="{FF2B5EF4-FFF2-40B4-BE49-F238E27FC236}">
                <a16:creationId xmlns:a16="http://schemas.microsoft.com/office/drawing/2014/main" id="{00000000-0008-0000-0300-000002000000}"/>
              </a:ext>
            </a:extLst>
          </xdr:cNvPr>
          <xdr:cNvSpPr/>
        </xdr:nvSpPr>
        <xdr:spPr>
          <a:xfrm>
            <a:off x="3999191" y="824979"/>
            <a:ext cx="799671" cy="1605307"/>
          </a:xfrm>
          <a:custGeom>
            <a:avLst/>
            <a:gdLst>
              <a:gd name="connsiteX0" fmla="*/ 201726 w 799671"/>
              <a:gd name="connsiteY0" fmla="*/ 355600 h 1605307"/>
              <a:gd name="connsiteX1" fmla="*/ 592246 w 799671"/>
              <a:gd name="connsiteY1" fmla="*/ 355600 h 1605307"/>
              <a:gd name="connsiteX2" fmla="*/ 592246 w 799671"/>
              <a:gd name="connsiteY2" fmla="*/ 357774 h 1605307"/>
              <a:gd name="connsiteX3" fmla="*/ 597464 w 799671"/>
              <a:gd name="connsiteY3" fmla="*/ 357447 h 1605307"/>
              <a:gd name="connsiteX4" fmla="*/ 657961 w 799671"/>
              <a:gd name="connsiteY4" fmla="*/ 410898 h 1605307"/>
              <a:gd name="connsiteX5" fmla="*/ 797165 w 799671"/>
              <a:gd name="connsiteY5" fmla="*/ 930415 h 1605307"/>
              <a:gd name="connsiteX6" fmla="*/ 745528 w 799671"/>
              <a:gd name="connsiteY6" fmla="*/ 1019853 h 1605307"/>
              <a:gd name="connsiteX7" fmla="*/ 728355 w 799671"/>
              <a:gd name="connsiteY7" fmla="*/ 1024454 h 1605307"/>
              <a:gd name="connsiteX8" fmla="*/ 638917 w 799671"/>
              <a:gd name="connsiteY8" fmla="*/ 972817 h 1605307"/>
              <a:gd name="connsiteX9" fmla="*/ 592246 w 799671"/>
              <a:gd name="connsiteY9" fmla="*/ 798639 h 1605307"/>
              <a:gd name="connsiteX10" fmla="*/ 592246 w 799671"/>
              <a:gd name="connsiteY10" fmla="*/ 994438 h 1605307"/>
              <a:gd name="connsiteX11" fmla="*/ 592246 w 799671"/>
              <a:gd name="connsiteY11" fmla="*/ 1058595 h 1605307"/>
              <a:gd name="connsiteX12" fmla="*/ 592246 w 799671"/>
              <a:gd name="connsiteY12" fmla="*/ 1532281 h 1605307"/>
              <a:gd name="connsiteX13" fmla="*/ 519220 w 799671"/>
              <a:gd name="connsiteY13" fmla="*/ 1605307 h 1605307"/>
              <a:gd name="connsiteX14" fmla="*/ 501442 w 799671"/>
              <a:gd name="connsiteY14" fmla="*/ 1605307 h 1605307"/>
              <a:gd name="connsiteX15" fmla="*/ 428416 w 799671"/>
              <a:gd name="connsiteY15" fmla="*/ 1532281 h 1605307"/>
              <a:gd name="connsiteX16" fmla="*/ 428416 w 799671"/>
              <a:gd name="connsiteY16" fmla="*/ 1058595 h 1605307"/>
              <a:gd name="connsiteX17" fmla="*/ 365556 w 799671"/>
              <a:gd name="connsiteY17" fmla="*/ 1058595 h 1605307"/>
              <a:gd name="connsiteX18" fmla="*/ 365556 w 799671"/>
              <a:gd name="connsiteY18" fmla="*/ 1532281 h 1605307"/>
              <a:gd name="connsiteX19" fmla="*/ 292530 w 799671"/>
              <a:gd name="connsiteY19" fmla="*/ 1605307 h 1605307"/>
              <a:gd name="connsiteX20" fmla="*/ 274752 w 799671"/>
              <a:gd name="connsiteY20" fmla="*/ 1605307 h 1605307"/>
              <a:gd name="connsiteX21" fmla="*/ 201726 w 799671"/>
              <a:gd name="connsiteY21" fmla="*/ 1532281 h 1605307"/>
              <a:gd name="connsiteX22" fmla="*/ 201726 w 799671"/>
              <a:gd name="connsiteY22" fmla="*/ 1058595 h 1605307"/>
              <a:gd name="connsiteX23" fmla="*/ 201726 w 799671"/>
              <a:gd name="connsiteY23" fmla="*/ 994438 h 1605307"/>
              <a:gd name="connsiteX24" fmla="*/ 201726 w 799671"/>
              <a:gd name="connsiteY24" fmla="*/ 819909 h 1605307"/>
              <a:gd name="connsiteX25" fmla="*/ 160754 w 799671"/>
              <a:gd name="connsiteY25" fmla="*/ 972818 h 1605307"/>
              <a:gd name="connsiteX26" fmla="*/ 71315 w 799671"/>
              <a:gd name="connsiteY26" fmla="*/ 1024455 h 1605307"/>
              <a:gd name="connsiteX27" fmla="*/ 54143 w 799671"/>
              <a:gd name="connsiteY27" fmla="*/ 1019854 h 1605307"/>
              <a:gd name="connsiteX28" fmla="*/ 2506 w 799671"/>
              <a:gd name="connsiteY28" fmla="*/ 930416 h 1605307"/>
              <a:gd name="connsiteX29" fmla="*/ 141710 w 799671"/>
              <a:gd name="connsiteY29" fmla="*/ 410899 h 1605307"/>
              <a:gd name="connsiteX30" fmla="*/ 164324 w 799671"/>
              <a:gd name="connsiteY30" fmla="*/ 374689 h 1605307"/>
              <a:gd name="connsiteX31" fmla="*/ 201726 w 799671"/>
              <a:gd name="connsiteY31" fmla="*/ 357667 h 1605307"/>
              <a:gd name="connsiteX32" fmla="*/ 392835 w 799671"/>
              <a:gd name="connsiteY32" fmla="*/ 0 h 1605307"/>
              <a:gd name="connsiteX33" fmla="*/ 552855 w 799671"/>
              <a:gd name="connsiteY33" fmla="*/ 160020 h 1605307"/>
              <a:gd name="connsiteX34" fmla="*/ 392835 w 799671"/>
              <a:gd name="connsiteY34" fmla="*/ 320040 h 1605307"/>
              <a:gd name="connsiteX35" fmla="*/ 232815 w 799671"/>
              <a:gd name="connsiteY35" fmla="*/ 160020 h 1605307"/>
              <a:gd name="connsiteX36" fmla="*/ 392835 w 799671"/>
              <a:gd name="connsiteY36" fmla="*/ 0 h 16053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Lst>
            <a:rect l="l" t="t" r="r" b="b"/>
            <a:pathLst>
              <a:path w="799671" h="1605307">
                <a:moveTo>
                  <a:pt x="201726" y="355600"/>
                </a:moveTo>
                <a:lnTo>
                  <a:pt x="592246" y="355600"/>
                </a:lnTo>
                <a:lnTo>
                  <a:pt x="592246" y="357774"/>
                </a:lnTo>
                <a:lnTo>
                  <a:pt x="597464" y="357447"/>
                </a:lnTo>
                <a:cubicBezTo>
                  <a:pt x="625650" y="361372"/>
                  <a:pt x="650132" y="381681"/>
                  <a:pt x="657961" y="410898"/>
                </a:cubicBezTo>
                <a:lnTo>
                  <a:pt x="797165" y="930415"/>
                </a:lnTo>
                <a:cubicBezTo>
                  <a:pt x="807603" y="969371"/>
                  <a:pt x="784484" y="1009414"/>
                  <a:pt x="745528" y="1019853"/>
                </a:cubicBezTo>
                <a:lnTo>
                  <a:pt x="728355" y="1024454"/>
                </a:lnTo>
                <a:cubicBezTo>
                  <a:pt x="689399" y="1034893"/>
                  <a:pt x="649356" y="1011774"/>
                  <a:pt x="638917" y="972817"/>
                </a:cubicBezTo>
                <a:lnTo>
                  <a:pt x="592246" y="798639"/>
                </a:lnTo>
                <a:lnTo>
                  <a:pt x="592246" y="994438"/>
                </a:lnTo>
                <a:lnTo>
                  <a:pt x="592246" y="1058595"/>
                </a:lnTo>
                <a:lnTo>
                  <a:pt x="592246" y="1532281"/>
                </a:lnTo>
                <a:cubicBezTo>
                  <a:pt x="592246" y="1572612"/>
                  <a:pt x="559551" y="1605307"/>
                  <a:pt x="519220" y="1605307"/>
                </a:cubicBezTo>
                <a:lnTo>
                  <a:pt x="501442" y="1605307"/>
                </a:lnTo>
                <a:cubicBezTo>
                  <a:pt x="461111" y="1605307"/>
                  <a:pt x="428416" y="1572612"/>
                  <a:pt x="428416" y="1532281"/>
                </a:cubicBezTo>
                <a:lnTo>
                  <a:pt x="428416" y="1058595"/>
                </a:lnTo>
                <a:lnTo>
                  <a:pt x="365556" y="1058595"/>
                </a:lnTo>
                <a:lnTo>
                  <a:pt x="365556" y="1532281"/>
                </a:lnTo>
                <a:cubicBezTo>
                  <a:pt x="365556" y="1572612"/>
                  <a:pt x="332861" y="1605307"/>
                  <a:pt x="292530" y="1605307"/>
                </a:cubicBezTo>
                <a:lnTo>
                  <a:pt x="274752" y="1605307"/>
                </a:lnTo>
                <a:cubicBezTo>
                  <a:pt x="234421" y="1605307"/>
                  <a:pt x="201726" y="1572612"/>
                  <a:pt x="201726" y="1532281"/>
                </a:cubicBezTo>
                <a:lnTo>
                  <a:pt x="201726" y="1058595"/>
                </a:lnTo>
                <a:lnTo>
                  <a:pt x="201726" y="994438"/>
                </a:lnTo>
                <a:lnTo>
                  <a:pt x="201726" y="819909"/>
                </a:lnTo>
                <a:lnTo>
                  <a:pt x="160754" y="972818"/>
                </a:lnTo>
                <a:cubicBezTo>
                  <a:pt x="150315" y="1011775"/>
                  <a:pt x="110272" y="1034894"/>
                  <a:pt x="71315" y="1024455"/>
                </a:cubicBezTo>
                <a:lnTo>
                  <a:pt x="54143" y="1019854"/>
                </a:lnTo>
                <a:cubicBezTo>
                  <a:pt x="15186" y="1009415"/>
                  <a:pt x="-7933" y="969372"/>
                  <a:pt x="2506" y="930416"/>
                </a:cubicBezTo>
                <a:lnTo>
                  <a:pt x="141710" y="410899"/>
                </a:lnTo>
                <a:cubicBezTo>
                  <a:pt x="145624" y="396290"/>
                  <a:pt x="153702" y="383909"/>
                  <a:pt x="164324" y="374689"/>
                </a:cubicBezTo>
                <a:lnTo>
                  <a:pt x="201726" y="357667"/>
                </a:lnTo>
                <a:close/>
                <a:moveTo>
                  <a:pt x="392835" y="0"/>
                </a:moveTo>
                <a:cubicBezTo>
                  <a:pt x="481212" y="0"/>
                  <a:pt x="552855" y="71643"/>
                  <a:pt x="552855" y="160020"/>
                </a:cubicBezTo>
                <a:cubicBezTo>
                  <a:pt x="552855" y="248397"/>
                  <a:pt x="481212" y="320040"/>
                  <a:pt x="392835" y="320040"/>
                </a:cubicBezTo>
                <a:cubicBezTo>
                  <a:pt x="304458" y="320040"/>
                  <a:pt x="232815" y="248397"/>
                  <a:pt x="232815" y="160020"/>
                </a:cubicBezTo>
                <a:cubicBezTo>
                  <a:pt x="232815" y="71643"/>
                  <a:pt x="304458" y="0"/>
                  <a:pt x="392835" y="0"/>
                </a:cubicBezTo>
                <a:close/>
              </a:path>
            </a:pathLst>
          </a:custGeom>
          <a:solidFill>
            <a:srgbClr val="CBCB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199797</xdr:colOff>
      <xdr:row>4</xdr:row>
      <xdr:rowOff>91440</xdr:rowOff>
    </xdr:from>
    <xdr:to>
      <xdr:col>9</xdr:col>
      <xdr:colOff>475336</xdr:colOff>
      <xdr:row>13</xdr:row>
      <xdr:rowOff>54864</xdr:rowOff>
    </xdr:to>
    <xdr:grpSp>
      <xdr:nvGrpSpPr>
        <xdr:cNvPr id="8" name="Group 7">
          <a:extLst>
            <a:ext uri="{FF2B5EF4-FFF2-40B4-BE49-F238E27FC236}">
              <a16:creationId xmlns:a16="http://schemas.microsoft.com/office/drawing/2014/main" id="{00000000-0008-0000-0300-000008000000}"/>
            </a:ext>
          </a:extLst>
        </xdr:cNvPr>
        <xdr:cNvGrpSpPr/>
      </xdr:nvGrpSpPr>
      <xdr:grpSpPr>
        <a:xfrm>
          <a:off x="5076597" y="853440"/>
          <a:ext cx="885139" cy="1677924"/>
          <a:chOff x="3956457" y="822960"/>
          <a:chExt cx="885139" cy="1609344"/>
        </a:xfrm>
      </xdr:grpSpPr>
      <xdr:sp macro="" textlink="">
        <xdr:nvSpPr>
          <xdr:cNvPr id="9" name="Rectangle 8">
            <a:extLst>
              <a:ext uri="{FF2B5EF4-FFF2-40B4-BE49-F238E27FC236}">
                <a16:creationId xmlns:a16="http://schemas.microsoft.com/office/drawing/2014/main" id="{00000000-0008-0000-0300-000009000000}"/>
              </a:ext>
            </a:extLst>
          </xdr:cNvPr>
          <xdr:cNvSpPr/>
        </xdr:nvSpPr>
        <xdr:spPr>
          <a:xfrm>
            <a:off x="3956457" y="822960"/>
            <a:ext cx="885139" cy="1609344"/>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 name="Freeform: Shape 9">
            <a:extLst>
              <a:ext uri="{FF2B5EF4-FFF2-40B4-BE49-F238E27FC236}">
                <a16:creationId xmlns:a16="http://schemas.microsoft.com/office/drawing/2014/main" id="{00000000-0008-0000-0300-00000A000000}"/>
              </a:ext>
            </a:extLst>
          </xdr:cNvPr>
          <xdr:cNvSpPr/>
        </xdr:nvSpPr>
        <xdr:spPr>
          <a:xfrm>
            <a:off x="3999191" y="824979"/>
            <a:ext cx="799671" cy="1605307"/>
          </a:xfrm>
          <a:custGeom>
            <a:avLst/>
            <a:gdLst>
              <a:gd name="connsiteX0" fmla="*/ 201726 w 799671"/>
              <a:gd name="connsiteY0" fmla="*/ 355600 h 1605307"/>
              <a:gd name="connsiteX1" fmla="*/ 592246 w 799671"/>
              <a:gd name="connsiteY1" fmla="*/ 355600 h 1605307"/>
              <a:gd name="connsiteX2" fmla="*/ 592246 w 799671"/>
              <a:gd name="connsiteY2" fmla="*/ 357774 h 1605307"/>
              <a:gd name="connsiteX3" fmla="*/ 597464 w 799671"/>
              <a:gd name="connsiteY3" fmla="*/ 357447 h 1605307"/>
              <a:gd name="connsiteX4" fmla="*/ 657961 w 799671"/>
              <a:gd name="connsiteY4" fmla="*/ 410898 h 1605307"/>
              <a:gd name="connsiteX5" fmla="*/ 797165 w 799671"/>
              <a:gd name="connsiteY5" fmla="*/ 930415 h 1605307"/>
              <a:gd name="connsiteX6" fmla="*/ 745528 w 799671"/>
              <a:gd name="connsiteY6" fmla="*/ 1019853 h 1605307"/>
              <a:gd name="connsiteX7" fmla="*/ 728355 w 799671"/>
              <a:gd name="connsiteY7" fmla="*/ 1024454 h 1605307"/>
              <a:gd name="connsiteX8" fmla="*/ 638917 w 799671"/>
              <a:gd name="connsiteY8" fmla="*/ 972817 h 1605307"/>
              <a:gd name="connsiteX9" fmla="*/ 592246 w 799671"/>
              <a:gd name="connsiteY9" fmla="*/ 798639 h 1605307"/>
              <a:gd name="connsiteX10" fmla="*/ 592246 w 799671"/>
              <a:gd name="connsiteY10" fmla="*/ 994438 h 1605307"/>
              <a:gd name="connsiteX11" fmla="*/ 592246 w 799671"/>
              <a:gd name="connsiteY11" fmla="*/ 1058595 h 1605307"/>
              <a:gd name="connsiteX12" fmla="*/ 592246 w 799671"/>
              <a:gd name="connsiteY12" fmla="*/ 1532281 h 1605307"/>
              <a:gd name="connsiteX13" fmla="*/ 519220 w 799671"/>
              <a:gd name="connsiteY13" fmla="*/ 1605307 h 1605307"/>
              <a:gd name="connsiteX14" fmla="*/ 501442 w 799671"/>
              <a:gd name="connsiteY14" fmla="*/ 1605307 h 1605307"/>
              <a:gd name="connsiteX15" fmla="*/ 428416 w 799671"/>
              <a:gd name="connsiteY15" fmla="*/ 1532281 h 1605307"/>
              <a:gd name="connsiteX16" fmla="*/ 428416 w 799671"/>
              <a:gd name="connsiteY16" fmla="*/ 1058595 h 1605307"/>
              <a:gd name="connsiteX17" fmla="*/ 365556 w 799671"/>
              <a:gd name="connsiteY17" fmla="*/ 1058595 h 1605307"/>
              <a:gd name="connsiteX18" fmla="*/ 365556 w 799671"/>
              <a:gd name="connsiteY18" fmla="*/ 1532281 h 1605307"/>
              <a:gd name="connsiteX19" fmla="*/ 292530 w 799671"/>
              <a:gd name="connsiteY19" fmla="*/ 1605307 h 1605307"/>
              <a:gd name="connsiteX20" fmla="*/ 274752 w 799671"/>
              <a:gd name="connsiteY20" fmla="*/ 1605307 h 1605307"/>
              <a:gd name="connsiteX21" fmla="*/ 201726 w 799671"/>
              <a:gd name="connsiteY21" fmla="*/ 1532281 h 1605307"/>
              <a:gd name="connsiteX22" fmla="*/ 201726 w 799671"/>
              <a:gd name="connsiteY22" fmla="*/ 1058595 h 1605307"/>
              <a:gd name="connsiteX23" fmla="*/ 201726 w 799671"/>
              <a:gd name="connsiteY23" fmla="*/ 994438 h 1605307"/>
              <a:gd name="connsiteX24" fmla="*/ 201726 w 799671"/>
              <a:gd name="connsiteY24" fmla="*/ 819909 h 1605307"/>
              <a:gd name="connsiteX25" fmla="*/ 160754 w 799671"/>
              <a:gd name="connsiteY25" fmla="*/ 972818 h 1605307"/>
              <a:gd name="connsiteX26" fmla="*/ 71315 w 799671"/>
              <a:gd name="connsiteY26" fmla="*/ 1024455 h 1605307"/>
              <a:gd name="connsiteX27" fmla="*/ 54143 w 799671"/>
              <a:gd name="connsiteY27" fmla="*/ 1019854 h 1605307"/>
              <a:gd name="connsiteX28" fmla="*/ 2506 w 799671"/>
              <a:gd name="connsiteY28" fmla="*/ 930416 h 1605307"/>
              <a:gd name="connsiteX29" fmla="*/ 141710 w 799671"/>
              <a:gd name="connsiteY29" fmla="*/ 410899 h 1605307"/>
              <a:gd name="connsiteX30" fmla="*/ 164324 w 799671"/>
              <a:gd name="connsiteY30" fmla="*/ 374689 h 1605307"/>
              <a:gd name="connsiteX31" fmla="*/ 201726 w 799671"/>
              <a:gd name="connsiteY31" fmla="*/ 357667 h 1605307"/>
              <a:gd name="connsiteX32" fmla="*/ 392835 w 799671"/>
              <a:gd name="connsiteY32" fmla="*/ 0 h 1605307"/>
              <a:gd name="connsiteX33" fmla="*/ 552855 w 799671"/>
              <a:gd name="connsiteY33" fmla="*/ 160020 h 1605307"/>
              <a:gd name="connsiteX34" fmla="*/ 392835 w 799671"/>
              <a:gd name="connsiteY34" fmla="*/ 320040 h 1605307"/>
              <a:gd name="connsiteX35" fmla="*/ 232815 w 799671"/>
              <a:gd name="connsiteY35" fmla="*/ 160020 h 1605307"/>
              <a:gd name="connsiteX36" fmla="*/ 392835 w 799671"/>
              <a:gd name="connsiteY36" fmla="*/ 0 h 16053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Lst>
            <a:rect l="l" t="t" r="r" b="b"/>
            <a:pathLst>
              <a:path w="799671" h="1605307">
                <a:moveTo>
                  <a:pt x="201726" y="355600"/>
                </a:moveTo>
                <a:lnTo>
                  <a:pt x="592246" y="355600"/>
                </a:lnTo>
                <a:lnTo>
                  <a:pt x="592246" y="357774"/>
                </a:lnTo>
                <a:lnTo>
                  <a:pt x="597464" y="357447"/>
                </a:lnTo>
                <a:cubicBezTo>
                  <a:pt x="625650" y="361372"/>
                  <a:pt x="650132" y="381681"/>
                  <a:pt x="657961" y="410898"/>
                </a:cubicBezTo>
                <a:lnTo>
                  <a:pt x="797165" y="930415"/>
                </a:lnTo>
                <a:cubicBezTo>
                  <a:pt x="807603" y="969371"/>
                  <a:pt x="784484" y="1009414"/>
                  <a:pt x="745528" y="1019853"/>
                </a:cubicBezTo>
                <a:lnTo>
                  <a:pt x="728355" y="1024454"/>
                </a:lnTo>
                <a:cubicBezTo>
                  <a:pt x="689399" y="1034893"/>
                  <a:pt x="649356" y="1011774"/>
                  <a:pt x="638917" y="972817"/>
                </a:cubicBezTo>
                <a:lnTo>
                  <a:pt x="592246" y="798639"/>
                </a:lnTo>
                <a:lnTo>
                  <a:pt x="592246" y="994438"/>
                </a:lnTo>
                <a:lnTo>
                  <a:pt x="592246" y="1058595"/>
                </a:lnTo>
                <a:lnTo>
                  <a:pt x="592246" y="1532281"/>
                </a:lnTo>
                <a:cubicBezTo>
                  <a:pt x="592246" y="1572612"/>
                  <a:pt x="559551" y="1605307"/>
                  <a:pt x="519220" y="1605307"/>
                </a:cubicBezTo>
                <a:lnTo>
                  <a:pt x="501442" y="1605307"/>
                </a:lnTo>
                <a:cubicBezTo>
                  <a:pt x="461111" y="1605307"/>
                  <a:pt x="428416" y="1572612"/>
                  <a:pt x="428416" y="1532281"/>
                </a:cubicBezTo>
                <a:lnTo>
                  <a:pt x="428416" y="1058595"/>
                </a:lnTo>
                <a:lnTo>
                  <a:pt x="365556" y="1058595"/>
                </a:lnTo>
                <a:lnTo>
                  <a:pt x="365556" y="1532281"/>
                </a:lnTo>
                <a:cubicBezTo>
                  <a:pt x="365556" y="1572612"/>
                  <a:pt x="332861" y="1605307"/>
                  <a:pt x="292530" y="1605307"/>
                </a:cubicBezTo>
                <a:lnTo>
                  <a:pt x="274752" y="1605307"/>
                </a:lnTo>
                <a:cubicBezTo>
                  <a:pt x="234421" y="1605307"/>
                  <a:pt x="201726" y="1572612"/>
                  <a:pt x="201726" y="1532281"/>
                </a:cubicBezTo>
                <a:lnTo>
                  <a:pt x="201726" y="1058595"/>
                </a:lnTo>
                <a:lnTo>
                  <a:pt x="201726" y="994438"/>
                </a:lnTo>
                <a:lnTo>
                  <a:pt x="201726" y="819909"/>
                </a:lnTo>
                <a:lnTo>
                  <a:pt x="160754" y="972818"/>
                </a:lnTo>
                <a:cubicBezTo>
                  <a:pt x="150315" y="1011775"/>
                  <a:pt x="110272" y="1034894"/>
                  <a:pt x="71315" y="1024455"/>
                </a:cubicBezTo>
                <a:lnTo>
                  <a:pt x="54143" y="1019854"/>
                </a:lnTo>
                <a:cubicBezTo>
                  <a:pt x="15186" y="1009415"/>
                  <a:pt x="-7933" y="969372"/>
                  <a:pt x="2506" y="930416"/>
                </a:cubicBezTo>
                <a:lnTo>
                  <a:pt x="141710" y="410899"/>
                </a:lnTo>
                <a:cubicBezTo>
                  <a:pt x="145624" y="396290"/>
                  <a:pt x="153702" y="383909"/>
                  <a:pt x="164324" y="374689"/>
                </a:cubicBezTo>
                <a:lnTo>
                  <a:pt x="201726" y="357667"/>
                </a:lnTo>
                <a:close/>
                <a:moveTo>
                  <a:pt x="392835" y="0"/>
                </a:moveTo>
                <a:cubicBezTo>
                  <a:pt x="481212" y="0"/>
                  <a:pt x="552855" y="71643"/>
                  <a:pt x="552855" y="160020"/>
                </a:cubicBezTo>
                <a:cubicBezTo>
                  <a:pt x="552855" y="248397"/>
                  <a:pt x="481212" y="320040"/>
                  <a:pt x="392835" y="320040"/>
                </a:cubicBezTo>
                <a:cubicBezTo>
                  <a:pt x="304458" y="320040"/>
                  <a:pt x="232815" y="248397"/>
                  <a:pt x="232815" y="160020"/>
                </a:cubicBezTo>
                <a:cubicBezTo>
                  <a:pt x="232815" y="71643"/>
                  <a:pt x="304458" y="0"/>
                  <a:pt x="392835" y="0"/>
                </a:cubicBezTo>
                <a:close/>
              </a:path>
            </a:pathLst>
          </a:custGeom>
          <a:solidFill>
            <a:srgbClr val="3DBE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4</xdr:col>
      <xdr:colOff>0</xdr:colOff>
      <xdr:row>17</xdr:row>
      <xdr:rowOff>0</xdr:rowOff>
    </xdr:from>
    <xdr:to>
      <xdr:col>6</xdr:col>
      <xdr:colOff>399289</xdr:colOff>
      <xdr:row>25</xdr:row>
      <xdr:rowOff>155448</xdr:rowOff>
    </xdr:to>
    <xdr:grpSp>
      <xdr:nvGrpSpPr>
        <xdr:cNvPr id="20" name="Group 19">
          <a:extLst>
            <a:ext uri="{FF2B5EF4-FFF2-40B4-BE49-F238E27FC236}">
              <a16:creationId xmlns:a16="http://schemas.microsoft.com/office/drawing/2014/main" id="{00000000-0008-0000-0300-000014000000}"/>
            </a:ext>
          </a:extLst>
        </xdr:cNvPr>
        <xdr:cNvGrpSpPr/>
      </xdr:nvGrpSpPr>
      <xdr:grpSpPr>
        <a:xfrm>
          <a:off x="2438400" y="3238500"/>
          <a:ext cx="1618489" cy="1679448"/>
          <a:chOff x="2438400" y="3108960"/>
          <a:chExt cx="1618489" cy="1618488"/>
        </a:xfrm>
      </xdr:grpSpPr>
      <xdr:sp macro="" textlink="">
        <xdr:nvSpPr>
          <xdr:cNvPr id="12" name="Oval 11">
            <a:extLst>
              <a:ext uri="{FF2B5EF4-FFF2-40B4-BE49-F238E27FC236}">
                <a16:creationId xmlns:a16="http://schemas.microsoft.com/office/drawing/2014/main" id="{00000000-0008-0000-0300-00000C000000}"/>
              </a:ext>
            </a:extLst>
          </xdr:cNvPr>
          <xdr:cNvSpPr/>
        </xdr:nvSpPr>
        <xdr:spPr>
          <a:xfrm>
            <a:off x="2438401" y="3108960"/>
            <a:ext cx="1618488" cy="1618488"/>
          </a:xfrm>
          <a:prstGeom prst="ellipse">
            <a:avLst/>
          </a:prstGeom>
          <a:gradFill flip="none" rotWithShape="1">
            <a:gsLst>
              <a:gs pos="55000">
                <a:srgbClr val="8A2BF1"/>
              </a:gs>
              <a:gs pos="37000">
                <a:srgbClr val="8A2BF1">
                  <a:alpha val="0"/>
                </a:srgb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 name="Oval 12">
            <a:extLst>
              <a:ext uri="{FF2B5EF4-FFF2-40B4-BE49-F238E27FC236}">
                <a16:creationId xmlns:a16="http://schemas.microsoft.com/office/drawing/2014/main" id="{00000000-0008-0000-0300-00000D000000}"/>
              </a:ext>
            </a:extLst>
          </xdr:cNvPr>
          <xdr:cNvSpPr/>
        </xdr:nvSpPr>
        <xdr:spPr>
          <a:xfrm>
            <a:off x="2438401" y="3108960"/>
            <a:ext cx="1618488" cy="1618488"/>
          </a:xfrm>
          <a:prstGeom prst="ellipse">
            <a:avLst/>
          </a:prstGeom>
          <a:gradFill flip="none" rotWithShape="1">
            <a:gsLst>
              <a:gs pos="74000">
                <a:srgbClr val="10EBCD"/>
              </a:gs>
              <a:gs pos="49000">
                <a:srgbClr val="10EBCD">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Oval 13">
            <a:extLst>
              <a:ext uri="{FF2B5EF4-FFF2-40B4-BE49-F238E27FC236}">
                <a16:creationId xmlns:a16="http://schemas.microsoft.com/office/drawing/2014/main" id="{00000000-0008-0000-0300-00000E000000}"/>
              </a:ext>
            </a:extLst>
          </xdr:cNvPr>
          <xdr:cNvSpPr/>
        </xdr:nvSpPr>
        <xdr:spPr>
          <a:xfrm>
            <a:off x="2438401" y="3108960"/>
            <a:ext cx="1618488" cy="1618488"/>
          </a:xfrm>
          <a:prstGeom prst="ellipse">
            <a:avLst/>
          </a:prstGeom>
          <a:gradFill flip="none" rotWithShape="1">
            <a:gsLst>
              <a:gs pos="80000">
                <a:srgbClr val="FF00FF"/>
              </a:gs>
              <a:gs pos="65000">
                <a:srgbClr val="FF00F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Oval 14">
            <a:extLst>
              <a:ext uri="{FF2B5EF4-FFF2-40B4-BE49-F238E27FC236}">
                <a16:creationId xmlns:a16="http://schemas.microsoft.com/office/drawing/2014/main" id="{00000000-0008-0000-0300-00000F000000}"/>
              </a:ext>
            </a:extLst>
          </xdr:cNvPr>
          <xdr:cNvSpPr/>
        </xdr:nvSpPr>
        <xdr:spPr>
          <a:xfrm>
            <a:off x="2438400" y="3108960"/>
            <a:ext cx="1618488" cy="1618488"/>
          </a:xfrm>
          <a:prstGeom prst="ellipse">
            <a:avLst/>
          </a:prstGeom>
          <a:gradFill flip="none" rotWithShape="1">
            <a:gsLst>
              <a:gs pos="76000">
                <a:srgbClr val="FF0000"/>
              </a:gs>
              <a:gs pos="53000">
                <a:srgbClr val="FF0000">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11</xdr:col>
      <xdr:colOff>464821</xdr:colOff>
      <xdr:row>16</xdr:row>
      <xdr:rowOff>114300</xdr:rowOff>
    </xdr:from>
    <xdr:to>
      <xdr:col>14</xdr:col>
      <xdr:colOff>254509</xdr:colOff>
      <xdr:row>25</xdr:row>
      <xdr:rowOff>86868</xdr:rowOff>
    </xdr:to>
    <xdr:sp macro="" textlink="">
      <xdr:nvSpPr>
        <xdr:cNvPr id="16" name="Oval 15" hidden="1">
          <a:extLst>
            <a:ext uri="{FF2B5EF4-FFF2-40B4-BE49-F238E27FC236}">
              <a16:creationId xmlns:a16="http://schemas.microsoft.com/office/drawing/2014/main" id="{00000000-0008-0000-0300-000010000000}"/>
            </a:ext>
          </a:extLst>
        </xdr:cNvPr>
        <xdr:cNvSpPr/>
      </xdr:nvSpPr>
      <xdr:spPr>
        <a:xfrm>
          <a:off x="7170421" y="3040380"/>
          <a:ext cx="1618488" cy="1618488"/>
        </a:xfrm>
        <a:prstGeom prst="ellipse">
          <a:avLst/>
        </a:prstGeom>
        <a:gradFill flip="none" rotWithShape="1">
          <a:gsLst>
            <a:gs pos="55000">
              <a:srgbClr val="F9CA13"/>
            </a:gs>
            <a:gs pos="37000">
              <a:srgbClr val="F9CA13">
                <a:alpha val="0"/>
              </a:srgb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464821</xdr:colOff>
      <xdr:row>16</xdr:row>
      <xdr:rowOff>114300</xdr:rowOff>
    </xdr:from>
    <xdr:to>
      <xdr:col>14</xdr:col>
      <xdr:colOff>254509</xdr:colOff>
      <xdr:row>25</xdr:row>
      <xdr:rowOff>86868</xdr:rowOff>
    </xdr:to>
    <xdr:sp macro="" textlink="">
      <xdr:nvSpPr>
        <xdr:cNvPr id="17" name="Oval 16" hidden="1">
          <a:extLst>
            <a:ext uri="{FF2B5EF4-FFF2-40B4-BE49-F238E27FC236}">
              <a16:creationId xmlns:a16="http://schemas.microsoft.com/office/drawing/2014/main" id="{00000000-0008-0000-0300-000011000000}"/>
            </a:ext>
          </a:extLst>
        </xdr:cNvPr>
        <xdr:cNvSpPr/>
      </xdr:nvSpPr>
      <xdr:spPr>
        <a:xfrm>
          <a:off x="7170421" y="3040380"/>
          <a:ext cx="1618488" cy="1618488"/>
        </a:xfrm>
        <a:prstGeom prst="ellipse">
          <a:avLst/>
        </a:prstGeom>
        <a:gradFill flip="none" rotWithShape="1">
          <a:gsLst>
            <a:gs pos="77000">
              <a:srgbClr val="10EBCD"/>
            </a:gs>
            <a:gs pos="59000">
              <a:srgbClr val="10EBCD">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464821</xdr:colOff>
      <xdr:row>16</xdr:row>
      <xdr:rowOff>114300</xdr:rowOff>
    </xdr:from>
    <xdr:to>
      <xdr:col>14</xdr:col>
      <xdr:colOff>254509</xdr:colOff>
      <xdr:row>25</xdr:row>
      <xdr:rowOff>86868</xdr:rowOff>
    </xdr:to>
    <xdr:sp macro="" textlink="">
      <xdr:nvSpPr>
        <xdr:cNvPr id="18" name="Oval 17" hidden="1">
          <a:extLst>
            <a:ext uri="{FF2B5EF4-FFF2-40B4-BE49-F238E27FC236}">
              <a16:creationId xmlns:a16="http://schemas.microsoft.com/office/drawing/2014/main" id="{00000000-0008-0000-0300-000012000000}"/>
            </a:ext>
          </a:extLst>
        </xdr:cNvPr>
        <xdr:cNvSpPr/>
      </xdr:nvSpPr>
      <xdr:spPr>
        <a:xfrm>
          <a:off x="7170421" y="3040380"/>
          <a:ext cx="1618488" cy="1618488"/>
        </a:xfrm>
        <a:prstGeom prst="ellipse">
          <a:avLst/>
        </a:prstGeom>
        <a:gradFill flip="none" rotWithShape="1">
          <a:gsLst>
            <a:gs pos="80000">
              <a:srgbClr val="F21650"/>
            </a:gs>
            <a:gs pos="65000">
              <a:srgbClr val="F43E6F">
                <a:alpha val="0"/>
              </a:srgbClr>
            </a:gs>
          </a:gsLst>
          <a:path path="circle">
            <a:fillToRect t="100000" r="100000"/>
          </a:path>
          <a:tileRect l="-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464820</xdr:colOff>
      <xdr:row>16</xdr:row>
      <xdr:rowOff>114300</xdr:rowOff>
    </xdr:from>
    <xdr:to>
      <xdr:col>14</xdr:col>
      <xdr:colOff>254508</xdr:colOff>
      <xdr:row>25</xdr:row>
      <xdr:rowOff>86868</xdr:rowOff>
    </xdr:to>
    <xdr:sp macro="" textlink="">
      <xdr:nvSpPr>
        <xdr:cNvPr id="19" name="Oval 18" hidden="1">
          <a:extLst>
            <a:ext uri="{FF2B5EF4-FFF2-40B4-BE49-F238E27FC236}">
              <a16:creationId xmlns:a16="http://schemas.microsoft.com/office/drawing/2014/main" id="{00000000-0008-0000-0300-000013000000}"/>
            </a:ext>
          </a:extLst>
        </xdr:cNvPr>
        <xdr:cNvSpPr/>
      </xdr:nvSpPr>
      <xdr:spPr>
        <a:xfrm>
          <a:off x="7170420" y="3040380"/>
          <a:ext cx="1618488" cy="1618488"/>
        </a:xfrm>
        <a:prstGeom prst="ellipse">
          <a:avLst/>
        </a:prstGeom>
        <a:gradFill flip="none" rotWithShape="1">
          <a:gsLst>
            <a:gs pos="76000">
              <a:srgbClr val="5B35D3"/>
            </a:gs>
            <a:gs pos="53000">
              <a:srgbClr val="7353D9">
                <a:alpha val="0"/>
              </a:srgbClr>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10</xdr:col>
      <xdr:colOff>312420</xdr:colOff>
      <xdr:row>18</xdr:row>
      <xdr:rowOff>0</xdr:rowOff>
    </xdr:from>
    <xdr:to>
      <xdr:col>12</xdr:col>
      <xdr:colOff>350520</xdr:colOff>
      <xdr:row>24</xdr:row>
      <xdr:rowOff>160020</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6408420" y="3291840"/>
          <a:ext cx="1257300" cy="1257300"/>
        </a:xfrm>
        <a:prstGeom prst="rect">
          <a:avLst/>
        </a:prstGeom>
        <a:gradFill>
          <a:gsLst>
            <a:gs pos="15000">
              <a:schemeClr val="accent1">
                <a:lumMod val="60000"/>
                <a:lumOff val="40000"/>
                <a:alpha val="10000"/>
              </a:schemeClr>
            </a:gs>
            <a:gs pos="100000">
              <a:schemeClr val="accent1">
                <a:lumMod val="60000"/>
                <a:lumOff val="40000"/>
                <a:alpha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0</xdr:colOff>
      <xdr:row>18</xdr:row>
      <xdr:rowOff>0</xdr:rowOff>
    </xdr:from>
    <xdr:to>
      <xdr:col>10</xdr:col>
      <xdr:colOff>91440</xdr:colOff>
      <xdr:row>25</xdr:row>
      <xdr:rowOff>30480</xdr:rowOff>
    </xdr:to>
    <xdr:sp macro="" textlink="">
      <xdr:nvSpPr>
        <xdr:cNvPr id="6" name="Rectangle 5">
          <a:extLst>
            <a:ext uri="{FF2B5EF4-FFF2-40B4-BE49-F238E27FC236}">
              <a16:creationId xmlns:a16="http://schemas.microsoft.com/office/drawing/2014/main" id="{00000000-0008-0000-0300-000006000000}"/>
            </a:ext>
          </a:extLst>
        </xdr:cNvPr>
        <xdr:cNvSpPr/>
      </xdr:nvSpPr>
      <xdr:spPr>
        <a:xfrm>
          <a:off x="4876800" y="3291840"/>
          <a:ext cx="1310640" cy="1310640"/>
        </a:xfrm>
        <a:prstGeom prst="rect">
          <a:avLst/>
        </a:prstGeom>
        <a:gradFill>
          <a:gsLst>
            <a:gs pos="17000">
              <a:srgbClr val="8A2BF1">
                <a:alpha val="10000"/>
              </a:srgbClr>
            </a:gs>
            <a:gs pos="100000">
              <a:srgbClr val="8A2BF1">
                <a:alpha val="70000"/>
              </a:srgb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0</xdr:colOff>
      <xdr:row>4</xdr:row>
      <xdr:rowOff>0</xdr:rowOff>
    </xdr:from>
    <xdr:to>
      <xdr:col>11</xdr:col>
      <xdr:colOff>457200</xdr:colOff>
      <xdr:row>6</xdr:row>
      <xdr:rowOff>91440</xdr:rowOff>
    </xdr:to>
    <xdr:grpSp>
      <xdr:nvGrpSpPr>
        <xdr:cNvPr id="7" name="Group 6">
          <a:extLst>
            <a:ext uri="{FF2B5EF4-FFF2-40B4-BE49-F238E27FC236}">
              <a16:creationId xmlns:a16="http://schemas.microsoft.com/office/drawing/2014/main" id="{00000000-0008-0000-0300-000007000000}"/>
            </a:ext>
          </a:extLst>
        </xdr:cNvPr>
        <xdr:cNvGrpSpPr/>
      </xdr:nvGrpSpPr>
      <xdr:grpSpPr>
        <a:xfrm>
          <a:off x="6705600" y="762000"/>
          <a:ext cx="457200" cy="472440"/>
          <a:chOff x="8915400" y="6492240"/>
          <a:chExt cx="457200" cy="457200"/>
        </a:xfrm>
      </xdr:grpSpPr>
      <xdr:sp macro="" textlink="">
        <xdr:nvSpPr>
          <xdr:cNvPr id="11" name="Rectangle 10">
            <a:extLst>
              <a:ext uri="{FF2B5EF4-FFF2-40B4-BE49-F238E27FC236}">
                <a16:creationId xmlns:a16="http://schemas.microsoft.com/office/drawing/2014/main" id="{00000000-0008-0000-0300-00000B000000}"/>
              </a:ext>
            </a:extLst>
          </xdr:cNvPr>
          <xdr:cNvSpPr/>
        </xdr:nvSpPr>
        <xdr:spPr>
          <a:xfrm>
            <a:off x="8915400" y="6492240"/>
            <a:ext cx="457200"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 name="Oval 20">
            <a:extLst>
              <a:ext uri="{FF2B5EF4-FFF2-40B4-BE49-F238E27FC236}">
                <a16:creationId xmlns:a16="http://schemas.microsoft.com/office/drawing/2014/main" id="{00000000-0008-0000-0300-000015000000}"/>
              </a:ext>
            </a:extLst>
          </xdr:cNvPr>
          <xdr:cNvSpPr/>
        </xdr:nvSpPr>
        <xdr:spPr>
          <a:xfrm>
            <a:off x="9098280" y="6583680"/>
            <a:ext cx="274320" cy="274320"/>
          </a:xfrm>
          <a:prstGeom prst="ellipse">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0</xdr:colOff>
      <xdr:row>7</xdr:row>
      <xdr:rowOff>144780</xdr:rowOff>
    </xdr:from>
    <xdr:to>
      <xdr:col>11</xdr:col>
      <xdr:colOff>457200</xdr:colOff>
      <xdr:row>10</xdr:row>
      <xdr:rowOff>53340</xdr:rowOff>
    </xdr:to>
    <xdr:grpSp>
      <xdr:nvGrpSpPr>
        <xdr:cNvPr id="22" name="Group 21">
          <a:extLst>
            <a:ext uri="{FF2B5EF4-FFF2-40B4-BE49-F238E27FC236}">
              <a16:creationId xmlns:a16="http://schemas.microsoft.com/office/drawing/2014/main" id="{00000000-0008-0000-0300-000016000000}"/>
            </a:ext>
          </a:extLst>
        </xdr:cNvPr>
        <xdr:cNvGrpSpPr/>
      </xdr:nvGrpSpPr>
      <xdr:grpSpPr>
        <a:xfrm>
          <a:off x="6705600" y="1478280"/>
          <a:ext cx="457200" cy="480060"/>
          <a:chOff x="8915400" y="6492240"/>
          <a:chExt cx="457200" cy="457200"/>
        </a:xfrm>
      </xdr:grpSpPr>
      <xdr:sp macro="" textlink="">
        <xdr:nvSpPr>
          <xdr:cNvPr id="23" name="Rectangle 22">
            <a:extLst>
              <a:ext uri="{FF2B5EF4-FFF2-40B4-BE49-F238E27FC236}">
                <a16:creationId xmlns:a16="http://schemas.microsoft.com/office/drawing/2014/main" id="{00000000-0008-0000-0300-000017000000}"/>
              </a:ext>
            </a:extLst>
          </xdr:cNvPr>
          <xdr:cNvSpPr/>
        </xdr:nvSpPr>
        <xdr:spPr>
          <a:xfrm>
            <a:off x="8915400" y="6492240"/>
            <a:ext cx="457200" cy="457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4" name="Oval 23">
            <a:extLst>
              <a:ext uri="{FF2B5EF4-FFF2-40B4-BE49-F238E27FC236}">
                <a16:creationId xmlns:a16="http://schemas.microsoft.com/office/drawing/2014/main" id="{00000000-0008-0000-0300-000018000000}"/>
              </a:ext>
            </a:extLst>
          </xdr:cNvPr>
          <xdr:cNvSpPr/>
        </xdr:nvSpPr>
        <xdr:spPr>
          <a:xfrm>
            <a:off x="9098280" y="6583680"/>
            <a:ext cx="274320" cy="274320"/>
          </a:xfrm>
          <a:prstGeom prst="ellipse">
            <a:avLst/>
          </a:prstGeom>
          <a:solidFill>
            <a:srgbClr val="8A2B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14</xdr:col>
      <xdr:colOff>0</xdr:colOff>
      <xdr:row>4</xdr:row>
      <xdr:rowOff>0</xdr:rowOff>
    </xdr:from>
    <xdr:to>
      <xdr:col>16</xdr:col>
      <xdr:colOff>335280</xdr:colOff>
      <xdr:row>12</xdr:row>
      <xdr:rowOff>91440</xdr:rowOff>
    </xdr:to>
    <xdr:sp macro="" textlink="">
      <xdr:nvSpPr>
        <xdr:cNvPr id="25" name="Oval 24">
          <a:extLst>
            <a:ext uri="{FF2B5EF4-FFF2-40B4-BE49-F238E27FC236}">
              <a16:creationId xmlns:a16="http://schemas.microsoft.com/office/drawing/2014/main" id="{00000000-0008-0000-0300-000019000000}"/>
            </a:ext>
          </a:extLst>
        </xdr:cNvPr>
        <xdr:cNvSpPr/>
      </xdr:nvSpPr>
      <xdr:spPr>
        <a:xfrm>
          <a:off x="8534400" y="731520"/>
          <a:ext cx="1554480" cy="1554480"/>
        </a:xfrm>
        <a:prstGeom prst="ellipse">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586740</xdr:colOff>
      <xdr:row>11</xdr:row>
      <xdr:rowOff>53340</xdr:rowOff>
    </xdr:from>
    <xdr:to>
      <xdr:col>22</xdr:col>
      <xdr:colOff>350520</xdr:colOff>
      <xdr:row>14</xdr:row>
      <xdr:rowOff>76200</xdr:rowOff>
    </xdr:to>
    <xdr:sp macro="" textlink="">
      <xdr:nvSpPr>
        <xdr:cNvPr id="26" name="Rectangle: Rounded Corners 25">
          <a:extLst>
            <a:ext uri="{FF2B5EF4-FFF2-40B4-BE49-F238E27FC236}">
              <a16:creationId xmlns:a16="http://schemas.microsoft.com/office/drawing/2014/main" id="{00000000-0008-0000-0300-00001A000000}"/>
            </a:ext>
          </a:extLst>
        </xdr:cNvPr>
        <xdr:cNvSpPr/>
      </xdr:nvSpPr>
      <xdr:spPr>
        <a:xfrm>
          <a:off x="10949940" y="2065020"/>
          <a:ext cx="2811780" cy="571500"/>
        </a:xfrm>
        <a:prstGeom prst="roundRect">
          <a:avLst>
            <a:gd name="adj" fmla="val 50000"/>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0</xdr:colOff>
      <xdr:row>21</xdr:row>
      <xdr:rowOff>0</xdr:rowOff>
    </xdr:from>
    <xdr:to>
      <xdr:col>14</xdr:col>
      <xdr:colOff>457200</xdr:colOff>
      <xdr:row>23</xdr:row>
      <xdr:rowOff>91440</xdr:rowOff>
    </xdr:to>
    <xdr:sp macro="" textlink="">
      <xdr:nvSpPr>
        <xdr:cNvPr id="27" name="Flowchart: Delay 26">
          <a:extLst>
            <a:ext uri="{FF2B5EF4-FFF2-40B4-BE49-F238E27FC236}">
              <a16:creationId xmlns:a16="http://schemas.microsoft.com/office/drawing/2014/main" id="{00000000-0008-0000-0300-00001B000000}"/>
            </a:ext>
          </a:extLst>
        </xdr:cNvPr>
        <xdr:cNvSpPr/>
      </xdr:nvSpPr>
      <xdr:spPr>
        <a:xfrm rot="10800000">
          <a:off x="8534400" y="3840480"/>
          <a:ext cx="457200" cy="457200"/>
        </a:xfrm>
        <a:prstGeom prst="flowChartDelay">
          <a:avLst/>
        </a:prstGeom>
        <a:solidFill>
          <a:srgbClr val="29D85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320040</xdr:colOff>
      <xdr:row>21</xdr:row>
      <xdr:rowOff>0</xdr:rowOff>
    </xdr:from>
    <xdr:to>
      <xdr:col>16</xdr:col>
      <xdr:colOff>167640</xdr:colOff>
      <xdr:row>23</xdr:row>
      <xdr:rowOff>91440</xdr:rowOff>
    </xdr:to>
    <xdr:sp macro="" textlink="">
      <xdr:nvSpPr>
        <xdr:cNvPr id="28" name="Flowchart: Delay 27">
          <a:extLst>
            <a:ext uri="{FF2B5EF4-FFF2-40B4-BE49-F238E27FC236}">
              <a16:creationId xmlns:a16="http://schemas.microsoft.com/office/drawing/2014/main" id="{00000000-0008-0000-0300-00001C000000}"/>
            </a:ext>
          </a:extLst>
        </xdr:cNvPr>
        <xdr:cNvSpPr/>
      </xdr:nvSpPr>
      <xdr:spPr>
        <a:xfrm>
          <a:off x="9464040" y="3840480"/>
          <a:ext cx="457200" cy="457200"/>
        </a:xfrm>
        <a:prstGeom prst="flowChartDelay">
          <a:avLst/>
        </a:prstGeom>
        <a:solidFill>
          <a:srgbClr val="09DBA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24</xdr:row>
      <xdr:rowOff>83820</xdr:rowOff>
    </xdr:from>
    <xdr:to>
      <xdr:col>14</xdr:col>
      <xdr:colOff>457200</xdr:colOff>
      <xdr:row>26</xdr:row>
      <xdr:rowOff>175260</xdr:rowOff>
    </xdr:to>
    <xdr:sp macro="" textlink="">
      <xdr:nvSpPr>
        <xdr:cNvPr id="29" name="Flowchart: Delay 28">
          <a:extLst>
            <a:ext uri="{FF2B5EF4-FFF2-40B4-BE49-F238E27FC236}">
              <a16:creationId xmlns:a16="http://schemas.microsoft.com/office/drawing/2014/main" id="{00000000-0008-0000-0300-00001D000000}"/>
            </a:ext>
          </a:extLst>
        </xdr:cNvPr>
        <xdr:cNvSpPr/>
      </xdr:nvSpPr>
      <xdr:spPr>
        <a:xfrm>
          <a:off x="8534400" y="4472940"/>
          <a:ext cx="457200" cy="457200"/>
        </a:xfrm>
        <a:prstGeom prst="flowChartDelay">
          <a:avLst/>
        </a:prstGeom>
        <a:solidFill>
          <a:srgbClr val="F85C2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320040</xdr:colOff>
      <xdr:row>24</xdr:row>
      <xdr:rowOff>83820</xdr:rowOff>
    </xdr:from>
    <xdr:to>
      <xdr:col>16</xdr:col>
      <xdr:colOff>167640</xdr:colOff>
      <xdr:row>26</xdr:row>
      <xdr:rowOff>175260</xdr:rowOff>
    </xdr:to>
    <xdr:sp macro="" textlink="">
      <xdr:nvSpPr>
        <xdr:cNvPr id="30" name="Flowchart: Delay 29">
          <a:extLst>
            <a:ext uri="{FF2B5EF4-FFF2-40B4-BE49-F238E27FC236}">
              <a16:creationId xmlns:a16="http://schemas.microsoft.com/office/drawing/2014/main" id="{00000000-0008-0000-0300-00001E000000}"/>
            </a:ext>
          </a:extLst>
        </xdr:cNvPr>
        <xdr:cNvSpPr/>
      </xdr:nvSpPr>
      <xdr:spPr>
        <a:xfrm rot="10800000">
          <a:off x="9464040" y="4472940"/>
          <a:ext cx="457200" cy="457200"/>
        </a:xfrm>
        <a:prstGeom prst="flowChartDelay">
          <a:avLst/>
        </a:prstGeom>
        <a:solidFill>
          <a:srgbClr val="D1179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27</xdr:row>
      <xdr:rowOff>76200</xdr:rowOff>
    </xdr:from>
    <xdr:to>
      <xdr:col>14</xdr:col>
      <xdr:colOff>457200</xdr:colOff>
      <xdr:row>29</xdr:row>
      <xdr:rowOff>167640</xdr:rowOff>
    </xdr:to>
    <xdr:sp macro="" textlink="">
      <xdr:nvSpPr>
        <xdr:cNvPr id="31" name="Flowchart: Delay 30">
          <a:extLst>
            <a:ext uri="{FF2B5EF4-FFF2-40B4-BE49-F238E27FC236}">
              <a16:creationId xmlns:a16="http://schemas.microsoft.com/office/drawing/2014/main" id="{00000000-0008-0000-0300-00001F000000}"/>
            </a:ext>
          </a:extLst>
        </xdr:cNvPr>
        <xdr:cNvSpPr/>
      </xdr:nvSpPr>
      <xdr:spPr>
        <a:xfrm rot="10800000">
          <a:off x="8534400" y="5013960"/>
          <a:ext cx="457200" cy="457200"/>
        </a:xfrm>
        <a:prstGeom prst="flowChartDelay">
          <a:avLst/>
        </a:prstGeom>
        <a:solidFill>
          <a:srgbClr val="FF0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533400</xdr:colOff>
      <xdr:row>21</xdr:row>
      <xdr:rowOff>22860</xdr:rowOff>
    </xdr:from>
    <xdr:to>
      <xdr:col>20</xdr:col>
      <xdr:colOff>381000</xdr:colOff>
      <xdr:row>23</xdr:row>
      <xdr:rowOff>114300</xdr:rowOff>
    </xdr:to>
    <xdr:sp macro="" textlink="">
      <xdr:nvSpPr>
        <xdr:cNvPr id="32" name="Flowchart: Delay 31">
          <a:extLst>
            <a:ext uri="{FF2B5EF4-FFF2-40B4-BE49-F238E27FC236}">
              <a16:creationId xmlns:a16="http://schemas.microsoft.com/office/drawing/2014/main" id="{00000000-0008-0000-0300-000020000000}"/>
            </a:ext>
          </a:extLst>
        </xdr:cNvPr>
        <xdr:cNvSpPr/>
      </xdr:nvSpPr>
      <xdr:spPr>
        <a:xfrm rot="10800000">
          <a:off x="12115800" y="3863340"/>
          <a:ext cx="457200" cy="457200"/>
        </a:xfrm>
        <a:prstGeom prst="flowChartDelay">
          <a:avLst/>
        </a:prstGeom>
        <a:solidFill>
          <a:srgbClr val="782BD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487680</xdr:colOff>
      <xdr:row>24</xdr:row>
      <xdr:rowOff>167640</xdr:rowOff>
    </xdr:from>
    <xdr:to>
      <xdr:col>20</xdr:col>
      <xdr:colOff>335280</xdr:colOff>
      <xdr:row>27</xdr:row>
      <xdr:rowOff>76200</xdr:rowOff>
    </xdr:to>
    <xdr:sp macro="" textlink="">
      <xdr:nvSpPr>
        <xdr:cNvPr id="33" name="Flowchart: Delay 32">
          <a:extLst>
            <a:ext uri="{FF2B5EF4-FFF2-40B4-BE49-F238E27FC236}">
              <a16:creationId xmlns:a16="http://schemas.microsoft.com/office/drawing/2014/main" id="{00000000-0008-0000-0300-000021000000}"/>
            </a:ext>
          </a:extLst>
        </xdr:cNvPr>
        <xdr:cNvSpPr/>
      </xdr:nvSpPr>
      <xdr:spPr>
        <a:xfrm>
          <a:off x="12070080" y="4556760"/>
          <a:ext cx="457200" cy="457200"/>
        </a:xfrm>
        <a:prstGeom prst="flowChartDelay">
          <a:avLst/>
        </a:prstGeom>
        <a:solidFill>
          <a:srgbClr val="FF00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519837</xdr:colOff>
      <xdr:row>4</xdr:row>
      <xdr:rowOff>91440</xdr:rowOff>
    </xdr:from>
    <xdr:to>
      <xdr:col>5</xdr:col>
      <xdr:colOff>185776</xdr:colOff>
      <xdr:row>13</xdr:row>
      <xdr:rowOff>54864</xdr:rowOff>
    </xdr:to>
    <xdr:grpSp>
      <xdr:nvGrpSpPr>
        <xdr:cNvPr id="34" name="Group 33">
          <a:extLst>
            <a:ext uri="{FF2B5EF4-FFF2-40B4-BE49-F238E27FC236}">
              <a16:creationId xmlns:a16="http://schemas.microsoft.com/office/drawing/2014/main" id="{95BBCD02-5A7A-0AFD-693D-7C02310507AB}"/>
            </a:ext>
          </a:extLst>
        </xdr:cNvPr>
        <xdr:cNvGrpSpPr/>
      </xdr:nvGrpSpPr>
      <xdr:grpSpPr>
        <a:xfrm>
          <a:off x="2348637" y="853440"/>
          <a:ext cx="885139" cy="1677924"/>
          <a:chOff x="3956457" y="822960"/>
          <a:chExt cx="885139" cy="1609344"/>
        </a:xfrm>
      </xdr:grpSpPr>
      <xdr:sp macro="" textlink="">
        <xdr:nvSpPr>
          <xdr:cNvPr id="35" name="Rectangle 34">
            <a:extLst>
              <a:ext uri="{FF2B5EF4-FFF2-40B4-BE49-F238E27FC236}">
                <a16:creationId xmlns:a16="http://schemas.microsoft.com/office/drawing/2014/main" id="{22CFEA85-413C-4522-DBAB-60CD7F234B4D}"/>
              </a:ext>
            </a:extLst>
          </xdr:cNvPr>
          <xdr:cNvSpPr/>
        </xdr:nvSpPr>
        <xdr:spPr>
          <a:xfrm>
            <a:off x="3956457" y="822960"/>
            <a:ext cx="885139" cy="1609344"/>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6" name="Freeform: Shape 35">
            <a:extLst>
              <a:ext uri="{FF2B5EF4-FFF2-40B4-BE49-F238E27FC236}">
                <a16:creationId xmlns:a16="http://schemas.microsoft.com/office/drawing/2014/main" id="{F9FB0FEF-9A7D-00E6-2AF2-15C3FDE569C7}"/>
              </a:ext>
            </a:extLst>
          </xdr:cNvPr>
          <xdr:cNvSpPr/>
        </xdr:nvSpPr>
        <xdr:spPr>
          <a:xfrm>
            <a:off x="3999191" y="824979"/>
            <a:ext cx="799671" cy="1605307"/>
          </a:xfrm>
          <a:custGeom>
            <a:avLst/>
            <a:gdLst>
              <a:gd name="connsiteX0" fmla="*/ 201726 w 799671"/>
              <a:gd name="connsiteY0" fmla="*/ 355600 h 1605307"/>
              <a:gd name="connsiteX1" fmla="*/ 592246 w 799671"/>
              <a:gd name="connsiteY1" fmla="*/ 355600 h 1605307"/>
              <a:gd name="connsiteX2" fmla="*/ 592246 w 799671"/>
              <a:gd name="connsiteY2" fmla="*/ 357774 h 1605307"/>
              <a:gd name="connsiteX3" fmla="*/ 597464 w 799671"/>
              <a:gd name="connsiteY3" fmla="*/ 357447 h 1605307"/>
              <a:gd name="connsiteX4" fmla="*/ 657961 w 799671"/>
              <a:gd name="connsiteY4" fmla="*/ 410898 h 1605307"/>
              <a:gd name="connsiteX5" fmla="*/ 797165 w 799671"/>
              <a:gd name="connsiteY5" fmla="*/ 930415 h 1605307"/>
              <a:gd name="connsiteX6" fmla="*/ 745528 w 799671"/>
              <a:gd name="connsiteY6" fmla="*/ 1019853 h 1605307"/>
              <a:gd name="connsiteX7" fmla="*/ 728355 w 799671"/>
              <a:gd name="connsiteY7" fmla="*/ 1024454 h 1605307"/>
              <a:gd name="connsiteX8" fmla="*/ 638917 w 799671"/>
              <a:gd name="connsiteY8" fmla="*/ 972817 h 1605307"/>
              <a:gd name="connsiteX9" fmla="*/ 592246 w 799671"/>
              <a:gd name="connsiteY9" fmla="*/ 798639 h 1605307"/>
              <a:gd name="connsiteX10" fmla="*/ 592246 w 799671"/>
              <a:gd name="connsiteY10" fmla="*/ 994438 h 1605307"/>
              <a:gd name="connsiteX11" fmla="*/ 592246 w 799671"/>
              <a:gd name="connsiteY11" fmla="*/ 1058595 h 1605307"/>
              <a:gd name="connsiteX12" fmla="*/ 592246 w 799671"/>
              <a:gd name="connsiteY12" fmla="*/ 1532281 h 1605307"/>
              <a:gd name="connsiteX13" fmla="*/ 519220 w 799671"/>
              <a:gd name="connsiteY13" fmla="*/ 1605307 h 1605307"/>
              <a:gd name="connsiteX14" fmla="*/ 501442 w 799671"/>
              <a:gd name="connsiteY14" fmla="*/ 1605307 h 1605307"/>
              <a:gd name="connsiteX15" fmla="*/ 428416 w 799671"/>
              <a:gd name="connsiteY15" fmla="*/ 1532281 h 1605307"/>
              <a:gd name="connsiteX16" fmla="*/ 428416 w 799671"/>
              <a:gd name="connsiteY16" fmla="*/ 1058595 h 1605307"/>
              <a:gd name="connsiteX17" fmla="*/ 365556 w 799671"/>
              <a:gd name="connsiteY17" fmla="*/ 1058595 h 1605307"/>
              <a:gd name="connsiteX18" fmla="*/ 365556 w 799671"/>
              <a:gd name="connsiteY18" fmla="*/ 1532281 h 1605307"/>
              <a:gd name="connsiteX19" fmla="*/ 292530 w 799671"/>
              <a:gd name="connsiteY19" fmla="*/ 1605307 h 1605307"/>
              <a:gd name="connsiteX20" fmla="*/ 274752 w 799671"/>
              <a:gd name="connsiteY20" fmla="*/ 1605307 h 1605307"/>
              <a:gd name="connsiteX21" fmla="*/ 201726 w 799671"/>
              <a:gd name="connsiteY21" fmla="*/ 1532281 h 1605307"/>
              <a:gd name="connsiteX22" fmla="*/ 201726 w 799671"/>
              <a:gd name="connsiteY22" fmla="*/ 1058595 h 1605307"/>
              <a:gd name="connsiteX23" fmla="*/ 201726 w 799671"/>
              <a:gd name="connsiteY23" fmla="*/ 994438 h 1605307"/>
              <a:gd name="connsiteX24" fmla="*/ 201726 w 799671"/>
              <a:gd name="connsiteY24" fmla="*/ 819909 h 1605307"/>
              <a:gd name="connsiteX25" fmla="*/ 160754 w 799671"/>
              <a:gd name="connsiteY25" fmla="*/ 972818 h 1605307"/>
              <a:gd name="connsiteX26" fmla="*/ 71315 w 799671"/>
              <a:gd name="connsiteY26" fmla="*/ 1024455 h 1605307"/>
              <a:gd name="connsiteX27" fmla="*/ 54143 w 799671"/>
              <a:gd name="connsiteY27" fmla="*/ 1019854 h 1605307"/>
              <a:gd name="connsiteX28" fmla="*/ 2506 w 799671"/>
              <a:gd name="connsiteY28" fmla="*/ 930416 h 1605307"/>
              <a:gd name="connsiteX29" fmla="*/ 141710 w 799671"/>
              <a:gd name="connsiteY29" fmla="*/ 410899 h 1605307"/>
              <a:gd name="connsiteX30" fmla="*/ 164324 w 799671"/>
              <a:gd name="connsiteY30" fmla="*/ 374689 h 1605307"/>
              <a:gd name="connsiteX31" fmla="*/ 201726 w 799671"/>
              <a:gd name="connsiteY31" fmla="*/ 357667 h 1605307"/>
              <a:gd name="connsiteX32" fmla="*/ 392835 w 799671"/>
              <a:gd name="connsiteY32" fmla="*/ 0 h 1605307"/>
              <a:gd name="connsiteX33" fmla="*/ 552855 w 799671"/>
              <a:gd name="connsiteY33" fmla="*/ 160020 h 1605307"/>
              <a:gd name="connsiteX34" fmla="*/ 392835 w 799671"/>
              <a:gd name="connsiteY34" fmla="*/ 320040 h 1605307"/>
              <a:gd name="connsiteX35" fmla="*/ 232815 w 799671"/>
              <a:gd name="connsiteY35" fmla="*/ 160020 h 1605307"/>
              <a:gd name="connsiteX36" fmla="*/ 392835 w 799671"/>
              <a:gd name="connsiteY36" fmla="*/ 0 h 16053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Lst>
            <a:rect l="l" t="t" r="r" b="b"/>
            <a:pathLst>
              <a:path w="799671" h="1605307">
                <a:moveTo>
                  <a:pt x="201726" y="355600"/>
                </a:moveTo>
                <a:lnTo>
                  <a:pt x="592246" y="355600"/>
                </a:lnTo>
                <a:lnTo>
                  <a:pt x="592246" y="357774"/>
                </a:lnTo>
                <a:lnTo>
                  <a:pt x="597464" y="357447"/>
                </a:lnTo>
                <a:cubicBezTo>
                  <a:pt x="625650" y="361372"/>
                  <a:pt x="650132" y="381681"/>
                  <a:pt x="657961" y="410898"/>
                </a:cubicBezTo>
                <a:lnTo>
                  <a:pt x="797165" y="930415"/>
                </a:lnTo>
                <a:cubicBezTo>
                  <a:pt x="807603" y="969371"/>
                  <a:pt x="784484" y="1009414"/>
                  <a:pt x="745528" y="1019853"/>
                </a:cubicBezTo>
                <a:lnTo>
                  <a:pt x="728355" y="1024454"/>
                </a:lnTo>
                <a:cubicBezTo>
                  <a:pt x="689399" y="1034893"/>
                  <a:pt x="649356" y="1011774"/>
                  <a:pt x="638917" y="972817"/>
                </a:cubicBezTo>
                <a:lnTo>
                  <a:pt x="592246" y="798639"/>
                </a:lnTo>
                <a:lnTo>
                  <a:pt x="592246" y="994438"/>
                </a:lnTo>
                <a:lnTo>
                  <a:pt x="592246" y="1058595"/>
                </a:lnTo>
                <a:lnTo>
                  <a:pt x="592246" y="1532281"/>
                </a:lnTo>
                <a:cubicBezTo>
                  <a:pt x="592246" y="1572612"/>
                  <a:pt x="559551" y="1605307"/>
                  <a:pt x="519220" y="1605307"/>
                </a:cubicBezTo>
                <a:lnTo>
                  <a:pt x="501442" y="1605307"/>
                </a:lnTo>
                <a:cubicBezTo>
                  <a:pt x="461111" y="1605307"/>
                  <a:pt x="428416" y="1572612"/>
                  <a:pt x="428416" y="1532281"/>
                </a:cubicBezTo>
                <a:lnTo>
                  <a:pt x="428416" y="1058595"/>
                </a:lnTo>
                <a:lnTo>
                  <a:pt x="365556" y="1058595"/>
                </a:lnTo>
                <a:lnTo>
                  <a:pt x="365556" y="1532281"/>
                </a:lnTo>
                <a:cubicBezTo>
                  <a:pt x="365556" y="1572612"/>
                  <a:pt x="332861" y="1605307"/>
                  <a:pt x="292530" y="1605307"/>
                </a:cubicBezTo>
                <a:lnTo>
                  <a:pt x="274752" y="1605307"/>
                </a:lnTo>
                <a:cubicBezTo>
                  <a:pt x="234421" y="1605307"/>
                  <a:pt x="201726" y="1572612"/>
                  <a:pt x="201726" y="1532281"/>
                </a:cubicBezTo>
                <a:lnTo>
                  <a:pt x="201726" y="1058595"/>
                </a:lnTo>
                <a:lnTo>
                  <a:pt x="201726" y="994438"/>
                </a:lnTo>
                <a:lnTo>
                  <a:pt x="201726" y="819909"/>
                </a:lnTo>
                <a:lnTo>
                  <a:pt x="160754" y="972818"/>
                </a:lnTo>
                <a:cubicBezTo>
                  <a:pt x="150315" y="1011775"/>
                  <a:pt x="110272" y="1034894"/>
                  <a:pt x="71315" y="1024455"/>
                </a:cubicBezTo>
                <a:lnTo>
                  <a:pt x="54143" y="1019854"/>
                </a:lnTo>
                <a:cubicBezTo>
                  <a:pt x="15186" y="1009415"/>
                  <a:pt x="-7933" y="969372"/>
                  <a:pt x="2506" y="930416"/>
                </a:cubicBezTo>
                <a:lnTo>
                  <a:pt x="141710" y="410899"/>
                </a:lnTo>
                <a:cubicBezTo>
                  <a:pt x="145624" y="396290"/>
                  <a:pt x="153702" y="383909"/>
                  <a:pt x="164324" y="374689"/>
                </a:cubicBezTo>
                <a:lnTo>
                  <a:pt x="201726" y="357667"/>
                </a:lnTo>
                <a:close/>
                <a:moveTo>
                  <a:pt x="392835" y="0"/>
                </a:moveTo>
                <a:cubicBezTo>
                  <a:pt x="481212" y="0"/>
                  <a:pt x="552855" y="71643"/>
                  <a:pt x="552855" y="160020"/>
                </a:cubicBezTo>
                <a:cubicBezTo>
                  <a:pt x="552855" y="248397"/>
                  <a:pt x="481212" y="320040"/>
                  <a:pt x="392835" y="320040"/>
                </a:cubicBezTo>
                <a:cubicBezTo>
                  <a:pt x="304458" y="320040"/>
                  <a:pt x="232815" y="248397"/>
                  <a:pt x="232815" y="160020"/>
                </a:cubicBezTo>
                <a:cubicBezTo>
                  <a:pt x="232815" y="71643"/>
                  <a:pt x="304458" y="0"/>
                  <a:pt x="392835" y="0"/>
                </a:cubicBezTo>
                <a:close/>
              </a:path>
            </a:pathLst>
          </a:cu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12</xdr:col>
      <xdr:colOff>39777</xdr:colOff>
      <xdr:row>4</xdr:row>
      <xdr:rowOff>91440</xdr:rowOff>
    </xdr:from>
    <xdr:to>
      <xdr:col>13</xdr:col>
      <xdr:colOff>315316</xdr:colOff>
      <xdr:row>13</xdr:row>
      <xdr:rowOff>54864</xdr:rowOff>
    </xdr:to>
    <xdr:grpSp>
      <xdr:nvGrpSpPr>
        <xdr:cNvPr id="37" name="Group 36">
          <a:extLst>
            <a:ext uri="{FF2B5EF4-FFF2-40B4-BE49-F238E27FC236}">
              <a16:creationId xmlns:a16="http://schemas.microsoft.com/office/drawing/2014/main" id="{3013E7DB-EB97-8FF6-1931-6BCC1B89A384}"/>
            </a:ext>
          </a:extLst>
        </xdr:cNvPr>
        <xdr:cNvGrpSpPr/>
      </xdr:nvGrpSpPr>
      <xdr:grpSpPr>
        <a:xfrm>
          <a:off x="7354977" y="853440"/>
          <a:ext cx="885139" cy="1677924"/>
          <a:chOff x="3956457" y="822960"/>
          <a:chExt cx="885139" cy="1609344"/>
        </a:xfrm>
      </xdr:grpSpPr>
      <xdr:sp macro="" textlink="">
        <xdr:nvSpPr>
          <xdr:cNvPr id="38" name="Rectangle 37">
            <a:extLst>
              <a:ext uri="{FF2B5EF4-FFF2-40B4-BE49-F238E27FC236}">
                <a16:creationId xmlns:a16="http://schemas.microsoft.com/office/drawing/2014/main" id="{25F2ED44-4031-EF73-4585-871D8FE856A4}"/>
              </a:ext>
            </a:extLst>
          </xdr:cNvPr>
          <xdr:cNvSpPr/>
        </xdr:nvSpPr>
        <xdr:spPr>
          <a:xfrm>
            <a:off x="3956457" y="822960"/>
            <a:ext cx="885139" cy="1609344"/>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39" name="Freeform: Shape 38">
            <a:extLst>
              <a:ext uri="{FF2B5EF4-FFF2-40B4-BE49-F238E27FC236}">
                <a16:creationId xmlns:a16="http://schemas.microsoft.com/office/drawing/2014/main" id="{59367A0B-891E-7835-6283-66403D32EAF9}"/>
              </a:ext>
            </a:extLst>
          </xdr:cNvPr>
          <xdr:cNvSpPr/>
        </xdr:nvSpPr>
        <xdr:spPr>
          <a:xfrm>
            <a:off x="3999191" y="824979"/>
            <a:ext cx="799671" cy="1605307"/>
          </a:xfrm>
          <a:custGeom>
            <a:avLst/>
            <a:gdLst>
              <a:gd name="connsiteX0" fmla="*/ 201726 w 799671"/>
              <a:gd name="connsiteY0" fmla="*/ 355600 h 1605307"/>
              <a:gd name="connsiteX1" fmla="*/ 592246 w 799671"/>
              <a:gd name="connsiteY1" fmla="*/ 355600 h 1605307"/>
              <a:gd name="connsiteX2" fmla="*/ 592246 w 799671"/>
              <a:gd name="connsiteY2" fmla="*/ 357774 h 1605307"/>
              <a:gd name="connsiteX3" fmla="*/ 597464 w 799671"/>
              <a:gd name="connsiteY3" fmla="*/ 357447 h 1605307"/>
              <a:gd name="connsiteX4" fmla="*/ 657961 w 799671"/>
              <a:gd name="connsiteY4" fmla="*/ 410898 h 1605307"/>
              <a:gd name="connsiteX5" fmla="*/ 797165 w 799671"/>
              <a:gd name="connsiteY5" fmla="*/ 930415 h 1605307"/>
              <a:gd name="connsiteX6" fmla="*/ 745528 w 799671"/>
              <a:gd name="connsiteY6" fmla="*/ 1019853 h 1605307"/>
              <a:gd name="connsiteX7" fmla="*/ 728355 w 799671"/>
              <a:gd name="connsiteY7" fmla="*/ 1024454 h 1605307"/>
              <a:gd name="connsiteX8" fmla="*/ 638917 w 799671"/>
              <a:gd name="connsiteY8" fmla="*/ 972817 h 1605307"/>
              <a:gd name="connsiteX9" fmla="*/ 592246 w 799671"/>
              <a:gd name="connsiteY9" fmla="*/ 798639 h 1605307"/>
              <a:gd name="connsiteX10" fmla="*/ 592246 w 799671"/>
              <a:gd name="connsiteY10" fmla="*/ 994438 h 1605307"/>
              <a:gd name="connsiteX11" fmla="*/ 592246 w 799671"/>
              <a:gd name="connsiteY11" fmla="*/ 1058595 h 1605307"/>
              <a:gd name="connsiteX12" fmla="*/ 592246 w 799671"/>
              <a:gd name="connsiteY12" fmla="*/ 1532281 h 1605307"/>
              <a:gd name="connsiteX13" fmla="*/ 519220 w 799671"/>
              <a:gd name="connsiteY13" fmla="*/ 1605307 h 1605307"/>
              <a:gd name="connsiteX14" fmla="*/ 501442 w 799671"/>
              <a:gd name="connsiteY14" fmla="*/ 1605307 h 1605307"/>
              <a:gd name="connsiteX15" fmla="*/ 428416 w 799671"/>
              <a:gd name="connsiteY15" fmla="*/ 1532281 h 1605307"/>
              <a:gd name="connsiteX16" fmla="*/ 428416 w 799671"/>
              <a:gd name="connsiteY16" fmla="*/ 1058595 h 1605307"/>
              <a:gd name="connsiteX17" fmla="*/ 365556 w 799671"/>
              <a:gd name="connsiteY17" fmla="*/ 1058595 h 1605307"/>
              <a:gd name="connsiteX18" fmla="*/ 365556 w 799671"/>
              <a:gd name="connsiteY18" fmla="*/ 1532281 h 1605307"/>
              <a:gd name="connsiteX19" fmla="*/ 292530 w 799671"/>
              <a:gd name="connsiteY19" fmla="*/ 1605307 h 1605307"/>
              <a:gd name="connsiteX20" fmla="*/ 274752 w 799671"/>
              <a:gd name="connsiteY20" fmla="*/ 1605307 h 1605307"/>
              <a:gd name="connsiteX21" fmla="*/ 201726 w 799671"/>
              <a:gd name="connsiteY21" fmla="*/ 1532281 h 1605307"/>
              <a:gd name="connsiteX22" fmla="*/ 201726 w 799671"/>
              <a:gd name="connsiteY22" fmla="*/ 1058595 h 1605307"/>
              <a:gd name="connsiteX23" fmla="*/ 201726 w 799671"/>
              <a:gd name="connsiteY23" fmla="*/ 994438 h 1605307"/>
              <a:gd name="connsiteX24" fmla="*/ 201726 w 799671"/>
              <a:gd name="connsiteY24" fmla="*/ 819909 h 1605307"/>
              <a:gd name="connsiteX25" fmla="*/ 160754 w 799671"/>
              <a:gd name="connsiteY25" fmla="*/ 972818 h 1605307"/>
              <a:gd name="connsiteX26" fmla="*/ 71315 w 799671"/>
              <a:gd name="connsiteY26" fmla="*/ 1024455 h 1605307"/>
              <a:gd name="connsiteX27" fmla="*/ 54143 w 799671"/>
              <a:gd name="connsiteY27" fmla="*/ 1019854 h 1605307"/>
              <a:gd name="connsiteX28" fmla="*/ 2506 w 799671"/>
              <a:gd name="connsiteY28" fmla="*/ 930416 h 1605307"/>
              <a:gd name="connsiteX29" fmla="*/ 141710 w 799671"/>
              <a:gd name="connsiteY29" fmla="*/ 410899 h 1605307"/>
              <a:gd name="connsiteX30" fmla="*/ 164324 w 799671"/>
              <a:gd name="connsiteY30" fmla="*/ 374689 h 1605307"/>
              <a:gd name="connsiteX31" fmla="*/ 201726 w 799671"/>
              <a:gd name="connsiteY31" fmla="*/ 357667 h 1605307"/>
              <a:gd name="connsiteX32" fmla="*/ 392835 w 799671"/>
              <a:gd name="connsiteY32" fmla="*/ 0 h 1605307"/>
              <a:gd name="connsiteX33" fmla="*/ 552855 w 799671"/>
              <a:gd name="connsiteY33" fmla="*/ 160020 h 1605307"/>
              <a:gd name="connsiteX34" fmla="*/ 392835 w 799671"/>
              <a:gd name="connsiteY34" fmla="*/ 320040 h 1605307"/>
              <a:gd name="connsiteX35" fmla="*/ 232815 w 799671"/>
              <a:gd name="connsiteY35" fmla="*/ 160020 h 1605307"/>
              <a:gd name="connsiteX36" fmla="*/ 392835 w 799671"/>
              <a:gd name="connsiteY36" fmla="*/ 0 h 160530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Lst>
            <a:rect l="l" t="t" r="r" b="b"/>
            <a:pathLst>
              <a:path w="799671" h="1605307">
                <a:moveTo>
                  <a:pt x="201726" y="355600"/>
                </a:moveTo>
                <a:lnTo>
                  <a:pt x="592246" y="355600"/>
                </a:lnTo>
                <a:lnTo>
                  <a:pt x="592246" y="357774"/>
                </a:lnTo>
                <a:lnTo>
                  <a:pt x="597464" y="357447"/>
                </a:lnTo>
                <a:cubicBezTo>
                  <a:pt x="625650" y="361372"/>
                  <a:pt x="650132" y="381681"/>
                  <a:pt x="657961" y="410898"/>
                </a:cubicBezTo>
                <a:lnTo>
                  <a:pt x="797165" y="930415"/>
                </a:lnTo>
                <a:cubicBezTo>
                  <a:pt x="807603" y="969371"/>
                  <a:pt x="784484" y="1009414"/>
                  <a:pt x="745528" y="1019853"/>
                </a:cubicBezTo>
                <a:lnTo>
                  <a:pt x="728355" y="1024454"/>
                </a:lnTo>
                <a:cubicBezTo>
                  <a:pt x="689399" y="1034893"/>
                  <a:pt x="649356" y="1011774"/>
                  <a:pt x="638917" y="972817"/>
                </a:cubicBezTo>
                <a:lnTo>
                  <a:pt x="592246" y="798639"/>
                </a:lnTo>
                <a:lnTo>
                  <a:pt x="592246" y="994438"/>
                </a:lnTo>
                <a:lnTo>
                  <a:pt x="592246" y="1058595"/>
                </a:lnTo>
                <a:lnTo>
                  <a:pt x="592246" y="1532281"/>
                </a:lnTo>
                <a:cubicBezTo>
                  <a:pt x="592246" y="1572612"/>
                  <a:pt x="559551" y="1605307"/>
                  <a:pt x="519220" y="1605307"/>
                </a:cubicBezTo>
                <a:lnTo>
                  <a:pt x="501442" y="1605307"/>
                </a:lnTo>
                <a:cubicBezTo>
                  <a:pt x="461111" y="1605307"/>
                  <a:pt x="428416" y="1572612"/>
                  <a:pt x="428416" y="1532281"/>
                </a:cubicBezTo>
                <a:lnTo>
                  <a:pt x="428416" y="1058595"/>
                </a:lnTo>
                <a:lnTo>
                  <a:pt x="365556" y="1058595"/>
                </a:lnTo>
                <a:lnTo>
                  <a:pt x="365556" y="1532281"/>
                </a:lnTo>
                <a:cubicBezTo>
                  <a:pt x="365556" y="1572612"/>
                  <a:pt x="332861" y="1605307"/>
                  <a:pt x="292530" y="1605307"/>
                </a:cubicBezTo>
                <a:lnTo>
                  <a:pt x="274752" y="1605307"/>
                </a:lnTo>
                <a:cubicBezTo>
                  <a:pt x="234421" y="1605307"/>
                  <a:pt x="201726" y="1572612"/>
                  <a:pt x="201726" y="1532281"/>
                </a:cubicBezTo>
                <a:lnTo>
                  <a:pt x="201726" y="1058595"/>
                </a:lnTo>
                <a:lnTo>
                  <a:pt x="201726" y="994438"/>
                </a:lnTo>
                <a:lnTo>
                  <a:pt x="201726" y="819909"/>
                </a:lnTo>
                <a:lnTo>
                  <a:pt x="160754" y="972818"/>
                </a:lnTo>
                <a:cubicBezTo>
                  <a:pt x="150315" y="1011775"/>
                  <a:pt x="110272" y="1034894"/>
                  <a:pt x="71315" y="1024455"/>
                </a:cubicBezTo>
                <a:lnTo>
                  <a:pt x="54143" y="1019854"/>
                </a:lnTo>
                <a:cubicBezTo>
                  <a:pt x="15186" y="1009415"/>
                  <a:pt x="-7933" y="969372"/>
                  <a:pt x="2506" y="930416"/>
                </a:cubicBezTo>
                <a:lnTo>
                  <a:pt x="141710" y="410899"/>
                </a:lnTo>
                <a:cubicBezTo>
                  <a:pt x="145624" y="396290"/>
                  <a:pt x="153702" y="383909"/>
                  <a:pt x="164324" y="374689"/>
                </a:cubicBezTo>
                <a:lnTo>
                  <a:pt x="201726" y="357667"/>
                </a:lnTo>
                <a:close/>
                <a:moveTo>
                  <a:pt x="392835" y="0"/>
                </a:moveTo>
                <a:cubicBezTo>
                  <a:pt x="481212" y="0"/>
                  <a:pt x="552855" y="71643"/>
                  <a:pt x="552855" y="160020"/>
                </a:cubicBezTo>
                <a:cubicBezTo>
                  <a:pt x="552855" y="248397"/>
                  <a:pt x="481212" y="320040"/>
                  <a:pt x="392835" y="320040"/>
                </a:cubicBezTo>
                <a:cubicBezTo>
                  <a:pt x="304458" y="320040"/>
                  <a:pt x="232815" y="248397"/>
                  <a:pt x="232815" y="160020"/>
                </a:cubicBezTo>
                <a:cubicBezTo>
                  <a:pt x="232815" y="71643"/>
                  <a:pt x="304458" y="0"/>
                  <a:pt x="392835" y="0"/>
                </a:cubicBezTo>
                <a:close/>
              </a:path>
            </a:pathLst>
          </a:cu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oneCellAnchor>
    <xdr:from>
      <xdr:col>6</xdr:col>
      <xdr:colOff>580097</xdr:colOff>
      <xdr:row>14</xdr:row>
      <xdr:rowOff>68363</xdr:rowOff>
    </xdr:from>
    <xdr:ext cx="4150945" cy="937693"/>
    <xdr:sp macro="" textlink="">
      <xdr:nvSpPr>
        <xdr:cNvPr id="40" name="Rectangle 39">
          <a:extLst>
            <a:ext uri="{FF2B5EF4-FFF2-40B4-BE49-F238E27FC236}">
              <a16:creationId xmlns:a16="http://schemas.microsoft.com/office/drawing/2014/main" id="{F5937F74-8096-707B-3964-012882EDE1DA}"/>
            </a:ext>
          </a:extLst>
        </xdr:cNvPr>
        <xdr:cNvSpPr/>
      </xdr:nvSpPr>
      <xdr:spPr>
        <a:xfrm>
          <a:off x="4237697" y="2628683"/>
          <a:ext cx="4150945" cy="937693"/>
        </a:xfrm>
        <a:prstGeom prst="rect">
          <a:avLst/>
        </a:prstGeom>
        <a:noFill/>
      </xdr:spPr>
      <xdr:txBody>
        <a:bodyPr wrap="none" lIns="91440" tIns="45720" rIns="91440" bIns="45720">
          <a:spAutoFit/>
        </a:bodyPr>
        <a:lstStyle/>
        <a:p>
          <a:pPr algn="ctr"/>
          <a:r>
            <a:rPr lang="en-US" sz="5400"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Your text </a:t>
          </a:r>
          <a:r>
            <a:rPr lang="en-US" sz="5400" b="1" cap="none" spc="0">
              <a:ln w="12700" cmpd="sng">
                <a:solidFill>
                  <a:schemeClr val="accent4"/>
                </a:solidFill>
                <a:prstDash val="solid"/>
              </a:ln>
              <a:gradFill>
                <a:gsLst>
                  <a:gs pos="0">
                    <a:schemeClr val="accent4"/>
                  </a:gs>
                  <a:gs pos="19000">
                    <a:schemeClr val="accent4">
                      <a:lumMod val="60000"/>
                      <a:lumOff val="40000"/>
                    </a:schemeClr>
                  </a:gs>
                  <a:gs pos="87000">
                    <a:schemeClr val="accent4">
                      <a:lumMod val="20000"/>
                      <a:lumOff val="80000"/>
                    </a:schemeClr>
                  </a:gs>
                </a:gsLst>
                <a:lin ang="5400000"/>
              </a:gradFill>
              <a:effectLst/>
            </a:rPr>
            <a:t>here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469.755561805556" createdVersion="8" refreshedVersion="8" minRefreshableVersion="3" recordCount="365" xr:uid="{8877B662-2BF9-48E9-9B68-1A69E891F2D9}">
  <cacheSource type="worksheet">
    <worksheetSource name="mydata"/>
  </cacheSource>
  <cacheFields count="29">
    <cacheField name="Date" numFmtId="14">
      <sharedItems containsSemiMixedTypes="0" containsNonDate="0" containsDate="1" containsString="0" minDate="2025-01-01T00:00:00" maxDate="2026-01-01T00:00:00"/>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6" count="6">
        <n v="1"/>
        <n v="2"/>
        <n v="3"/>
        <n v="4"/>
        <n v="5"/>
        <n v="6"/>
      </sharedItems>
    </cacheField>
    <cacheField name="Day" numFmtId="0">
      <sharedItems count="7">
        <s v="Wednesday"/>
        <s v="Thursday"/>
        <s v="Friday"/>
        <s v="Saturday"/>
        <s v="Sunday"/>
        <s v="Monday"/>
        <s v="Tuesday"/>
      </sharedItems>
    </cacheField>
    <cacheField name="PRESENCE" numFmtId="9">
      <sharedItems containsSemiMixedTypes="0" containsString="0" containsNumber="1" minValue="0.1" maxValue="1"/>
    </cacheField>
    <cacheField name="EER" numFmtId="9">
      <sharedItems containsSemiMixedTypes="0" containsString="0" containsNumber="1" minValue="0.35" maxValue="0.9"/>
    </cacheField>
    <cacheField name="ESR" numFmtId="9">
      <sharedItems containsSemiMixedTypes="0" containsString="0" containsNumber="1" minValue="0.35" maxValue="0.9"/>
    </cacheField>
    <cacheField name="Vacancies" numFmtId="0">
      <sharedItems containsSemiMixedTypes="0" containsString="0" containsNumber="1" containsInteger="1" minValue="5" maxValue="40"/>
    </cacheField>
    <cacheField name="Resumes" numFmtId="0">
      <sharedItems containsSemiMixedTypes="0" containsString="0" containsNumber="1" containsInteger="1" minValue="5" maxValue="40"/>
    </cacheField>
    <cacheField name="Recruiter 1" numFmtId="0">
      <sharedItems containsSemiMixedTypes="0" containsString="0" containsNumber="1" containsInteger="1" minValue="1" maxValue="12"/>
    </cacheField>
    <cacheField name="Recruiter 2" numFmtId="0">
      <sharedItems containsSemiMixedTypes="0" containsString="0" containsNumber="1" containsInteger="1" minValue="1" maxValue="12"/>
    </cacheField>
    <cacheField name="Recruiter 3" numFmtId="0">
      <sharedItems containsSemiMixedTypes="0" containsString="0" containsNumber="1" containsInteger="1" minValue="1" maxValue="12"/>
    </cacheField>
    <cacheField name="Recruiter 4" numFmtId="0">
      <sharedItems containsSemiMixedTypes="0" containsString="0" containsNumber="1" containsInteger="1" minValue="1" maxValue="12"/>
    </cacheField>
    <cacheField name="Recruiter 5" numFmtId="0">
      <sharedItems containsSemiMixedTypes="0" containsString="0" containsNumber="1" containsInteger="1" minValue="1" maxValue="12"/>
    </cacheField>
    <cacheField name="Top-1" numFmtId="0">
      <sharedItems containsSemiMixedTypes="0" containsString="0" containsNumber="1" containsInteger="1" minValue="0" maxValue="3750"/>
    </cacheField>
    <cacheField name="Top-2" numFmtId="0">
      <sharedItems containsSemiMixedTypes="0" containsString="0" containsNumber="1" containsInteger="1" minValue="9" maxValue="3375"/>
    </cacheField>
    <cacheField name="Top-3" numFmtId="0">
      <sharedItems containsSemiMixedTypes="0" containsString="0" containsNumber="1" minValue="1.5" maxValue="2692.5"/>
    </cacheField>
    <cacheField name="Sales Plan" numFmtId="0">
      <sharedItems containsSemiMixedTypes="0" containsString="0" containsNumber="1" containsInteger="1" minValue="455" maxValue="6986"/>
    </cacheField>
    <cacheField name="KPI 1" numFmtId="9">
      <sharedItems containsSemiMixedTypes="0" containsString="0" containsNumber="1" minValue="0.15" maxValue="1.25"/>
    </cacheField>
    <cacheField name="KPI 2" numFmtId="9">
      <sharedItems containsSemiMixedTypes="0" containsString="0" containsNumber="1" minValue="0.15" maxValue="1.2"/>
    </cacheField>
    <cacheField name="KPI 3" numFmtId="9">
      <sharedItems containsSemiMixedTypes="0" containsString="0" containsNumber="1" minValue="0.15" maxValue="1.1499999999999999"/>
    </cacheField>
    <cacheField name="Loss of  Working Time" numFmtId="9">
      <sharedItems containsSemiMixedTypes="0" containsString="0" containsNumber="1" minValue="0.01" maxValue="0.1"/>
    </cacheField>
    <cacheField name="Filling Vacancies" numFmtId="9">
      <sharedItems containsSemiMixedTypes="0" containsString="0" containsNumber="1" minValue="0.20250000000000001" maxValue="0.95"/>
    </cacheField>
    <cacheField name="Adaptation" numFmtId="9">
      <sharedItems containsSemiMixedTypes="0" containsString="0" containsNumber="1" minValue="0.17820000000000003" maxValue="0.99"/>
    </cacheField>
    <cacheField name="Education" numFmtId="9">
      <sharedItems containsSemiMixedTypes="0" containsString="0" containsNumber="1" minValue="0.1575" maxValue="0.9"/>
    </cacheField>
    <cacheField name="Rang 1" numFmtId="0">
      <sharedItems containsSemiMixedTypes="0" containsString="0" containsNumber="1" containsInteger="1" minValue="78" maxValue="100"/>
    </cacheField>
    <cacheField name="Rang 2" numFmtId="0">
      <sharedItems containsSemiMixedTypes="0" containsString="0" containsNumber="1" containsInteger="1" minValue="50" maxValue="80"/>
    </cacheField>
    <cacheField name="Rang 3" numFmtId="0">
      <sharedItems containsSemiMixedTypes="0" containsString="0" containsNumber="1" containsInteger="1" minValue="10" maxValue="48"/>
    </cacheField>
    <cacheField name="General Productivity" numFmtId="9">
      <sharedItems containsSemiMixedTypes="0" containsString="0" containsNumber="1" minValue="0.20232000000000003" maxValue="0.91120000000000001"/>
    </cacheField>
  </cacheFields>
  <extLst>
    <ext xmlns:x14="http://schemas.microsoft.com/office/spreadsheetml/2009/9/main" uri="{725AE2AE-9491-48be-B2B4-4EB974FC3084}">
      <x14:pivotCacheDefinition pivotCacheId="2139292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d v="2025-01-01T00:00:00"/>
    <x v="0"/>
    <x v="0"/>
    <x v="0"/>
    <n v="0.84"/>
    <n v="0.66"/>
    <n v="0.86"/>
    <n v="28"/>
    <n v="15"/>
    <n v="1"/>
    <n v="4"/>
    <n v="5"/>
    <n v="9"/>
    <n v="7"/>
    <n v="3305"/>
    <n v="133"/>
    <n v="2067"/>
    <n v="4891"/>
    <n v="0.53"/>
    <n v="0.3"/>
    <n v="0.67"/>
    <n v="0.03"/>
    <n v="0.91"/>
    <n v="0.77880000000000005"/>
    <n v="0.6"/>
    <n v="98"/>
    <n v="66"/>
    <n v="23"/>
    <n v="0.76293333333333335"/>
  </r>
  <r>
    <d v="2025-01-02T00:00:00"/>
    <x v="0"/>
    <x v="0"/>
    <x v="1"/>
    <n v="0.92"/>
    <n v="0.75"/>
    <n v="0.8"/>
    <n v="9"/>
    <n v="8"/>
    <n v="11"/>
    <n v="6"/>
    <n v="12"/>
    <n v="2"/>
    <n v="7"/>
    <n v="2880"/>
    <n v="423"/>
    <n v="715.5"/>
    <n v="4224"/>
    <n v="0.63"/>
    <n v="0.44"/>
    <n v="0.59"/>
    <n v="0.01"/>
    <n v="0.83"/>
    <n v="0.91080000000000005"/>
    <n v="0.68"/>
    <n v="89"/>
    <n v="64"/>
    <n v="10"/>
    <n v="0.80693333333333339"/>
  </r>
  <r>
    <d v="2025-01-03T00:00:00"/>
    <x v="0"/>
    <x v="0"/>
    <x v="2"/>
    <n v="0.86"/>
    <n v="0.44"/>
    <n v="0.68"/>
    <n v="11"/>
    <n v="12"/>
    <n v="2"/>
    <n v="4"/>
    <n v="2"/>
    <n v="2"/>
    <n v="2"/>
    <n v="1812"/>
    <n v="664"/>
    <n v="378"/>
    <n v="2512"/>
    <n v="0.54"/>
    <n v="1.04"/>
    <n v="1"/>
    <n v="0.1"/>
    <n v="0.89"/>
    <n v="0.81840000000000002"/>
    <n v="0.54"/>
    <n v="80"/>
    <n v="56"/>
    <n v="29"/>
    <n v="0.74946666666666673"/>
  </r>
  <r>
    <d v="2025-01-04T00:00:00"/>
    <x v="0"/>
    <x v="0"/>
    <x v="3"/>
    <n v="0.27"/>
    <n v="0.56000000000000005"/>
    <n v="0.47"/>
    <n v="9"/>
    <n v="18"/>
    <n v="2"/>
    <n v="2"/>
    <n v="4"/>
    <n v="4"/>
    <n v="2"/>
    <n v="3385"/>
    <n v="2054"/>
    <n v="252"/>
    <n v="4468"/>
    <n v="0.37"/>
    <n v="0.53"/>
    <n v="1.02"/>
    <n v="0.09"/>
    <n v="0.42299999999999999"/>
    <n v="0.43956000000000006"/>
    <n v="0.26100000000000001"/>
    <n v="85"/>
    <n v="57"/>
    <n v="11"/>
    <n v="0.37451999999999996"/>
  </r>
  <r>
    <d v="2025-01-05T00:00:00"/>
    <x v="0"/>
    <x v="0"/>
    <x v="4"/>
    <n v="0.38"/>
    <n v="0.63"/>
    <n v="0.89"/>
    <n v="40"/>
    <n v="40"/>
    <n v="5"/>
    <n v="2"/>
    <n v="2"/>
    <n v="2"/>
    <n v="2"/>
    <n v="1330"/>
    <n v="124"/>
    <n v="141"/>
    <n v="2394"/>
    <n v="1"/>
    <n v="1.2"/>
    <n v="0.43"/>
    <n v="0.09"/>
    <n v="0.35100000000000003"/>
    <n v="0.19602000000000006"/>
    <n v="0.30150000000000005"/>
    <n v="85"/>
    <n v="57"/>
    <n v="34"/>
    <n v="0.28284000000000004"/>
  </r>
  <r>
    <d v="2025-01-06T00:00:00"/>
    <x v="0"/>
    <x v="1"/>
    <x v="5"/>
    <n v="0.72"/>
    <n v="0.67"/>
    <n v="0.42"/>
    <n v="6"/>
    <n v="18"/>
    <n v="7"/>
    <n v="5"/>
    <n v="2"/>
    <n v="2"/>
    <n v="5"/>
    <n v="2485"/>
    <n v="2595"/>
    <n v="1383"/>
    <n v="3844"/>
    <n v="1.06"/>
    <n v="0.62"/>
    <n v="0.26"/>
    <n v="0.04"/>
    <n v="0.93"/>
    <n v="0.48840000000000006"/>
    <n v="0.71"/>
    <n v="100"/>
    <n v="72"/>
    <n v="28"/>
    <n v="0.70946666666666669"/>
  </r>
  <r>
    <d v="2025-01-07T00:00:00"/>
    <x v="0"/>
    <x v="1"/>
    <x v="6"/>
    <n v="0.91"/>
    <n v="0.54"/>
    <n v="0.38"/>
    <n v="37"/>
    <n v="20"/>
    <n v="2"/>
    <n v="2"/>
    <n v="12"/>
    <n v="6"/>
    <n v="1"/>
    <n v="49"/>
    <n v="2661"/>
    <n v="2313"/>
    <n v="2927"/>
    <n v="0.83"/>
    <n v="1.1299999999999999"/>
    <n v="0.35"/>
    <n v="0.1"/>
    <n v="0.94"/>
    <n v="0.48840000000000006"/>
    <n v="0.79"/>
    <n v="97"/>
    <n v="65"/>
    <n v="22"/>
    <n v="0.73946666666666661"/>
  </r>
  <r>
    <d v="2025-01-08T00:00:00"/>
    <x v="0"/>
    <x v="1"/>
    <x v="0"/>
    <n v="0.98"/>
    <n v="0.69"/>
    <n v="0.83"/>
    <n v="32"/>
    <n v="32"/>
    <n v="5"/>
    <n v="4"/>
    <n v="3"/>
    <n v="11"/>
    <n v="8"/>
    <n v="2251"/>
    <n v="2871"/>
    <n v="1828.5"/>
    <n v="3158"/>
    <n v="0.61"/>
    <n v="0.67"/>
    <n v="0.84"/>
    <n v="0.03"/>
    <n v="0.67"/>
    <n v="0.43560000000000004"/>
    <n v="0.86"/>
    <n v="82"/>
    <n v="62"/>
    <n v="36"/>
    <n v="0.65520000000000012"/>
  </r>
  <r>
    <d v="2025-01-09T00:00:00"/>
    <x v="0"/>
    <x v="1"/>
    <x v="1"/>
    <n v="0.76"/>
    <n v="0.83"/>
    <n v="0.82"/>
    <n v="7"/>
    <n v="33"/>
    <n v="2"/>
    <n v="2"/>
    <n v="11"/>
    <n v="9"/>
    <n v="2"/>
    <n v="2354"/>
    <n v="131"/>
    <n v="1192.5"/>
    <n v="3295"/>
    <n v="0.49"/>
    <n v="0.69"/>
    <n v="0.42"/>
    <n v="0.02"/>
    <n v="0.67"/>
    <n v="0.68640000000000001"/>
    <n v="0.87"/>
    <n v="78"/>
    <n v="65"/>
    <n v="14"/>
    <n v="0.74213333333333331"/>
  </r>
  <r>
    <d v="2025-01-10T00:00:00"/>
    <x v="0"/>
    <x v="1"/>
    <x v="2"/>
    <n v="0.77"/>
    <n v="0.69"/>
    <n v="0.8"/>
    <n v="20"/>
    <n v="10"/>
    <n v="2"/>
    <n v="6"/>
    <n v="7"/>
    <n v="3"/>
    <n v="4"/>
    <n v="135"/>
    <n v="168"/>
    <n v="414"/>
    <n v="455"/>
    <n v="0.91"/>
    <n v="0.63"/>
    <n v="0.71"/>
    <n v="0.08"/>
    <n v="0.49"/>
    <n v="0.68640000000000001"/>
    <n v="0.89"/>
    <n v="95"/>
    <n v="80"/>
    <n v="36"/>
    <n v="0.68880000000000008"/>
  </r>
  <r>
    <d v="2025-01-11T00:00:00"/>
    <x v="0"/>
    <x v="1"/>
    <x v="3"/>
    <n v="0.39"/>
    <n v="0.54"/>
    <n v="0.87"/>
    <n v="19"/>
    <n v="22"/>
    <n v="7"/>
    <n v="2"/>
    <n v="8"/>
    <n v="3"/>
    <n v="2"/>
    <n v="2811"/>
    <n v="684"/>
    <n v="240"/>
    <n v="4986"/>
    <n v="0.15"/>
    <n v="0.18"/>
    <n v="0.8"/>
    <n v="0.01"/>
    <n v="0.38700000000000001"/>
    <n v="0.32076000000000005"/>
    <n v="0.3105"/>
    <n v="79"/>
    <n v="78"/>
    <n v="23"/>
    <n v="0.33942000000000005"/>
  </r>
  <r>
    <d v="2025-01-12T00:00:00"/>
    <x v="0"/>
    <x v="1"/>
    <x v="4"/>
    <n v="0.37"/>
    <n v="0.8"/>
    <n v="0.82"/>
    <n v="35"/>
    <n v="35"/>
    <n v="1"/>
    <n v="1"/>
    <n v="7"/>
    <n v="7"/>
    <n v="6"/>
    <n v="2554"/>
    <n v="1719"/>
    <n v="2637"/>
    <n v="3406"/>
    <n v="0.43"/>
    <n v="0.85"/>
    <n v="0.87"/>
    <n v="0.08"/>
    <n v="0.35550000000000004"/>
    <n v="0.29700000000000004"/>
    <n v="0.32850000000000001"/>
    <n v="89"/>
    <n v="51"/>
    <n v="33"/>
    <n v="0.32700000000000001"/>
  </r>
  <r>
    <d v="2025-01-13T00:00:00"/>
    <x v="0"/>
    <x v="2"/>
    <x v="5"/>
    <n v="0.95"/>
    <n v="0.87"/>
    <n v="0.89"/>
    <n v="32"/>
    <n v="26"/>
    <n v="2"/>
    <n v="8"/>
    <n v="12"/>
    <n v="11"/>
    <n v="2"/>
    <n v="2841"/>
    <n v="675"/>
    <n v="2398.5"/>
    <n v="4280"/>
    <n v="0.5"/>
    <n v="0.42"/>
    <n v="0.48"/>
    <n v="0.04"/>
    <n v="0.93"/>
    <n v="0.72600000000000009"/>
    <n v="0.81"/>
    <n v="78"/>
    <n v="56"/>
    <n v="48"/>
    <n v="0.82200000000000006"/>
  </r>
  <r>
    <d v="2025-01-14T00:00:00"/>
    <x v="0"/>
    <x v="2"/>
    <x v="6"/>
    <n v="0.95"/>
    <n v="0.47"/>
    <n v="0.67"/>
    <n v="29"/>
    <n v="11"/>
    <n v="6"/>
    <n v="3"/>
    <n v="12"/>
    <n v="12"/>
    <n v="7"/>
    <n v="853"/>
    <n v="697"/>
    <n v="2380.5"/>
    <n v="2618"/>
    <n v="1.2"/>
    <n v="0.45"/>
    <n v="0.93"/>
    <n v="0.1"/>
    <n v="0.46"/>
    <n v="0.51480000000000004"/>
    <n v="0.85"/>
    <n v="100"/>
    <n v="66"/>
    <n v="35"/>
    <n v="0.60826666666666673"/>
  </r>
  <r>
    <d v="2025-01-15T00:00:00"/>
    <x v="0"/>
    <x v="2"/>
    <x v="0"/>
    <n v="0.74"/>
    <n v="0.69"/>
    <n v="0.67"/>
    <n v="13"/>
    <n v="32"/>
    <n v="2"/>
    <n v="12"/>
    <n v="8"/>
    <n v="5"/>
    <n v="11"/>
    <n v="3380"/>
    <n v="3018"/>
    <n v="1629"/>
    <n v="4281"/>
    <n v="0.44"/>
    <n v="1.1399999999999999"/>
    <n v="0.63"/>
    <n v="0.06"/>
    <n v="0.47"/>
    <n v="0.68640000000000001"/>
    <n v="0.65"/>
    <n v="95"/>
    <n v="69"/>
    <n v="43"/>
    <n v="0.6021333333333333"/>
  </r>
  <r>
    <d v="2025-01-16T00:00:00"/>
    <x v="0"/>
    <x v="2"/>
    <x v="1"/>
    <n v="0.73"/>
    <n v="0.87"/>
    <n v="0.54"/>
    <n v="35"/>
    <n v="39"/>
    <n v="2"/>
    <n v="2"/>
    <n v="12"/>
    <n v="2"/>
    <n v="4"/>
    <n v="34"/>
    <n v="486"/>
    <n v="1503"/>
    <n v="1653"/>
    <n v="1.03"/>
    <n v="0.23"/>
    <n v="0.33"/>
    <n v="0.1"/>
    <n v="0.56000000000000005"/>
    <n v="0.79200000000000004"/>
    <n v="0.8"/>
    <n v="94"/>
    <n v="53"/>
    <n v="32"/>
    <n v="0.71733333333333338"/>
  </r>
  <r>
    <d v="2025-01-17T00:00:00"/>
    <x v="0"/>
    <x v="2"/>
    <x v="2"/>
    <n v="0.84"/>
    <n v="0.64"/>
    <n v="0.67"/>
    <n v="34"/>
    <n v="26"/>
    <n v="4"/>
    <n v="2"/>
    <n v="1"/>
    <n v="2"/>
    <n v="7"/>
    <n v="1491"/>
    <n v="916"/>
    <n v="1126.5"/>
    <n v="2485"/>
    <n v="0.33"/>
    <n v="0.48"/>
    <n v="1.08"/>
    <n v="7.0000000000000007E-2"/>
    <n v="0.88"/>
    <n v="0.83160000000000012"/>
    <n v="0.78"/>
    <n v="91"/>
    <n v="69"/>
    <n v="34"/>
    <n v="0.83053333333333335"/>
  </r>
  <r>
    <d v="2025-01-18T00:00:00"/>
    <x v="0"/>
    <x v="2"/>
    <x v="3"/>
    <n v="0.38"/>
    <n v="0.68"/>
    <n v="0.55000000000000004"/>
    <n v="9"/>
    <n v="30"/>
    <n v="2"/>
    <n v="4"/>
    <n v="4"/>
    <n v="7"/>
    <n v="7"/>
    <n v="1726"/>
    <n v="747"/>
    <n v="1414.5"/>
    <n v="1726"/>
    <n v="0.26"/>
    <n v="0.64"/>
    <n v="0.56000000000000005"/>
    <n v="7.0000000000000007E-2"/>
    <n v="0.39600000000000002"/>
    <n v="0.21384"/>
    <n v="0.35550000000000004"/>
    <n v="98"/>
    <n v="79"/>
    <n v="10"/>
    <n v="0.32178000000000001"/>
  </r>
  <r>
    <d v="2025-01-19T00:00:00"/>
    <x v="0"/>
    <x v="2"/>
    <x v="4"/>
    <n v="0.15"/>
    <n v="0.39"/>
    <n v="0.56999999999999995"/>
    <n v="16"/>
    <n v="18"/>
    <n v="2"/>
    <n v="2"/>
    <n v="2"/>
    <n v="2"/>
    <n v="3"/>
    <n v="387"/>
    <n v="1021"/>
    <n v="1468.5"/>
    <n v="1615"/>
    <n v="1.23"/>
    <n v="0.51"/>
    <n v="0.67"/>
    <n v="0.03"/>
    <n v="0.27"/>
    <n v="0.44550000000000006"/>
    <n v="0.26550000000000001"/>
    <n v="99"/>
    <n v="61"/>
    <n v="45"/>
    <n v="0.32700000000000001"/>
  </r>
  <r>
    <d v="2025-01-20T00:00:00"/>
    <x v="0"/>
    <x v="3"/>
    <x v="5"/>
    <n v="0.84"/>
    <n v="0.45"/>
    <n v="0.51"/>
    <n v="37"/>
    <n v="6"/>
    <n v="9"/>
    <n v="9"/>
    <n v="4"/>
    <n v="7"/>
    <n v="7"/>
    <n v="3258"/>
    <n v="1050"/>
    <n v="1621.5"/>
    <n v="4778"/>
    <n v="0.48"/>
    <n v="0.17"/>
    <n v="0.3"/>
    <n v="0.06"/>
    <n v="0.77"/>
    <n v="0.47520000000000001"/>
    <n v="0.55000000000000004"/>
    <n v="81"/>
    <n v="72"/>
    <n v="34"/>
    <n v="0.59840000000000004"/>
  </r>
  <r>
    <d v="2025-01-21T00:00:00"/>
    <x v="0"/>
    <x v="3"/>
    <x v="6"/>
    <n v="0.66"/>
    <n v="0.5"/>
    <n v="0.89"/>
    <n v="18"/>
    <n v="10"/>
    <n v="4"/>
    <n v="5"/>
    <n v="4"/>
    <n v="7"/>
    <n v="12"/>
    <n v="1962"/>
    <n v="767"/>
    <n v="2301"/>
    <n v="2354"/>
    <n v="0.2"/>
    <n v="0.81"/>
    <n v="1.1100000000000001"/>
    <n v="0.05"/>
    <n v="0.47"/>
    <n v="0.97680000000000011"/>
    <n v="0.49"/>
    <n v="86"/>
    <n v="59"/>
    <n v="33"/>
    <n v="0.64560000000000006"/>
  </r>
  <r>
    <d v="2025-01-22T00:00:00"/>
    <x v="0"/>
    <x v="3"/>
    <x v="0"/>
    <n v="0.76"/>
    <n v="0.52"/>
    <n v="0.4"/>
    <n v="5"/>
    <n v="7"/>
    <n v="11"/>
    <n v="6"/>
    <n v="5"/>
    <n v="2"/>
    <n v="6"/>
    <n v="240"/>
    <n v="3051"/>
    <n v="1786.5"/>
    <n v="3356"/>
    <n v="0.48"/>
    <n v="0.97"/>
    <n v="0.68"/>
    <n v="0.05"/>
    <n v="0.74"/>
    <n v="0.5676000000000001"/>
    <n v="0.53"/>
    <n v="87"/>
    <n v="73"/>
    <n v="35"/>
    <n v="0.61253333333333337"/>
  </r>
  <r>
    <d v="2025-01-23T00:00:00"/>
    <x v="0"/>
    <x v="3"/>
    <x v="1"/>
    <n v="0.98"/>
    <n v="0.65"/>
    <n v="0.8"/>
    <n v="30"/>
    <n v="18"/>
    <n v="12"/>
    <n v="12"/>
    <n v="3"/>
    <n v="3"/>
    <n v="3"/>
    <n v="909"/>
    <n v="1878"/>
    <n v="1485"/>
    <n v="2065"/>
    <n v="0.94"/>
    <n v="0.79"/>
    <n v="0.23"/>
    <n v="0.05"/>
    <n v="0.65"/>
    <n v="0.92400000000000004"/>
    <n v="0.57999999999999996"/>
    <n v="93"/>
    <n v="67"/>
    <n v="14"/>
    <n v="0.71799999999999997"/>
  </r>
  <r>
    <d v="2025-01-24T00:00:00"/>
    <x v="0"/>
    <x v="3"/>
    <x v="2"/>
    <n v="0.98"/>
    <n v="0.54"/>
    <n v="0.53"/>
    <n v="5"/>
    <n v="8"/>
    <n v="4"/>
    <n v="2"/>
    <n v="3"/>
    <n v="6"/>
    <n v="7"/>
    <n v="3245"/>
    <n v="1147"/>
    <n v="360"/>
    <n v="5754"/>
    <n v="0.56999999999999995"/>
    <n v="1.1299999999999999"/>
    <n v="0.28999999999999998"/>
    <n v="0.08"/>
    <n v="0.91"/>
    <n v="0.62039999999999995"/>
    <n v="0.38"/>
    <n v="97"/>
    <n v="65"/>
    <n v="43"/>
    <n v="0.63680000000000003"/>
  </r>
  <r>
    <d v="2025-01-25T00:00:00"/>
    <x v="0"/>
    <x v="3"/>
    <x v="3"/>
    <n v="0.32"/>
    <n v="0.69"/>
    <n v="0.35"/>
    <n v="14"/>
    <n v="38"/>
    <n v="1"/>
    <n v="8"/>
    <n v="5"/>
    <n v="2"/>
    <n v="7"/>
    <n v="2447"/>
    <n v="1365"/>
    <n v="1725"/>
    <n v="3001"/>
    <n v="0.22"/>
    <n v="0.64"/>
    <n v="0.15"/>
    <n v="0.04"/>
    <n v="0.20250000000000001"/>
    <n v="0.35640000000000005"/>
    <n v="0.27450000000000002"/>
    <n v="85"/>
    <n v="75"/>
    <n v="29"/>
    <n v="0.27780000000000005"/>
  </r>
  <r>
    <d v="2025-01-26T00:00:00"/>
    <x v="0"/>
    <x v="3"/>
    <x v="4"/>
    <n v="0.23"/>
    <n v="0.86"/>
    <n v="0.71"/>
    <n v="33"/>
    <n v="13"/>
    <n v="4"/>
    <n v="2"/>
    <n v="3"/>
    <n v="2"/>
    <n v="4"/>
    <n v="3457"/>
    <n v="2928"/>
    <n v="1059"/>
    <n v="6177"/>
    <n v="0.47"/>
    <n v="0.26"/>
    <n v="0.36"/>
    <n v="0.03"/>
    <n v="0.23400000000000001"/>
    <n v="0.23166000000000003"/>
    <n v="0.33750000000000002"/>
    <n v="82"/>
    <n v="60"/>
    <n v="14"/>
    <n v="0.26772000000000001"/>
  </r>
  <r>
    <d v="2025-01-27T00:00:00"/>
    <x v="0"/>
    <x v="4"/>
    <x v="5"/>
    <n v="0.69"/>
    <n v="0.9"/>
    <n v="0.43"/>
    <n v="29"/>
    <n v="27"/>
    <n v="2"/>
    <n v="11"/>
    <n v="8"/>
    <n v="6"/>
    <n v="11"/>
    <n v="898"/>
    <n v="2655"/>
    <n v="1129.5"/>
    <n v="2920"/>
    <n v="0.77"/>
    <n v="0.86"/>
    <n v="0.7"/>
    <n v="0.04"/>
    <n v="0.78"/>
    <n v="0.5544"/>
    <n v="0.5"/>
    <n v="87"/>
    <n v="69"/>
    <n v="22"/>
    <n v="0.61146666666666671"/>
  </r>
  <r>
    <d v="2025-01-28T00:00:00"/>
    <x v="0"/>
    <x v="4"/>
    <x v="6"/>
    <n v="0.68"/>
    <n v="0.7"/>
    <n v="0.77"/>
    <n v="26"/>
    <n v="39"/>
    <n v="2"/>
    <n v="8"/>
    <n v="5"/>
    <n v="8"/>
    <n v="8"/>
    <n v="1008"/>
    <n v="1814"/>
    <n v="450"/>
    <n v="1995"/>
    <n v="0.21"/>
    <n v="0.52"/>
    <n v="0.31"/>
    <n v="0.08"/>
    <n v="0.61"/>
    <n v="0.75239999999999996"/>
    <n v="0.65"/>
    <n v="99"/>
    <n v="74"/>
    <n v="16"/>
    <n v="0.67079999999999995"/>
  </r>
  <r>
    <d v="2025-01-29T00:00:00"/>
    <x v="0"/>
    <x v="4"/>
    <x v="0"/>
    <n v="0.8"/>
    <n v="0.59"/>
    <n v="0.41"/>
    <n v="11"/>
    <n v="19"/>
    <n v="9"/>
    <n v="1"/>
    <n v="9"/>
    <n v="12"/>
    <n v="1"/>
    <n v="1561"/>
    <n v="2425"/>
    <n v="553.5"/>
    <n v="2456"/>
    <n v="1.04"/>
    <n v="0.62"/>
    <n v="0.88"/>
    <n v="0.01"/>
    <n v="0.47"/>
    <n v="0.87120000000000009"/>
    <n v="0.57999999999999996"/>
    <n v="82"/>
    <n v="62"/>
    <n v="44"/>
    <n v="0.64040000000000008"/>
  </r>
  <r>
    <d v="2025-01-30T00:00:00"/>
    <x v="0"/>
    <x v="4"/>
    <x v="1"/>
    <n v="0.69"/>
    <n v="0.82"/>
    <n v="0.4"/>
    <n v="24"/>
    <n v="24"/>
    <n v="5"/>
    <n v="9"/>
    <n v="1"/>
    <n v="7"/>
    <n v="7"/>
    <n v="249"/>
    <n v="3156"/>
    <n v="1527"/>
    <n v="3471"/>
    <n v="1.22"/>
    <n v="0.28000000000000003"/>
    <n v="0.99"/>
    <n v="0.05"/>
    <n v="0.69"/>
    <n v="0.39600000000000002"/>
    <n v="0.76"/>
    <n v="88"/>
    <n v="67"/>
    <n v="28"/>
    <n v="0.61533333333333329"/>
  </r>
  <r>
    <d v="2025-01-31T00:00:00"/>
    <x v="0"/>
    <x v="4"/>
    <x v="2"/>
    <n v="0.93"/>
    <n v="0.66"/>
    <n v="0.63"/>
    <n v="8"/>
    <n v="28"/>
    <n v="6"/>
    <n v="2"/>
    <n v="2"/>
    <n v="7"/>
    <n v="1"/>
    <n v="1404"/>
    <n v="2796"/>
    <n v="843"/>
    <n v="3075"/>
    <n v="0.86"/>
    <n v="1.1200000000000001"/>
    <n v="0.28000000000000003"/>
    <n v="7.0000000000000007E-2"/>
    <n v="0.84"/>
    <n v="0.88440000000000007"/>
    <n v="0.84"/>
    <n v="99"/>
    <n v="80"/>
    <n v="32"/>
    <n v="0.8548"/>
  </r>
  <r>
    <d v="2025-02-01T00:00:00"/>
    <x v="1"/>
    <x v="0"/>
    <x v="3"/>
    <n v="0.19"/>
    <n v="0.86"/>
    <n v="0.56999999999999995"/>
    <n v="36"/>
    <n v="34"/>
    <n v="4"/>
    <n v="6"/>
    <n v="1"/>
    <n v="2"/>
    <n v="3"/>
    <n v="437"/>
    <n v="1312"/>
    <n v="2178"/>
    <n v="2395"/>
    <n v="0.27"/>
    <n v="1.04"/>
    <n v="0.54"/>
    <n v="0.03"/>
    <n v="0.26550000000000001"/>
    <n v="0.39204000000000011"/>
    <n v="0.19800000000000001"/>
    <n v="97"/>
    <n v="76"/>
    <n v="33"/>
    <n v="0.28518000000000004"/>
  </r>
  <r>
    <d v="2025-02-02T00:00:00"/>
    <x v="1"/>
    <x v="0"/>
    <x v="4"/>
    <n v="0.12"/>
    <n v="0.69"/>
    <n v="0.67"/>
    <n v="19"/>
    <n v="19"/>
    <n v="2"/>
    <n v="7"/>
    <n v="4"/>
    <n v="4"/>
    <n v="7"/>
    <n v="3189"/>
    <n v="3123"/>
    <n v="2628"/>
    <n v="5528"/>
    <n v="1.1299999999999999"/>
    <n v="0.76"/>
    <n v="1.1200000000000001"/>
    <n v="0.06"/>
    <n v="0.24300000000000002"/>
    <n v="0.31482000000000004"/>
    <n v="0.30150000000000005"/>
    <n v="95"/>
    <n v="52"/>
    <n v="45"/>
    <n v="0.28644000000000003"/>
  </r>
  <r>
    <d v="2025-02-03T00:00:00"/>
    <x v="1"/>
    <x v="1"/>
    <x v="5"/>
    <n v="0.85"/>
    <n v="0.54"/>
    <n v="0.43"/>
    <n v="34"/>
    <n v="40"/>
    <n v="2"/>
    <n v="12"/>
    <n v="9"/>
    <n v="9"/>
    <n v="9"/>
    <n v="77"/>
    <n v="3019"/>
    <n v="1579.5"/>
    <n v="3320"/>
    <n v="1.08"/>
    <n v="1.18"/>
    <n v="1.0900000000000001"/>
    <n v="0.08"/>
    <n v="0.83"/>
    <n v="0.44880000000000009"/>
    <n v="0.66"/>
    <n v="86"/>
    <n v="75"/>
    <n v="20"/>
    <n v="0.64626666666666666"/>
  </r>
  <r>
    <d v="2025-02-04T00:00:00"/>
    <x v="1"/>
    <x v="1"/>
    <x v="6"/>
    <n v="0.84"/>
    <n v="0.67"/>
    <n v="0.75"/>
    <n v="25"/>
    <n v="24"/>
    <n v="11"/>
    <n v="5"/>
    <n v="6"/>
    <n v="4"/>
    <n v="3"/>
    <n v="2089"/>
    <n v="1701"/>
    <n v="1891.5"/>
    <n v="3148"/>
    <n v="0.67"/>
    <n v="0.82"/>
    <n v="0.56000000000000005"/>
    <n v="0.06"/>
    <n v="0.79"/>
    <n v="0.47520000000000001"/>
    <n v="0.66"/>
    <n v="85"/>
    <n v="53"/>
    <n v="44"/>
    <n v="0.64173333333333338"/>
  </r>
  <r>
    <d v="2025-02-05T00:00:00"/>
    <x v="1"/>
    <x v="1"/>
    <x v="0"/>
    <n v="0.69"/>
    <n v="0.47"/>
    <n v="0.89"/>
    <n v="9"/>
    <n v="35"/>
    <n v="7"/>
    <n v="12"/>
    <n v="7"/>
    <n v="2"/>
    <n v="12"/>
    <n v="1507"/>
    <n v="2957"/>
    <n v="2166"/>
    <n v="3252"/>
    <n v="0.51"/>
    <n v="0.23"/>
    <n v="0.79"/>
    <n v="0.04"/>
    <n v="0.57999999999999996"/>
    <n v="0.39600000000000002"/>
    <n v="0.5"/>
    <n v="89"/>
    <n v="63"/>
    <n v="34"/>
    <n v="0.49199999999999999"/>
  </r>
  <r>
    <d v="2025-02-06T00:00:00"/>
    <x v="1"/>
    <x v="1"/>
    <x v="1"/>
    <n v="0.66"/>
    <n v="0.82"/>
    <n v="0.41"/>
    <n v="40"/>
    <n v="12"/>
    <n v="4"/>
    <n v="5"/>
    <n v="9"/>
    <n v="11"/>
    <n v="8"/>
    <n v="2076"/>
    <n v="391"/>
    <n v="402"/>
    <n v="3072"/>
    <n v="0.9"/>
    <n v="0.39"/>
    <n v="0.97"/>
    <n v="0.02"/>
    <n v="0.75"/>
    <n v="0.76560000000000006"/>
    <n v="0.73"/>
    <n v="78"/>
    <n v="58"/>
    <n v="28"/>
    <n v="0.74853333333333338"/>
  </r>
  <r>
    <d v="2025-02-07T00:00:00"/>
    <x v="1"/>
    <x v="1"/>
    <x v="2"/>
    <n v="0.92"/>
    <n v="0.47"/>
    <n v="0.75"/>
    <n v="33"/>
    <n v="25"/>
    <n v="2"/>
    <n v="8"/>
    <n v="5"/>
    <n v="3"/>
    <n v="3"/>
    <n v="3244"/>
    <n v="2538"/>
    <n v="171"/>
    <n v="5667"/>
    <n v="0.54"/>
    <n v="1.1200000000000001"/>
    <n v="1"/>
    <n v="7.0000000000000007E-2"/>
    <n v="0.61"/>
    <n v="0.8580000000000001"/>
    <n v="0.36"/>
    <n v="87"/>
    <n v="79"/>
    <n v="44"/>
    <n v="0.60933333333333328"/>
  </r>
  <r>
    <d v="2025-02-08T00:00:00"/>
    <x v="1"/>
    <x v="1"/>
    <x v="3"/>
    <n v="0.41"/>
    <n v="0.82"/>
    <n v="0.65"/>
    <n v="5"/>
    <n v="5"/>
    <n v="1"/>
    <n v="4"/>
    <n v="2"/>
    <n v="4"/>
    <n v="3"/>
    <n v="2510"/>
    <n v="2583"/>
    <n v="2236.5"/>
    <n v="3213"/>
    <n v="1.21"/>
    <n v="1.1399999999999999"/>
    <n v="0.82"/>
    <n v="0.1"/>
    <n v="0.30600000000000005"/>
    <n v="0.27917999999999998"/>
    <n v="0.39150000000000001"/>
    <n v="97"/>
    <n v="71"/>
    <n v="22"/>
    <n v="0.32556000000000002"/>
  </r>
  <r>
    <d v="2025-02-09T00:00:00"/>
    <x v="1"/>
    <x v="1"/>
    <x v="4"/>
    <n v="0.39"/>
    <n v="0.42"/>
    <n v="0.35"/>
    <n v="28"/>
    <n v="39"/>
    <n v="2"/>
    <n v="4"/>
    <n v="2"/>
    <n v="7"/>
    <n v="4"/>
    <n v="1490"/>
    <n v="732"/>
    <n v="784.5"/>
    <n v="1867"/>
    <n v="0.85"/>
    <n v="0.77"/>
    <n v="0.18"/>
    <n v="0.06"/>
    <n v="0.38700000000000001"/>
    <n v="0.42768"/>
    <n v="0.216"/>
    <n v="84"/>
    <n v="77"/>
    <n v="23"/>
    <n v="0.34356000000000003"/>
  </r>
  <r>
    <d v="2025-02-10T00:00:00"/>
    <x v="1"/>
    <x v="2"/>
    <x v="5"/>
    <n v="0.72"/>
    <n v="0.71"/>
    <n v="0.77"/>
    <n v="32"/>
    <n v="13"/>
    <n v="8"/>
    <n v="8"/>
    <n v="6"/>
    <n v="2"/>
    <n v="12"/>
    <n v="3729"/>
    <n v="2280"/>
    <n v="690"/>
    <n v="5170"/>
    <n v="0.57999999999999996"/>
    <n v="0.32"/>
    <n v="0.65"/>
    <n v="0.08"/>
    <n v="0.79"/>
    <n v="0.5676000000000001"/>
    <n v="0.54"/>
    <n v="80"/>
    <n v="72"/>
    <n v="14"/>
    <n v="0.63253333333333339"/>
  </r>
  <r>
    <d v="2025-02-11T00:00:00"/>
    <x v="1"/>
    <x v="2"/>
    <x v="6"/>
    <n v="0.62"/>
    <n v="0.45"/>
    <n v="0.89"/>
    <n v="26"/>
    <n v="15"/>
    <n v="4"/>
    <n v="7"/>
    <n v="7"/>
    <n v="12"/>
    <n v="12"/>
    <n v="651"/>
    <n v="3033"/>
    <n v="1386"/>
    <n v="3336"/>
    <n v="1.1399999999999999"/>
    <n v="0.21"/>
    <n v="0.28000000000000003"/>
    <n v="0.06"/>
    <n v="0.51"/>
    <n v="0.96360000000000012"/>
    <n v="0.63"/>
    <n v="93"/>
    <n v="72"/>
    <n v="30"/>
    <n v="0.70120000000000005"/>
  </r>
  <r>
    <d v="2025-02-12T00:00:00"/>
    <x v="1"/>
    <x v="2"/>
    <x v="0"/>
    <n v="0.97"/>
    <n v="0.45"/>
    <n v="0.78"/>
    <n v="25"/>
    <n v="27"/>
    <n v="11"/>
    <n v="6"/>
    <n v="8"/>
    <n v="7"/>
    <n v="3"/>
    <n v="680"/>
    <n v="789"/>
    <n v="472.5"/>
    <n v="1079"/>
    <n v="0.16"/>
    <n v="0.77"/>
    <n v="0.71"/>
    <n v="0.08"/>
    <n v="0.93"/>
    <n v="0.59400000000000008"/>
    <n v="0.48"/>
    <n v="86"/>
    <n v="64"/>
    <n v="43"/>
    <n v="0.66800000000000004"/>
  </r>
  <r>
    <d v="2025-02-13T00:00:00"/>
    <x v="1"/>
    <x v="2"/>
    <x v="1"/>
    <n v="0.86"/>
    <n v="0.72"/>
    <n v="0.5"/>
    <n v="26"/>
    <n v="28"/>
    <n v="2"/>
    <n v="9"/>
    <n v="4"/>
    <n v="7"/>
    <n v="4"/>
    <n v="2991"/>
    <n v="3224"/>
    <n v="9"/>
    <n v="4386"/>
    <n v="0.51"/>
    <n v="0.95"/>
    <n v="0.15"/>
    <n v="0.09"/>
    <n v="0.52"/>
    <n v="0.93720000000000003"/>
    <n v="0.75"/>
    <n v="85"/>
    <n v="58"/>
    <n v="29"/>
    <n v="0.73573333333333346"/>
  </r>
  <r>
    <d v="2025-02-14T00:00:00"/>
    <x v="1"/>
    <x v="2"/>
    <x v="2"/>
    <n v="0.6"/>
    <n v="0.52"/>
    <n v="0.88"/>
    <n v="21"/>
    <n v="23"/>
    <n v="4"/>
    <n v="7"/>
    <n v="7"/>
    <n v="4"/>
    <n v="1"/>
    <n v="2685"/>
    <n v="160"/>
    <n v="357"/>
    <n v="4905"/>
    <n v="0.95"/>
    <n v="0.15"/>
    <n v="0.81"/>
    <n v="0.03"/>
    <n v="0.78"/>
    <n v="0.7128000000000001"/>
    <n v="0.48"/>
    <n v="78"/>
    <n v="80"/>
    <n v="23"/>
    <n v="0.65760000000000007"/>
  </r>
  <r>
    <d v="2025-02-15T00:00:00"/>
    <x v="1"/>
    <x v="2"/>
    <x v="3"/>
    <n v="0.5"/>
    <n v="0.53"/>
    <n v="0.49"/>
    <n v="18"/>
    <n v="32"/>
    <n v="2"/>
    <n v="8"/>
    <n v="2"/>
    <n v="1"/>
    <n v="7"/>
    <n v="3172"/>
    <n v="1978"/>
    <n v="2692.5"/>
    <n v="4526"/>
    <n v="0.91"/>
    <n v="1.19"/>
    <n v="0.39"/>
    <n v="0.09"/>
    <n v="0.40050000000000002"/>
    <n v="0.43362000000000001"/>
    <n v="0.28800000000000003"/>
    <n v="93"/>
    <n v="73"/>
    <n v="27"/>
    <n v="0.37403999999999998"/>
  </r>
  <r>
    <d v="2025-02-16T00:00:00"/>
    <x v="1"/>
    <x v="2"/>
    <x v="4"/>
    <n v="0.3"/>
    <n v="0.47"/>
    <n v="0.67"/>
    <n v="20"/>
    <n v="17"/>
    <n v="3"/>
    <n v="5"/>
    <n v="2"/>
    <n v="4"/>
    <n v="8"/>
    <n v="3276"/>
    <n v="1467"/>
    <n v="2170.5"/>
    <n v="3844"/>
    <n v="0.8"/>
    <n v="1"/>
    <n v="0.75"/>
    <n v="0.08"/>
    <n v="0.378"/>
    <n v="0.30888000000000004"/>
    <n v="0.38250000000000001"/>
    <n v="83"/>
    <n v="74"/>
    <n v="21"/>
    <n v="0.35646"/>
  </r>
  <r>
    <d v="2025-02-17T00:00:00"/>
    <x v="1"/>
    <x v="3"/>
    <x v="5"/>
    <n v="0.69"/>
    <n v="0.81"/>
    <n v="0.73"/>
    <n v="13"/>
    <n v="28"/>
    <n v="1"/>
    <n v="9"/>
    <n v="12"/>
    <n v="6"/>
    <n v="6"/>
    <n v="914"/>
    <n v="864"/>
    <n v="2562"/>
    <n v="2818"/>
    <n v="0.25"/>
    <n v="0.15"/>
    <n v="0.68"/>
    <n v="0.03"/>
    <n v="0.83"/>
    <n v="0.87120000000000009"/>
    <n v="0.39"/>
    <n v="80"/>
    <n v="72"/>
    <n v="31"/>
    <n v="0.69706666666666672"/>
  </r>
  <r>
    <d v="2025-02-18T00:00:00"/>
    <x v="1"/>
    <x v="3"/>
    <x v="6"/>
    <n v="0.73"/>
    <n v="0.41"/>
    <n v="0.51"/>
    <n v="19"/>
    <n v="23"/>
    <n v="2"/>
    <n v="12"/>
    <n v="12"/>
    <n v="12"/>
    <n v="6"/>
    <n v="3486"/>
    <n v="9"/>
    <n v="1309.5"/>
    <n v="3486"/>
    <n v="0.69"/>
    <n v="0.56999999999999995"/>
    <n v="0.74"/>
    <n v="0.08"/>
    <n v="0.56999999999999995"/>
    <n v="0.77880000000000005"/>
    <n v="0.73"/>
    <n v="95"/>
    <n v="66"/>
    <n v="25"/>
    <n v="0.6929333333333334"/>
  </r>
  <r>
    <d v="2025-02-19T00:00:00"/>
    <x v="1"/>
    <x v="3"/>
    <x v="0"/>
    <n v="0.86"/>
    <n v="0.87"/>
    <n v="0.75"/>
    <n v="5"/>
    <n v="21"/>
    <n v="5"/>
    <n v="3"/>
    <n v="7"/>
    <n v="2"/>
    <n v="7"/>
    <n v="2855"/>
    <n v="1577"/>
    <n v="2668.5"/>
    <n v="5329"/>
    <n v="0.48"/>
    <n v="0.55000000000000004"/>
    <n v="1.1499999999999999"/>
    <n v="0.05"/>
    <n v="0.6"/>
    <n v="0.63360000000000005"/>
    <n v="0.49"/>
    <n v="80"/>
    <n v="55"/>
    <n v="29"/>
    <n v="0.57453333333333334"/>
  </r>
  <r>
    <d v="2025-02-20T00:00:00"/>
    <x v="1"/>
    <x v="3"/>
    <x v="1"/>
    <n v="0.82"/>
    <n v="0.53"/>
    <n v="0.78"/>
    <n v="14"/>
    <n v="9"/>
    <n v="7"/>
    <n v="2"/>
    <n v="1"/>
    <n v="2"/>
    <n v="3"/>
    <n v="2491"/>
    <n v="2946"/>
    <n v="2110.5"/>
    <n v="3056"/>
    <n v="0.63"/>
    <n v="0.61"/>
    <n v="0.41"/>
    <n v="0.09"/>
    <n v="0.86"/>
    <n v="0.81840000000000002"/>
    <n v="0.48"/>
    <n v="89"/>
    <n v="56"/>
    <n v="12"/>
    <n v="0.71946666666666659"/>
  </r>
  <r>
    <d v="2025-02-21T00:00:00"/>
    <x v="1"/>
    <x v="3"/>
    <x v="2"/>
    <n v="0.98"/>
    <n v="0.77"/>
    <n v="0.4"/>
    <n v="6"/>
    <n v="7"/>
    <n v="3"/>
    <n v="3"/>
    <n v="6"/>
    <n v="6"/>
    <n v="4"/>
    <n v="990"/>
    <n v="1300"/>
    <n v="999"/>
    <n v="1770"/>
    <n v="0.73"/>
    <n v="0.31"/>
    <n v="0.55000000000000004"/>
    <n v="0.09"/>
    <n v="0.57999999999999996"/>
    <n v="0.68640000000000001"/>
    <n v="0.73"/>
    <n v="99"/>
    <n v="74"/>
    <n v="15"/>
    <n v="0.66546666666666665"/>
  </r>
  <r>
    <d v="2025-02-22T00:00:00"/>
    <x v="1"/>
    <x v="3"/>
    <x v="3"/>
    <n v="0.45"/>
    <n v="0.82"/>
    <n v="0.59"/>
    <n v="14"/>
    <n v="29"/>
    <n v="2"/>
    <n v="2"/>
    <n v="4"/>
    <n v="2"/>
    <n v="2"/>
    <n v="3557"/>
    <n v="2270"/>
    <n v="1737"/>
    <n v="4505"/>
    <n v="0.97"/>
    <n v="0.44"/>
    <n v="0.52"/>
    <n v="0.02"/>
    <n v="0.22500000000000001"/>
    <n v="0.43956000000000006"/>
    <n v="0.27"/>
    <n v="96"/>
    <n v="62"/>
    <n v="29"/>
    <n v="0.31152000000000002"/>
  </r>
  <r>
    <d v="2025-02-23T00:00:00"/>
    <x v="1"/>
    <x v="3"/>
    <x v="4"/>
    <n v="0.37"/>
    <n v="0.75"/>
    <n v="0.39"/>
    <n v="23"/>
    <n v="39"/>
    <n v="2"/>
    <n v="5"/>
    <n v="4"/>
    <n v="7"/>
    <n v="2"/>
    <n v="683"/>
    <n v="1109"/>
    <n v="2124"/>
    <n v="2336"/>
    <n v="0.49"/>
    <n v="0.55000000000000004"/>
    <n v="0.5"/>
    <n v="0.08"/>
    <n v="0.32400000000000001"/>
    <n v="0.20196000000000003"/>
    <n v="0.378"/>
    <n v="82"/>
    <n v="59"/>
    <n v="30"/>
    <n v="0.30131999999999998"/>
  </r>
  <r>
    <d v="2025-02-24T00:00:00"/>
    <x v="1"/>
    <x v="4"/>
    <x v="5"/>
    <n v="0.96"/>
    <n v="0.74"/>
    <n v="0.77"/>
    <n v="21"/>
    <n v="33"/>
    <n v="5"/>
    <n v="12"/>
    <n v="5"/>
    <n v="3"/>
    <n v="3"/>
    <n v="812"/>
    <n v="682"/>
    <n v="1684.5"/>
    <n v="1852"/>
    <n v="0.76"/>
    <n v="0.16"/>
    <n v="1.03"/>
    <n v="0.02"/>
    <n v="0.88"/>
    <n v="0.8580000000000001"/>
    <n v="0.7"/>
    <n v="88"/>
    <n v="57"/>
    <n v="48"/>
    <n v="0.81266666666666654"/>
  </r>
  <r>
    <d v="2025-02-25T00:00:00"/>
    <x v="1"/>
    <x v="4"/>
    <x v="6"/>
    <n v="0.79"/>
    <n v="0.51"/>
    <n v="0.49"/>
    <n v="12"/>
    <n v="14"/>
    <n v="4"/>
    <n v="1"/>
    <n v="11"/>
    <n v="1"/>
    <n v="9"/>
    <n v="551"/>
    <n v="2558"/>
    <n v="1008"/>
    <n v="2813"/>
    <n v="0.48"/>
    <n v="0.24"/>
    <n v="0.74"/>
    <n v="0.06"/>
    <n v="0.52"/>
    <n v="0.66"/>
    <n v="0.54"/>
    <n v="94"/>
    <n v="78"/>
    <n v="10"/>
    <n v="0.57333333333333336"/>
  </r>
  <r>
    <d v="2025-02-26T00:00:00"/>
    <x v="1"/>
    <x v="4"/>
    <x v="0"/>
    <n v="0.97"/>
    <n v="0.42"/>
    <n v="0.39"/>
    <n v="36"/>
    <n v="17"/>
    <n v="2"/>
    <n v="4"/>
    <n v="12"/>
    <n v="2"/>
    <n v="6"/>
    <n v="3310"/>
    <n v="1401"/>
    <n v="1626"/>
    <n v="3619"/>
    <n v="0.96"/>
    <n v="1.06"/>
    <n v="0.46"/>
    <n v="7.0000000000000007E-2"/>
    <n v="0.76"/>
    <n v="0.42240000000000005"/>
    <n v="0.35"/>
    <n v="86"/>
    <n v="79"/>
    <n v="23"/>
    <n v="0.51080000000000003"/>
  </r>
  <r>
    <d v="2025-02-27T00:00:00"/>
    <x v="1"/>
    <x v="4"/>
    <x v="1"/>
    <n v="0.69"/>
    <n v="0.59"/>
    <n v="0.79"/>
    <n v="14"/>
    <n v="18"/>
    <n v="9"/>
    <n v="3"/>
    <n v="12"/>
    <n v="12"/>
    <n v="1"/>
    <n v="3018"/>
    <n v="562"/>
    <n v="2317.5"/>
    <n v="4426"/>
    <n v="1.1499999999999999"/>
    <n v="0.21"/>
    <n v="0.84"/>
    <n v="0.03"/>
    <n v="0.47"/>
    <n v="0.69960000000000011"/>
    <n v="0.43"/>
    <n v="87"/>
    <n v="72"/>
    <n v="27"/>
    <n v="0.53320000000000001"/>
  </r>
  <r>
    <d v="2025-02-28T00:00:00"/>
    <x v="1"/>
    <x v="4"/>
    <x v="2"/>
    <n v="0.76"/>
    <n v="0.75"/>
    <n v="0.88"/>
    <n v="37"/>
    <n v="25"/>
    <n v="6"/>
    <n v="1"/>
    <n v="2"/>
    <n v="2"/>
    <n v="3"/>
    <n v="476"/>
    <n v="1534"/>
    <n v="1606.5"/>
    <n v="1767"/>
    <n v="0.27"/>
    <n v="1.07"/>
    <n v="0.59"/>
    <n v="0.1"/>
    <n v="0.86"/>
    <n v="0.60720000000000007"/>
    <n v="0.84"/>
    <n v="79"/>
    <n v="69"/>
    <n v="45"/>
    <n v="0.76906666666666668"/>
  </r>
  <r>
    <d v="2025-03-01T00:00:00"/>
    <x v="2"/>
    <x v="0"/>
    <x v="3"/>
    <n v="0.26"/>
    <n v="0.81"/>
    <n v="0.48"/>
    <n v="36"/>
    <n v="11"/>
    <n v="2"/>
    <n v="7"/>
    <n v="8"/>
    <n v="2"/>
    <n v="2"/>
    <n v="791"/>
    <n v="1119"/>
    <n v="1329"/>
    <n v="1461"/>
    <n v="0.47"/>
    <n v="0.87"/>
    <n v="0.26"/>
    <n v="0.01"/>
    <n v="0.41400000000000003"/>
    <n v="0.32670000000000005"/>
    <n v="0.3735"/>
    <n v="87"/>
    <n v="61"/>
    <n v="33"/>
    <n v="0.37140000000000001"/>
  </r>
  <r>
    <d v="2025-03-02T00:00:00"/>
    <x v="2"/>
    <x v="0"/>
    <x v="4"/>
    <n v="0.44"/>
    <n v="0.48"/>
    <n v="0.88"/>
    <n v="26"/>
    <n v="11"/>
    <n v="7"/>
    <n v="2"/>
    <n v="2"/>
    <n v="2"/>
    <n v="7"/>
    <n v="3699"/>
    <n v="696"/>
    <n v="1147.5"/>
    <n v="5327"/>
    <n v="0.95"/>
    <n v="1.17"/>
    <n v="1.05"/>
    <n v="0.02"/>
    <n v="0.20250000000000001"/>
    <n v="0.40392000000000006"/>
    <n v="0.38700000000000001"/>
    <n v="92"/>
    <n v="55"/>
    <n v="17"/>
    <n v="0.33114000000000005"/>
  </r>
  <r>
    <d v="2025-03-03T00:00:00"/>
    <x v="2"/>
    <x v="1"/>
    <x v="5"/>
    <n v="0.8"/>
    <n v="0.84"/>
    <n v="0.83"/>
    <n v="18"/>
    <n v="8"/>
    <n v="2"/>
    <n v="12"/>
    <n v="11"/>
    <n v="6"/>
    <n v="12"/>
    <n v="2066"/>
    <n v="897"/>
    <n v="1773"/>
    <n v="2479"/>
    <n v="0.98"/>
    <n v="1.19"/>
    <n v="1.07"/>
    <n v="0.03"/>
    <n v="0.83"/>
    <n v="0.7128000000000001"/>
    <n v="0.9"/>
    <n v="82"/>
    <n v="58"/>
    <n v="24"/>
    <n v="0.81426666666666669"/>
  </r>
  <r>
    <d v="2025-03-04T00:00:00"/>
    <x v="2"/>
    <x v="1"/>
    <x v="6"/>
    <n v="0.7"/>
    <n v="0.68"/>
    <n v="0.42"/>
    <n v="20"/>
    <n v="12"/>
    <n v="1"/>
    <n v="9"/>
    <n v="8"/>
    <n v="2"/>
    <n v="8"/>
    <n v="2323"/>
    <n v="1296"/>
    <n v="2431.5"/>
    <n v="3748"/>
    <n v="0.91"/>
    <n v="0.36"/>
    <n v="0.54"/>
    <n v="0.05"/>
    <n v="0.79"/>
    <n v="0.8580000000000001"/>
    <n v="0.87"/>
    <n v="90"/>
    <n v="54"/>
    <n v="17"/>
    <n v="0.83933333333333338"/>
  </r>
  <r>
    <d v="2025-03-05T00:00:00"/>
    <x v="2"/>
    <x v="1"/>
    <x v="0"/>
    <n v="0.73"/>
    <n v="0.36"/>
    <n v="0.6"/>
    <n v="16"/>
    <n v="18"/>
    <n v="2"/>
    <n v="2"/>
    <n v="9"/>
    <n v="2"/>
    <n v="3"/>
    <n v="344"/>
    <n v="1703"/>
    <n v="1297.5"/>
    <n v="1873"/>
    <n v="0.31"/>
    <n v="0.3"/>
    <n v="0.72"/>
    <n v="0.03"/>
    <n v="0.72"/>
    <n v="0.69960000000000011"/>
    <n v="0.89"/>
    <n v="82"/>
    <n v="63"/>
    <n v="10"/>
    <n v="0.7698666666666667"/>
  </r>
  <r>
    <d v="2025-03-06T00:00:00"/>
    <x v="2"/>
    <x v="1"/>
    <x v="1"/>
    <n v="0.97"/>
    <n v="0.81"/>
    <n v="0.55000000000000004"/>
    <n v="32"/>
    <n v="14"/>
    <n v="5"/>
    <n v="8"/>
    <n v="3"/>
    <n v="11"/>
    <n v="2"/>
    <n v="3368"/>
    <n v="2794"/>
    <n v="2094"/>
    <n v="3502"/>
    <n v="0.89"/>
    <n v="0.55000000000000004"/>
    <n v="0.99"/>
    <n v="7.0000000000000007E-2"/>
    <n v="0.71"/>
    <n v="0.68640000000000001"/>
    <n v="0.37"/>
    <n v="89"/>
    <n v="76"/>
    <n v="45"/>
    <n v="0.58879999999999999"/>
  </r>
  <r>
    <d v="2025-03-07T00:00:00"/>
    <x v="2"/>
    <x v="1"/>
    <x v="2"/>
    <n v="1"/>
    <n v="0.47"/>
    <n v="0.42"/>
    <n v="14"/>
    <n v="24"/>
    <n v="2"/>
    <n v="2"/>
    <n v="6"/>
    <n v="7"/>
    <n v="2"/>
    <n v="2183"/>
    <n v="1332"/>
    <n v="1233"/>
    <n v="3929"/>
    <n v="1.1399999999999999"/>
    <n v="0.83"/>
    <n v="0.8"/>
    <n v="0.04"/>
    <n v="0.82"/>
    <n v="0.39600000000000002"/>
    <n v="0.63"/>
    <n v="87"/>
    <n v="64"/>
    <n v="27"/>
    <n v="0.6153333333333334"/>
  </r>
  <r>
    <d v="2025-03-08T00:00:00"/>
    <x v="2"/>
    <x v="1"/>
    <x v="3"/>
    <n v="0.2"/>
    <n v="0.39"/>
    <n v="0.78"/>
    <n v="23"/>
    <n v="40"/>
    <n v="7"/>
    <n v="2"/>
    <n v="7"/>
    <n v="3"/>
    <n v="4"/>
    <n v="1863"/>
    <n v="1467"/>
    <n v="1912.5"/>
    <n v="2236"/>
    <n v="0.47"/>
    <n v="0.79"/>
    <n v="0.64"/>
    <n v="7.0000000000000007E-2"/>
    <n v="0.34200000000000003"/>
    <n v="0.22572000000000003"/>
    <n v="0.38250000000000001"/>
    <n v="85"/>
    <n v="77"/>
    <n v="40"/>
    <n v="0.31674000000000002"/>
  </r>
  <r>
    <d v="2025-03-09T00:00:00"/>
    <x v="2"/>
    <x v="1"/>
    <x v="4"/>
    <n v="0.27"/>
    <n v="0.48"/>
    <n v="0.55000000000000004"/>
    <n v="28"/>
    <n v="11"/>
    <n v="2"/>
    <n v="3"/>
    <n v="2"/>
    <n v="4"/>
    <n v="7"/>
    <n v="872"/>
    <n v="1643"/>
    <n v="895.5"/>
    <n v="1807"/>
    <n v="0.32"/>
    <n v="1.01"/>
    <n v="0.63"/>
    <n v="0.08"/>
    <n v="0.26100000000000001"/>
    <n v="0.17820000000000003"/>
    <n v="0.40050000000000002"/>
    <n v="95"/>
    <n v="68"/>
    <n v="13"/>
    <n v="0.27990000000000004"/>
  </r>
  <r>
    <d v="2025-03-10T00:00:00"/>
    <x v="2"/>
    <x v="2"/>
    <x v="5"/>
    <n v="0.79"/>
    <n v="0.76"/>
    <n v="0.67"/>
    <n v="37"/>
    <n v="36"/>
    <n v="4"/>
    <n v="8"/>
    <n v="7"/>
    <n v="1"/>
    <n v="1"/>
    <n v="1777"/>
    <n v="2956"/>
    <n v="1000.5"/>
    <n v="3251"/>
    <n v="0.46"/>
    <n v="0.55000000000000004"/>
    <n v="0.44"/>
    <n v="7.0000000000000007E-2"/>
    <n v="0.94"/>
    <n v="0.40920000000000001"/>
    <n v="0.44"/>
    <n v="86"/>
    <n v="73"/>
    <n v="25"/>
    <n v="0.59639999999999993"/>
  </r>
  <r>
    <d v="2025-03-11T00:00:00"/>
    <x v="2"/>
    <x v="2"/>
    <x v="6"/>
    <n v="0.82"/>
    <n v="0.63"/>
    <n v="0.39"/>
    <n v="24"/>
    <n v="30"/>
    <n v="6"/>
    <n v="11"/>
    <n v="11"/>
    <n v="1"/>
    <n v="11"/>
    <n v="1659"/>
    <n v="3129"/>
    <n v="2121"/>
    <n v="3441"/>
    <n v="0.31"/>
    <n v="0.65"/>
    <n v="0.62"/>
    <n v="0.06"/>
    <n v="0.7"/>
    <n v="0.93720000000000003"/>
    <n v="0.76"/>
    <n v="79"/>
    <n v="69"/>
    <n v="40"/>
    <n v="0.79906666666666659"/>
  </r>
  <r>
    <d v="2025-03-12T00:00:00"/>
    <x v="2"/>
    <x v="2"/>
    <x v="0"/>
    <n v="0.78"/>
    <n v="0.45"/>
    <n v="0.42"/>
    <n v="10"/>
    <n v="29"/>
    <n v="3"/>
    <n v="9"/>
    <n v="6"/>
    <n v="12"/>
    <n v="1"/>
    <n v="526"/>
    <n v="1069"/>
    <n v="1966.5"/>
    <n v="2163"/>
    <n v="0.74"/>
    <n v="0.3"/>
    <n v="0.64"/>
    <n v="0.09"/>
    <n v="0.59"/>
    <n v="0.81840000000000002"/>
    <n v="0.84"/>
    <n v="82"/>
    <n v="78"/>
    <n v="46"/>
    <n v="0.74946666666666661"/>
  </r>
  <r>
    <d v="2025-03-13T00:00:00"/>
    <x v="2"/>
    <x v="2"/>
    <x v="1"/>
    <n v="0.68"/>
    <n v="0.56000000000000005"/>
    <n v="0.54"/>
    <n v="20"/>
    <n v="29"/>
    <n v="12"/>
    <n v="7"/>
    <n v="9"/>
    <n v="6"/>
    <n v="6"/>
    <n v="3423"/>
    <n v="423"/>
    <n v="112.5"/>
    <n v="3652"/>
    <n v="0.17"/>
    <n v="0.41"/>
    <n v="0.21"/>
    <n v="0.01"/>
    <n v="0.55000000000000004"/>
    <n v="0.63360000000000005"/>
    <n v="0.53"/>
    <n v="98"/>
    <n v="70"/>
    <n v="47"/>
    <n v="0.57120000000000004"/>
  </r>
  <r>
    <d v="2025-03-14T00:00:00"/>
    <x v="2"/>
    <x v="2"/>
    <x v="2"/>
    <n v="0.79"/>
    <n v="0.9"/>
    <n v="0.46"/>
    <n v="22"/>
    <n v="38"/>
    <n v="3"/>
    <n v="4"/>
    <n v="7"/>
    <n v="4"/>
    <n v="4"/>
    <n v="652"/>
    <n v="3228"/>
    <n v="1684.5"/>
    <n v="3550"/>
    <n v="0.22"/>
    <n v="0.97"/>
    <n v="1.04"/>
    <n v="0.05"/>
    <n v="0.72"/>
    <n v="0.51480000000000004"/>
    <n v="0.49"/>
    <n v="85"/>
    <n v="63"/>
    <n v="38"/>
    <n v="0.5749333333333333"/>
  </r>
  <r>
    <d v="2025-03-15T00:00:00"/>
    <x v="2"/>
    <x v="2"/>
    <x v="3"/>
    <n v="0.41"/>
    <n v="0.35"/>
    <n v="0.78"/>
    <n v="35"/>
    <n v="23"/>
    <n v="2"/>
    <n v="8"/>
    <n v="2"/>
    <n v="7"/>
    <n v="4"/>
    <n v="2216"/>
    <n v="2004"/>
    <n v="906"/>
    <n v="3989"/>
    <n v="0.44"/>
    <n v="0.31"/>
    <n v="0.66"/>
    <n v="0.09"/>
    <n v="0.26100000000000001"/>
    <n v="0.34451999999999999"/>
    <n v="0.36000000000000004"/>
    <n v="97"/>
    <n v="61"/>
    <n v="24"/>
    <n v="0.32184000000000007"/>
  </r>
  <r>
    <d v="2025-03-16T00:00:00"/>
    <x v="2"/>
    <x v="2"/>
    <x v="4"/>
    <n v="0.41"/>
    <n v="0.88"/>
    <n v="0.52"/>
    <n v="31"/>
    <n v="31"/>
    <n v="1"/>
    <n v="1"/>
    <n v="4"/>
    <n v="2"/>
    <n v="1"/>
    <n v="209"/>
    <n v="2363"/>
    <n v="762"/>
    <n v="2599"/>
    <n v="1.0900000000000001"/>
    <n v="1.17"/>
    <n v="0.63"/>
    <n v="0.06"/>
    <n v="0.27450000000000002"/>
    <n v="0.44550000000000006"/>
    <n v="0.20700000000000002"/>
    <n v="80"/>
    <n v="69"/>
    <n v="12"/>
    <n v="0.309"/>
  </r>
  <r>
    <d v="2025-03-17T00:00:00"/>
    <x v="2"/>
    <x v="3"/>
    <x v="5"/>
    <n v="0.99"/>
    <n v="0.49"/>
    <n v="0.57999999999999996"/>
    <n v="23"/>
    <n v="38"/>
    <n v="9"/>
    <n v="11"/>
    <n v="9"/>
    <n v="11"/>
    <n v="12"/>
    <n v="969"/>
    <n v="162"/>
    <n v="1269"/>
    <n v="1395"/>
    <n v="0.68"/>
    <n v="0.28000000000000003"/>
    <n v="0.34"/>
    <n v="0.09"/>
    <n v="0.56999999999999995"/>
    <n v="0.95040000000000002"/>
    <n v="0.82"/>
    <n v="92"/>
    <n v="67"/>
    <n v="39"/>
    <n v="0.78013333333333323"/>
  </r>
  <r>
    <d v="2025-03-18T00:00:00"/>
    <x v="2"/>
    <x v="3"/>
    <x v="6"/>
    <n v="0.85"/>
    <n v="0.76"/>
    <n v="0.86"/>
    <n v="25"/>
    <n v="16"/>
    <n v="6"/>
    <n v="11"/>
    <n v="12"/>
    <n v="2"/>
    <n v="12"/>
    <n v="446"/>
    <n v="38"/>
    <n v="199.5"/>
    <n v="583"/>
    <n v="0.16"/>
    <n v="0.48"/>
    <n v="1.1399999999999999"/>
    <n v="0.1"/>
    <n v="0.89"/>
    <n v="0.52800000000000002"/>
    <n v="0.51"/>
    <n v="78"/>
    <n v="63"/>
    <n v="40"/>
    <n v="0.64266666666666672"/>
  </r>
  <r>
    <d v="2025-03-19T00:00:00"/>
    <x v="2"/>
    <x v="3"/>
    <x v="0"/>
    <n v="0.88"/>
    <n v="0.61"/>
    <n v="0.76"/>
    <n v="14"/>
    <n v="35"/>
    <n v="3"/>
    <n v="1"/>
    <n v="5"/>
    <n v="6"/>
    <n v="4"/>
    <n v="3578"/>
    <n v="624"/>
    <n v="1089"/>
    <n v="4055"/>
    <n v="0.65"/>
    <n v="1.03"/>
    <n v="0.79"/>
    <n v="0.09"/>
    <n v="0.56999999999999995"/>
    <n v="0.60720000000000007"/>
    <n v="0.35"/>
    <n v="99"/>
    <n v="52"/>
    <n v="48"/>
    <n v="0.50906666666666667"/>
  </r>
  <r>
    <d v="2025-03-20T00:00:00"/>
    <x v="2"/>
    <x v="3"/>
    <x v="1"/>
    <n v="0.79"/>
    <n v="0.42"/>
    <n v="0.61"/>
    <n v="22"/>
    <n v="35"/>
    <n v="5"/>
    <n v="11"/>
    <n v="7"/>
    <n v="8"/>
    <n v="5"/>
    <n v="2124"/>
    <n v="2166"/>
    <n v="2362.5"/>
    <n v="3653"/>
    <n v="1.07"/>
    <n v="0.16"/>
    <n v="0.34"/>
    <n v="0.03"/>
    <n v="0.73"/>
    <n v="0.7128000000000001"/>
    <n v="0.53"/>
    <n v="85"/>
    <n v="73"/>
    <n v="43"/>
    <n v="0.65760000000000007"/>
  </r>
  <r>
    <d v="2025-03-21T00:00:00"/>
    <x v="2"/>
    <x v="3"/>
    <x v="2"/>
    <n v="0.84"/>
    <n v="0.41"/>
    <n v="0.62"/>
    <n v="37"/>
    <n v="9"/>
    <n v="4"/>
    <n v="2"/>
    <n v="6"/>
    <n v="1"/>
    <n v="5"/>
    <n v="571"/>
    <n v="3283"/>
    <n v="2016"/>
    <n v="3611"/>
    <n v="1.05"/>
    <n v="0.35"/>
    <n v="0.38"/>
    <n v="0.02"/>
    <n v="0.84"/>
    <n v="0.76560000000000006"/>
    <n v="0.8"/>
    <n v="81"/>
    <n v="57"/>
    <n v="16"/>
    <n v="0.80186666666666662"/>
  </r>
  <r>
    <d v="2025-03-22T00:00:00"/>
    <x v="2"/>
    <x v="3"/>
    <x v="3"/>
    <n v="0.1"/>
    <n v="0.51"/>
    <n v="0.65"/>
    <n v="28"/>
    <n v="30"/>
    <n v="4"/>
    <n v="8"/>
    <n v="1"/>
    <n v="1"/>
    <n v="8"/>
    <n v="966"/>
    <n v="3375"/>
    <n v="1639.5"/>
    <n v="3712"/>
    <n v="0.56999999999999995"/>
    <n v="0.49"/>
    <n v="0.82"/>
    <n v="0.08"/>
    <n v="0.36450000000000005"/>
    <n v="0.38610000000000005"/>
    <n v="0.16200000000000001"/>
    <n v="94"/>
    <n v="78"/>
    <n v="47"/>
    <n v="0.30420000000000008"/>
  </r>
  <r>
    <d v="2025-03-23T00:00:00"/>
    <x v="2"/>
    <x v="3"/>
    <x v="4"/>
    <n v="0.2"/>
    <n v="0.87"/>
    <n v="0.74"/>
    <n v="25"/>
    <n v="30"/>
    <n v="6"/>
    <n v="2"/>
    <n v="2"/>
    <n v="6"/>
    <n v="2"/>
    <n v="3021"/>
    <n v="2243"/>
    <n v="198"/>
    <n v="4351"/>
    <n v="1.08"/>
    <n v="0.93"/>
    <n v="0.68"/>
    <n v="0.04"/>
    <n v="0.315"/>
    <n v="0.43362000000000001"/>
    <n v="0.17100000000000001"/>
    <n v="95"/>
    <n v="51"/>
    <n v="40"/>
    <n v="0.30654000000000003"/>
  </r>
  <r>
    <d v="2025-03-24T00:00:00"/>
    <x v="2"/>
    <x v="4"/>
    <x v="5"/>
    <n v="0.71"/>
    <n v="0.72"/>
    <n v="0.54"/>
    <n v="24"/>
    <n v="35"/>
    <n v="1"/>
    <n v="4"/>
    <n v="8"/>
    <n v="4"/>
    <n v="1"/>
    <n v="3144"/>
    <n v="1892"/>
    <n v="2056.5"/>
    <n v="4275"/>
    <n v="1.17"/>
    <n v="0.84"/>
    <n v="0.83"/>
    <n v="0.01"/>
    <n v="0.47"/>
    <n v="0.58080000000000009"/>
    <n v="0.4"/>
    <n v="80"/>
    <n v="55"/>
    <n v="16"/>
    <n v="0.48360000000000003"/>
  </r>
  <r>
    <d v="2025-03-25T00:00:00"/>
    <x v="2"/>
    <x v="4"/>
    <x v="6"/>
    <n v="0.73"/>
    <n v="0.79"/>
    <n v="0.51"/>
    <n v="31"/>
    <n v="14"/>
    <n v="5"/>
    <n v="7"/>
    <n v="12"/>
    <n v="11"/>
    <n v="11"/>
    <n v="2400"/>
    <n v="1544"/>
    <n v="2490"/>
    <n v="2739"/>
    <n v="0.23"/>
    <n v="1.04"/>
    <n v="0.18"/>
    <n v="0.08"/>
    <n v="0.78"/>
    <n v="0.48840000000000006"/>
    <n v="0.56999999999999995"/>
    <n v="81"/>
    <n v="78"/>
    <n v="10"/>
    <n v="0.61280000000000001"/>
  </r>
  <r>
    <d v="2025-03-26T00:00:00"/>
    <x v="2"/>
    <x v="4"/>
    <x v="0"/>
    <n v="0.91"/>
    <n v="0.85"/>
    <n v="0.61"/>
    <n v="16"/>
    <n v="7"/>
    <n v="3"/>
    <n v="6"/>
    <n v="4"/>
    <n v="8"/>
    <n v="2"/>
    <n v="2858"/>
    <n v="799"/>
    <n v="882"/>
    <n v="4725"/>
    <n v="1.1100000000000001"/>
    <n v="0.63"/>
    <n v="0.89"/>
    <n v="0.1"/>
    <n v="0.7"/>
    <n v="0.68640000000000001"/>
    <n v="0.35"/>
    <n v="88"/>
    <n v="52"/>
    <n v="46"/>
    <n v="0.57880000000000009"/>
  </r>
  <r>
    <d v="2025-03-27T00:00:00"/>
    <x v="2"/>
    <x v="4"/>
    <x v="1"/>
    <n v="0.81"/>
    <n v="0.72"/>
    <n v="0.45"/>
    <n v="25"/>
    <n v="26"/>
    <n v="11"/>
    <n v="9"/>
    <n v="2"/>
    <n v="9"/>
    <n v="7"/>
    <n v="2553"/>
    <n v="558"/>
    <n v="9"/>
    <n v="3335"/>
    <n v="1.05"/>
    <n v="1.1499999999999999"/>
    <n v="0.91"/>
    <n v="0.09"/>
    <n v="0.76"/>
    <n v="0.8580000000000001"/>
    <n v="0.48"/>
    <n v="96"/>
    <n v="65"/>
    <n v="29"/>
    <n v="0.69933333333333325"/>
  </r>
  <r>
    <d v="2025-03-28T00:00:00"/>
    <x v="2"/>
    <x v="4"/>
    <x v="2"/>
    <n v="0.69"/>
    <n v="0.53"/>
    <n v="0.78"/>
    <n v="11"/>
    <n v="19"/>
    <n v="6"/>
    <n v="2"/>
    <n v="7"/>
    <n v="7"/>
    <n v="4"/>
    <n v="157"/>
    <n v="1391"/>
    <n v="1050"/>
    <n v="1530"/>
    <n v="0.37"/>
    <n v="0.21"/>
    <n v="1.1200000000000001"/>
    <n v="0.04"/>
    <n v="0.63"/>
    <n v="0.73920000000000008"/>
    <n v="0.59"/>
    <n v="99"/>
    <n v="61"/>
    <n v="14"/>
    <n v="0.65306666666666668"/>
  </r>
  <r>
    <d v="2025-03-29T00:00:00"/>
    <x v="2"/>
    <x v="4"/>
    <x v="3"/>
    <n v="0.43"/>
    <n v="0.68"/>
    <n v="0.77"/>
    <n v="36"/>
    <n v="30"/>
    <n v="7"/>
    <n v="5"/>
    <n v="2"/>
    <n v="3"/>
    <n v="4"/>
    <n v="917"/>
    <n v="1148"/>
    <n v="231"/>
    <n v="1262"/>
    <n v="0.94"/>
    <n v="1.18"/>
    <n v="0.62"/>
    <n v="0.06"/>
    <n v="0.378"/>
    <n v="0.21978000000000003"/>
    <n v="0.30150000000000005"/>
    <n v="98"/>
    <n v="63"/>
    <n v="28"/>
    <n v="0.29976000000000003"/>
  </r>
  <r>
    <d v="2025-03-30T00:00:00"/>
    <x v="2"/>
    <x v="4"/>
    <x v="4"/>
    <n v="0.42"/>
    <n v="0.71"/>
    <n v="0.88"/>
    <n v="27"/>
    <n v="34"/>
    <n v="8"/>
    <n v="4"/>
    <n v="5"/>
    <n v="1"/>
    <n v="3"/>
    <n v="2628"/>
    <n v="2227"/>
    <n v="1891.5"/>
    <n v="3714"/>
    <n v="1.23"/>
    <n v="0.52"/>
    <n v="0.19"/>
    <n v="0.06"/>
    <n v="0.24750000000000003"/>
    <n v="0.25542000000000004"/>
    <n v="0.39600000000000002"/>
    <n v="88"/>
    <n v="80"/>
    <n v="38"/>
    <n v="0.29964000000000002"/>
  </r>
  <r>
    <d v="2025-03-31T00:00:00"/>
    <x v="2"/>
    <x v="5"/>
    <x v="5"/>
    <n v="0.68"/>
    <n v="0.77"/>
    <n v="0.87"/>
    <n v="14"/>
    <n v="26"/>
    <n v="2"/>
    <n v="3"/>
    <n v="4"/>
    <n v="4"/>
    <n v="5"/>
    <n v="2577"/>
    <n v="310"/>
    <n v="1021.5"/>
    <n v="3265"/>
    <n v="0.46"/>
    <n v="0.55000000000000004"/>
    <n v="0.98"/>
    <n v="0.01"/>
    <n v="0.76"/>
    <n v="0.64680000000000004"/>
    <n v="0.48"/>
    <n v="96"/>
    <n v="71"/>
    <n v="35"/>
    <n v="0.62893333333333334"/>
  </r>
  <r>
    <d v="2025-04-01T00:00:00"/>
    <x v="3"/>
    <x v="0"/>
    <x v="6"/>
    <n v="0.61"/>
    <n v="0.68"/>
    <n v="0.78"/>
    <n v="22"/>
    <n v="12"/>
    <n v="2"/>
    <n v="1"/>
    <n v="7"/>
    <n v="5"/>
    <n v="1"/>
    <n v="947"/>
    <n v="2646"/>
    <n v="883.5"/>
    <n v="2910"/>
    <n v="1.0900000000000001"/>
    <n v="0.52"/>
    <n v="0.39"/>
    <n v="0.03"/>
    <n v="0.66"/>
    <n v="0.97680000000000011"/>
    <n v="0.51"/>
    <n v="79"/>
    <n v="66"/>
    <n v="20"/>
    <n v="0.7155999999999999"/>
  </r>
  <r>
    <d v="2025-04-02T00:00:00"/>
    <x v="3"/>
    <x v="0"/>
    <x v="0"/>
    <n v="0.83"/>
    <n v="0.66"/>
    <n v="0.89"/>
    <n v="27"/>
    <n v="22"/>
    <n v="9"/>
    <n v="3"/>
    <n v="2"/>
    <n v="2"/>
    <n v="5"/>
    <n v="2517"/>
    <n v="2001"/>
    <n v="612"/>
    <n v="3390"/>
    <n v="0.38"/>
    <n v="1.01"/>
    <n v="0.81"/>
    <n v="0.08"/>
    <n v="0.66"/>
    <n v="0.40920000000000001"/>
    <n v="0.4"/>
    <n v="87"/>
    <n v="63"/>
    <n v="26"/>
    <n v="0.4897333333333333"/>
  </r>
  <r>
    <d v="2025-04-03T00:00:00"/>
    <x v="3"/>
    <x v="0"/>
    <x v="1"/>
    <n v="0.64"/>
    <n v="0.83"/>
    <n v="0.41"/>
    <n v="36"/>
    <n v="9"/>
    <n v="2"/>
    <n v="11"/>
    <n v="5"/>
    <n v="2"/>
    <n v="12"/>
    <n v="165"/>
    <n v="1134"/>
    <n v="2499"/>
    <n v="2748"/>
    <n v="0.4"/>
    <n v="0.47"/>
    <n v="0.91"/>
    <n v="0.06"/>
    <n v="0.5"/>
    <n v="0.76560000000000006"/>
    <n v="0.61"/>
    <n v="90"/>
    <n v="69"/>
    <n v="14"/>
    <n v="0.62519999999999998"/>
  </r>
  <r>
    <d v="2025-04-04T00:00:00"/>
    <x v="3"/>
    <x v="0"/>
    <x v="2"/>
    <n v="0.79"/>
    <n v="0.44"/>
    <n v="0.61"/>
    <n v="17"/>
    <n v="29"/>
    <n v="2"/>
    <n v="7"/>
    <n v="2"/>
    <n v="4"/>
    <n v="2"/>
    <n v="177"/>
    <n v="2975"/>
    <n v="2587.5"/>
    <n v="3272"/>
    <n v="1.2"/>
    <n v="1.17"/>
    <n v="0.8"/>
    <n v="0.09"/>
    <n v="0.78"/>
    <n v="0.66"/>
    <n v="0.6"/>
    <n v="79"/>
    <n v="55"/>
    <n v="18"/>
    <n v="0.68"/>
  </r>
  <r>
    <d v="2025-04-05T00:00:00"/>
    <x v="3"/>
    <x v="0"/>
    <x v="3"/>
    <n v="0.35"/>
    <n v="0.83"/>
    <n v="0.71"/>
    <n v="22"/>
    <n v="29"/>
    <n v="2"/>
    <n v="8"/>
    <n v="7"/>
    <n v="1"/>
    <n v="4"/>
    <n v="2427"/>
    <n v="2106"/>
    <n v="1734"/>
    <n v="3139"/>
    <n v="0.38"/>
    <n v="0.92"/>
    <n v="1.1200000000000001"/>
    <n v="0.08"/>
    <n v="0.29700000000000004"/>
    <n v="0.25542000000000004"/>
    <n v="0.29250000000000004"/>
    <n v="78"/>
    <n v="55"/>
    <n v="24"/>
    <n v="0.28164000000000006"/>
  </r>
  <r>
    <d v="2025-04-06T00:00:00"/>
    <x v="3"/>
    <x v="0"/>
    <x v="4"/>
    <n v="0.28000000000000003"/>
    <n v="0.68"/>
    <n v="0.44"/>
    <n v="16"/>
    <n v="28"/>
    <n v="4"/>
    <n v="7"/>
    <n v="4"/>
    <n v="7"/>
    <n v="2"/>
    <n v="2992"/>
    <n v="2151"/>
    <n v="1210.5"/>
    <n v="3910"/>
    <n v="0.89"/>
    <n v="1.06"/>
    <n v="0.4"/>
    <n v="0.01"/>
    <n v="0.29250000000000004"/>
    <n v="0.40986"/>
    <n v="0.33300000000000002"/>
    <n v="79"/>
    <n v="79"/>
    <n v="37"/>
    <n v="0.34512000000000004"/>
  </r>
  <r>
    <d v="2025-04-07T00:00:00"/>
    <x v="3"/>
    <x v="1"/>
    <x v="5"/>
    <n v="0.98"/>
    <n v="0.65"/>
    <n v="0.52"/>
    <n v="8"/>
    <n v="10"/>
    <n v="11"/>
    <n v="11"/>
    <n v="9"/>
    <n v="7"/>
    <n v="1"/>
    <n v="3692"/>
    <n v="1350"/>
    <n v="1674"/>
    <n v="6252"/>
    <n v="1.01"/>
    <n v="0.89"/>
    <n v="0.84"/>
    <n v="0.04"/>
    <n v="0.87"/>
    <n v="0.40920000000000001"/>
    <n v="0.63"/>
    <n v="82"/>
    <n v="75"/>
    <n v="33"/>
    <n v="0.63639999999999997"/>
  </r>
  <r>
    <d v="2025-04-08T00:00:00"/>
    <x v="3"/>
    <x v="1"/>
    <x v="6"/>
    <n v="0.81"/>
    <n v="0.59"/>
    <n v="0.53"/>
    <n v="20"/>
    <n v="15"/>
    <n v="4"/>
    <n v="7"/>
    <n v="8"/>
    <n v="9"/>
    <n v="1"/>
    <n v="2797"/>
    <n v="1971"/>
    <n v="1642.5"/>
    <n v="5184"/>
    <n v="0.65"/>
    <n v="0.22"/>
    <n v="0.46"/>
    <n v="7.0000000000000007E-2"/>
    <n v="0.56999999999999995"/>
    <n v="0.89760000000000018"/>
    <n v="0.73"/>
    <n v="99"/>
    <n v="67"/>
    <n v="47"/>
    <n v="0.73253333333333337"/>
  </r>
  <r>
    <d v="2025-04-09T00:00:00"/>
    <x v="3"/>
    <x v="1"/>
    <x v="0"/>
    <n v="0.99"/>
    <n v="0.84"/>
    <n v="0.67"/>
    <n v="28"/>
    <n v="5"/>
    <n v="3"/>
    <n v="8"/>
    <n v="1"/>
    <n v="7"/>
    <n v="7"/>
    <n v="240"/>
    <n v="1635"/>
    <n v="1498.5"/>
    <n v="1798"/>
    <n v="0.3"/>
    <n v="0.92"/>
    <n v="0.18"/>
    <n v="0.03"/>
    <n v="0.87"/>
    <n v="0.8580000000000001"/>
    <n v="0.65"/>
    <n v="86"/>
    <n v="55"/>
    <n v="44"/>
    <n v="0.79266666666666674"/>
  </r>
  <r>
    <d v="2025-04-10T00:00:00"/>
    <x v="3"/>
    <x v="1"/>
    <x v="1"/>
    <n v="0.91"/>
    <n v="0.72"/>
    <n v="0.83"/>
    <n v="7"/>
    <n v="31"/>
    <n v="6"/>
    <n v="9"/>
    <n v="2"/>
    <n v="11"/>
    <n v="2"/>
    <n v="2025"/>
    <n v="873"/>
    <n v="2110.5"/>
    <n v="3726"/>
    <n v="0.98"/>
    <n v="0.68"/>
    <n v="0.91"/>
    <n v="0.09"/>
    <n v="0.84"/>
    <n v="0.76560000000000006"/>
    <n v="0.57999999999999996"/>
    <n v="82"/>
    <n v="51"/>
    <n v="42"/>
    <n v="0.72853333333333337"/>
  </r>
  <r>
    <d v="2025-04-11T00:00:00"/>
    <x v="3"/>
    <x v="1"/>
    <x v="2"/>
    <n v="0.6"/>
    <n v="0.62"/>
    <n v="0.51"/>
    <n v="39"/>
    <n v="21"/>
    <n v="8"/>
    <n v="5"/>
    <n v="2"/>
    <n v="2"/>
    <n v="7"/>
    <n v="2841"/>
    <n v="2443"/>
    <n v="321"/>
    <n v="4053"/>
    <n v="0.75"/>
    <n v="0.57999999999999996"/>
    <n v="0.88"/>
    <n v="7.0000000000000007E-2"/>
    <n v="0.62"/>
    <n v="0.44880000000000009"/>
    <n v="0.56000000000000005"/>
    <n v="92"/>
    <n v="73"/>
    <n v="34"/>
    <n v="0.54293333333333338"/>
  </r>
  <r>
    <d v="2025-04-12T00:00:00"/>
    <x v="3"/>
    <x v="1"/>
    <x v="3"/>
    <n v="0.44"/>
    <n v="0.67"/>
    <n v="0.86"/>
    <n v="39"/>
    <n v="13"/>
    <n v="2"/>
    <n v="7"/>
    <n v="7"/>
    <n v="4"/>
    <n v="7"/>
    <n v="228"/>
    <n v="2757"/>
    <n v="1462.5"/>
    <n v="3032"/>
    <n v="1.22"/>
    <n v="0.17"/>
    <n v="0.43"/>
    <n v="0.01"/>
    <n v="0.24300000000000002"/>
    <n v="0.20196000000000003"/>
    <n v="0.3735"/>
    <n v="84"/>
    <n v="79"/>
    <n v="14"/>
    <n v="0.27282000000000001"/>
  </r>
  <r>
    <d v="2025-04-13T00:00:00"/>
    <x v="3"/>
    <x v="1"/>
    <x v="4"/>
    <n v="0.16"/>
    <n v="0.65"/>
    <n v="0.52"/>
    <n v="34"/>
    <n v="26"/>
    <n v="7"/>
    <n v="5"/>
    <n v="2"/>
    <n v="1"/>
    <n v="2"/>
    <n v="2673"/>
    <n v="1696"/>
    <n v="2296.5"/>
    <n v="4882"/>
    <n v="0.54"/>
    <n v="0.42"/>
    <n v="0.3"/>
    <n v="0.1"/>
    <n v="0.32400000000000001"/>
    <n v="0.38016000000000005"/>
    <n v="0.24300000000000002"/>
    <n v="89"/>
    <n v="75"/>
    <n v="24"/>
    <n v="0.31572000000000006"/>
  </r>
  <r>
    <d v="2025-04-14T00:00:00"/>
    <x v="3"/>
    <x v="2"/>
    <x v="5"/>
    <n v="0.66"/>
    <n v="0.38"/>
    <n v="0.47"/>
    <n v="27"/>
    <n v="27"/>
    <n v="2"/>
    <n v="5"/>
    <n v="12"/>
    <n v="6"/>
    <n v="9"/>
    <n v="2133"/>
    <n v="1595"/>
    <n v="987"/>
    <n v="3469"/>
    <n v="0.78"/>
    <n v="0.49"/>
    <n v="0.81"/>
    <n v="0.1"/>
    <n v="0.79"/>
    <n v="0.58080000000000009"/>
    <n v="0.35"/>
    <n v="88"/>
    <n v="65"/>
    <n v="35"/>
    <n v="0.5736"/>
  </r>
  <r>
    <d v="2025-04-15T00:00:00"/>
    <x v="3"/>
    <x v="2"/>
    <x v="6"/>
    <n v="1"/>
    <n v="0.56999999999999995"/>
    <n v="0.87"/>
    <n v="6"/>
    <n v="8"/>
    <n v="6"/>
    <n v="11"/>
    <n v="6"/>
    <n v="6"/>
    <n v="12"/>
    <n v="3249"/>
    <n v="3300"/>
    <n v="2638.5"/>
    <n v="4116"/>
    <n v="0.19"/>
    <n v="1.17"/>
    <n v="0.5"/>
    <n v="0.09"/>
    <n v="0.81"/>
    <n v="0.75239999999999996"/>
    <n v="0.78"/>
    <n v="96"/>
    <n v="63"/>
    <n v="44"/>
    <n v="0.78080000000000005"/>
  </r>
  <r>
    <d v="2025-04-16T00:00:00"/>
    <x v="3"/>
    <x v="2"/>
    <x v="0"/>
    <n v="0.98"/>
    <n v="0.67"/>
    <n v="0.69"/>
    <n v="6"/>
    <n v="27"/>
    <n v="1"/>
    <n v="12"/>
    <n v="5"/>
    <n v="2"/>
    <n v="2"/>
    <n v="3680"/>
    <n v="843"/>
    <n v="292.5"/>
    <n v="4269"/>
    <n v="0.85"/>
    <n v="0.56999999999999995"/>
    <n v="0.99"/>
    <n v="0.01"/>
    <n v="0.6"/>
    <n v="0.89760000000000018"/>
    <n v="0.64"/>
    <n v="93"/>
    <n v="63"/>
    <n v="11"/>
    <n v="0.71253333333333346"/>
  </r>
  <r>
    <d v="2025-04-17T00:00:00"/>
    <x v="3"/>
    <x v="2"/>
    <x v="1"/>
    <n v="0.76"/>
    <n v="0.77"/>
    <n v="0.68"/>
    <n v="18"/>
    <n v="6"/>
    <n v="12"/>
    <n v="6"/>
    <n v="11"/>
    <n v="1"/>
    <n v="8"/>
    <n v="3433"/>
    <n v="135"/>
    <n v="2056.5"/>
    <n v="3708"/>
    <n v="0.93"/>
    <n v="0.27"/>
    <n v="0.28999999999999998"/>
    <n v="0.04"/>
    <n v="0.45"/>
    <n v="0.66"/>
    <n v="0.9"/>
    <n v="98"/>
    <n v="73"/>
    <n v="22"/>
    <n v="0.67"/>
  </r>
  <r>
    <d v="2025-04-18T00:00:00"/>
    <x v="3"/>
    <x v="2"/>
    <x v="2"/>
    <n v="0.74"/>
    <n v="0.49"/>
    <n v="0.4"/>
    <n v="17"/>
    <n v="40"/>
    <n v="4"/>
    <n v="7"/>
    <n v="7"/>
    <n v="2"/>
    <n v="1"/>
    <n v="3256"/>
    <n v="3219"/>
    <n v="2449.5"/>
    <n v="5818"/>
    <n v="0.56000000000000005"/>
    <n v="0.45"/>
    <n v="0.79"/>
    <n v="0.1"/>
    <n v="0.45"/>
    <n v="0.60720000000000007"/>
    <n v="0.43"/>
    <n v="100"/>
    <n v="62"/>
    <n v="46"/>
    <n v="0.49573333333333336"/>
  </r>
  <r>
    <d v="2025-04-19T00:00:00"/>
    <x v="3"/>
    <x v="2"/>
    <x v="3"/>
    <n v="0.47"/>
    <n v="0.71"/>
    <n v="0.61"/>
    <n v="26"/>
    <n v="40"/>
    <n v="2"/>
    <n v="5"/>
    <n v="2"/>
    <n v="7"/>
    <n v="8"/>
    <n v="544"/>
    <n v="479"/>
    <n v="1968"/>
    <n v="2164"/>
    <n v="0.37"/>
    <n v="0.99"/>
    <n v="0.78"/>
    <n v="0.08"/>
    <n v="0.32400000000000001"/>
    <n v="0.32670000000000005"/>
    <n v="0.21149999999999999"/>
    <n v="80"/>
    <n v="73"/>
    <n v="24"/>
    <n v="0.28740000000000004"/>
  </r>
  <r>
    <d v="2025-04-20T00:00:00"/>
    <x v="3"/>
    <x v="2"/>
    <x v="4"/>
    <n v="0.3"/>
    <n v="0.82"/>
    <n v="0.47"/>
    <n v="30"/>
    <n v="40"/>
    <n v="1"/>
    <n v="6"/>
    <n v="4"/>
    <n v="6"/>
    <n v="2"/>
    <n v="3543"/>
    <n v="1762"/>
    <n v="922.5"/>
    <n v="4676"/>
    <n v="0.4"/>
    <n v="0.89"/>
    <n v="0.21"/>
    <n v="0.09"/>
    <n v="0.26100000000000001"/>
    <n v="0.41580000000000006"/>
    <n v="0.38700000000000001"/>
    <n v="87"/>
    <n v="62"/>
    <n v="20"/>
    <n v="0.35460000000000003"/>
  </r>
  <r>
    <d v="2025-04-21T00:00:00"/>
    <x v="3"/>
    <x v="3"/>
    <x v="5"/>
    <n v="0.69"/>
    <n v="0.47"/>
    <n v="0.61"/>
    <n v="17"/>
    <n v="26"/>
    <n v="12"/>
    <n v="4"/>
    <n v="6"/>
    <n v="2"/>
    <n v="6"/>
    <n v="2214"/>
    <n v="839"/>
    <n v="1383"/>
    <n v="3543"/>
    <n v="0.4"/>
    <n v="1.07"/>
    <n v="0.77"/>
    <n v="0.1"/>
    <n v="0.68"/>
    <n v="0.81840000000000002"/>
    <n v="0.87"/>
    <n v="81"/>
    <n v="66"/>
    <n v="29"/>
    <n v="0.78946666666666676"/>
  </r>
  <r>
    <d v="2025-04-22T00:00:00"/>
    <x v="3"/>
    <x v="3"/>
    <x v="6"/>
    <n v="0.86"/>
    <n v="0.69"/>
    <n v="0.49"/>
    <n v="40"/>
    <n v="13"/>
    <n v="12"/>
    <n v="6"/>
    <n v="11"/>
    <n v="7"/>
    <n v="4"/>
    <n v="1405"/>
    <n v="740"/>
    <n v="1516.5"/>
    <n v="1724"/>
    <n v="0.26"/>
    <n v="1.1100000000000001"/>
    <n v="0.99"/>
    <n v="0.09"/>
    <n v="0.49"/>
    <n v="0.58080000000000009"/>
    <n v="0.69"/>
    <n v="96"/>
    <n v="65"/>
    <n v="46"/>
    <n v="0.58693333333333342"/>
  </r>
  <r>
    <d v="2025-04-23T00:00:00"/>
    <x v="3"/>
    <x v="3"/>
    <x v="0"/>
    <n v="0.99"/>
    <n v="0.77"/>
    <n v="0.56999999999999995"/>
    <n v="14"/>
    <n v="9"/>
    <n v="4"/>
    <n v="12"/>
    <n v="6"/>
    <n v="11"/>
    <n v="12"/>
    <n v="2586"/>
    <n v="258"/>
    <n v="739.5"/>
    <n v="3172"/>
    <n v="0.3"/>
    <n v="0.17"/>
    <n v="0.31"/>
    <n v="7.0000000000000007E-2"/>
    <n v="0.66"/>
    <n v="0.73920000000000008"/>
    <n v="0.81"/>
    <n v="97"/>
    <n v="63"/>
    <n v="45"/>
    <n v="0.73640000000000005"/>
  </r>
  <r>
    <d v="2025-04-24T00:00:00"/>
    <x v="3"/>
    <x v="3"/>
    <x v="1"/>
    <n v="0.77"/>
    <n v="0.57999999999999996"/>
    <n v="0.69"/>
    <n v="38"/>
    <n v="11"/>
    <n v="11"/>
    <n v="12"/>
    <n v="11"/>
    <n v="2"/>
    <n v="6"/>
    <n v="1222"/>
    <n v="52"/>
    <n v="1135.5"/>
    <n v="1988"/>
    <n v="1.04"/>
    <n v="0.45"/>
    <n v="0.81"/>
    <n v="0.09"/>
    <n v="0.72"/>
    <n v="0.79200000000000004"/>
    <n v="0.8"/>
    <n v="84"/>
    <n v="58"/>
    <n v="30"/>
    <n v="0.77066666666666672"/>
  </r>
  <r>
    <d v="2025-04-25T00:00:00"/>
    <x v="3"/>
    <x v="3"/>
    <x v="2"/>
    <n v="0.79"/>
    <n v="0.41"/>
    <n v="0.56000000000000005"/>
    <n v="22"/>
    <n v="29"/>
    <n v="3"/>
    <n v="1"/>
    <n v="7"/>
    <n v="7"/>
    <n v="4"/>
    <n v="3672"/>
    <n v="2208"/>
    <n v="940.5"/>
    <n v="3868"/>
    <n v="0.75"/>
    <n v="0.16"/>
    <n v="0.98"/>
    <n v="7.0000000000000007E-2"/>
    <n v="0.81"/>
    <n v="0.73920000000000008"/>
    <n v="0.88"/>
    <n v="86"/>
    <n v="62"/>
    <n v="20"/>
    <n v="0.80973333333333342"/>
  </r>
  <r>
    <d v="2025-04-26T00:00:00"/>
    <x v="3"/>
    <x v="3"/>
    <x v="3"/>
    <n v="0.41"/>
    <n v="0.8"/>
    <n v="0.86"/>
    <n v="36"/>
    <n v="18"/>
    <n v="7"/>
    <n v="8"/>
    <n v="4"/>
    <n v="3"/>
    <n v="2"/>
    <n v="2517"/>
    <n v="1071"/>
    <n v="513"/>
    <n v="4397"/>
    <n v="0.62"/>
    <n v="0.89"/>
    <n v="0.32"/>
    <n v="0.09"/>
    <n v="0.22950000000000001"/>
    <n v="0.27324000000000004"/>
    <n v="0.18000000000000002"/>
    <n v="89"/>
    <n v="67"/>
    <n v="12"/>
    <n v="0.22758000000000003"/>
  </r>
  <r>
    <d v="2025-04-27T00:00:00"/>
    <x v="3"/>
    <x v="3"/>
    <x v="4"/>
    <n v="0.43"/>
    <n v="0.54"/>
    <n v="0.67"/>
    <n v="12"/>
    <n v="38"/>
    <n v="4"/>
    <n v="7"/>
    <n v="7"/>
    <n v="3"/>
    <n v="3"/>
    <n v="2638"/>
    <n v="484"/>
    <n v="364.5"/>
    <n v="4503"/>
    <n v="0.32"/>
    <n v="1.1000000000000001"/>
    <n v="0.46"/>
    <n v="0.05"/>
    <n v="0.22500000000000001"/>
    <n v="0.20196000000000003"/>
    <n v="0.18000000000000002"/>
    <n v="97"/>
    <n v="67"/>
    <n v="13"/>
    <n v="0.20232000000000003"/>
  </r>
  <r>
    <d v="2025-04-28T00:00:00"/>
    <x v="3"/>
    <x v="4"/>
    <x v="5"/>
    <n v="0.95"/>
    <n v="0.45"/>
    <n v="0.42"/>
    <n v="20"/>
    <n v="8"/>
    <n v="5"/>
    <n v="8"/>
    <n v="3"/>
    <n v="7"/>
    <n v="2"/>
    <n v="2307"/>
    <n v="2218"/>
    <n v="274.5"/>
    <n v="4060"/>
    <n v="0.28000000000000003"/>
    <n v="0.95"/>
    <n v="0.45"/>
    <n v="0.03"/>
    <n v="0.88"/>
    <n v="0.58080000000000009"/>
    <n v="0.71"/>
    <n v="97"/>
    <n v="73"/>
    <n v="37"/>
    <n v="0.72359999999999991"/>
  </r>
  <r>
    <d v="2025-04-29T00:00:00"/>
    <x v="3"/>
    <x v="4"/>
    <x v="6"/>
    <n v="0.87"/>
    <n v="0.5"/>
    <n v="0.45"/>
    <n v="20"/>
    <n v="6"/>
    <n v="12"/>
    <n v="4"/>
    <n v="2"/>
    <n v="9"/>
    <n v="3"/>
    <n v="931"/>
    <n v="63"/>
    <n v="234"/>
    <n v="931"/>
    <n v="0.6"/>
    <n v="0.55000000000000004"/>
    <n v="1.07"/>
    <n v="0.05"/>
    <n v="0.82"/>
    <n v="0.5544"/>
    <n v="0.66"/>
    <n v="92"/>
    <n v="75"/>
    <n v="16"/>
    <n v="0.67813333333333337"/>
  </r>
  <r>
    <d v="2025-04-30T00:00:00"/>
    <x v="3"/>
    <x v="4"/>
    <x v="0"/>
    <n v="0.62"/>
    <n v="0.46"/>
    <n v="0.73"/>
    <n v="30"/>
    <n v="18"/>
    <n v="2"/>
    <n v="6"/>
    <n v="1"/>
    <n v="4"/>
    <n v="7"/>
    <n v="2287"/>
    <n v="2655"/>
    <n v="1864.5"/>
    <n v="4148"/>
    <n v="1.2"/>
    <n v="0.74"/>
    <n v="0.33"/>
    <n v="0.09"/>
    <n v="0.45"/>
    <n v="0.77880000000000005"/>
    <n v="0.4"/>
    <n v="90"/>
    <n v="55"/>
    <n v="40"/>
    <n v="0.54293333333333338"/>
  </r>
  <r>
    <d v="2025-05-01T00:00:00"/>
    <x v="4"/>
    <x v="0"/>
    <x v="1"/>
    <n v="0.63"/>
    <n v="0.82"/>
    <n v="0.84"/>
    <n v="32"/>
    <n v="5"/>
    <n v="8"/>
    <n v="9"/>
    <n v="4"/>
    <n v="2"/>
    <n v="11"/>
    <n v="3189"/>
    <n v="603"/>
    <n v="1579.5"/>
    <n v="5316"/>
    <n v="0.3"/>
    <n v="0.37"/>
    <n v="0.56000000000000005"/>
    <n v="0.03"/>
    <n v="0.88"/>
    <n v="0.48840000000000006"/>
    <n v="0.47"/>
    <n v="93"/>
    <n v="79"/>
    <n v="47"/>
    <n v="0.61280000000000001"/>
  </r>
  <r>
    <d v="2025-05-02T00:00:00"/>
    <x v="4"/>
    <x v="0"/>
    <x v="2"/>
    <n v="0.84"/>
    <n v="0.84"/>
    <n v="0.66"/>
    <n v="16"/>
    <n v="24"/>
    <n v="7"/>
    <n v="5"/>
    <n v="4"/>
    <n v="7"/>
    <n v="2"/>
    <n v="1504"/>
    <n v="1374"/>
    <n v="1129.5"/>
    <n v="1965"/>
    <n v="0.87"/>
    <n v="1.18"/>
    <n v="0.95"/>
    <n v="0.02"/>
    <n v="0.83"/>
    <n v="0.75239999999999996"/>
    <n v="0.59"/>
    <n v="93"/>
    <n v="55"/>
    <n v="10"/>
    <n v="0.72413333333333318"/>
  </r>
  <r>
    <d v="2025-05-03T00:00:00"/>
    <x v="4"/>
    <x v="0"/>
    <x v="3"/>
    <n v="0.28999999999999998"/>
    <n v="0.77"/>
    <n v="0.5"/>
    <n v="31"/>
    <n v="26"/>
    <n v="6"/>
    <n v="1"/>
    <n v="2"/>
    <n v="2"/>
    <n v="2"/>
    <n v="84"/>
    <n v="283"/>
    <n v="2245.5"/>
    <n v="2470"/>
    <n v="1.21"/>
    <n v="0.52"/>
    <n v="1.1399999999999999"/>
    <n v="0.02"/>
    <n v="0.36899999999999999"/>
    <n v="0.34451999999999999"/>
    <n v="0.3735"/>
    <n v="86"/>
    <n v="71"/>
    <n v="40"/>
    <n v="0.36233999999999994"/>
  </r>
  <r>
    <d v="2025-05-04T00:00:00"/>
    <x v="4"/>
    <x v="0"/>
    <x v="4"/>
    <n v="0.14000000000000001"/>
    <n v="0.54"/>
    <n v="0.89"/>
    <n v="30"/>
    <n v="12"/>
    <n v="2"/>
    <n v="3"/>
    <n v="5"/>
    <n v="4"/>
    <n v="4"/>
    <n v="270"/>
    <n v="3211"/>
    <n v="2373"/>
    <n v="3532"/>
    <n v="0.24"/>
    <n v="0.8"/>
    <n v="1.1299999999999999"/>
    <n v="0.01"/>
    <n v="0.41850000000000004"/>
    <n v="0.36234000000000005"/>
    <n v="0.29250000000000004"/>
    <n v="100"/>
    <n v="78"/>
    <n v="39"/>
    <n v="0.35778000000000004"/>
  </r>
  <r>
    <d v="2025-05-05T00:00:00"/>
    <x v="4"/>
    <x v="1"/>
    <x v="5"/>
    <n v="0.63"/>
    <n v="0.64"/>
    <n v="0.56999999999999995"/>
    <n v="39"/>
    <n v="16"/>
    <n v="2"/>
    <n v="12"/>
    <n v="6"/>
    <n v="9"/>
    <n v="9"/>
    <n v="884"/>
    <n v="3003"/>
    <n v="1336.5"/>
    <n v="3303"/>
    <n v="0.37"/>
    <n v="0.56999999999999995"/>
    <n v="0.79"/>
    <n v="0.03"/>
    <n v="0.86"/>
    <n v="0.43560000000000004"/>
    <n v="0.67"/>
    <n v="95"/>
    <n v="58"/>
    <n v="21"/>
    <n v="0.65520000000000012"/>
  </r>
  <r>
    <d v="2025-05-06T00:00:00"/>
    <x v="4"/>
    <x v="1"/>
    <x v="6"/>
    <n v="0.72"/>
    <n v="0.77"/>
    <n v="0.4"/>
    <n v="14"/>
    <n v="21"/>
    <n v="7"/>
    <n v="4"/>
    <n v="5"/>
    <n v="9"/>
    <n v="12"/>
    <n v="2424"/>
    <n v="780"/>
    <n v="298.5"/>
    <n v="4235"/>
    <n v="0.21"/>
    <n v="0.46"/>
    <n v="0.41"/>
    <n v="0.08"/>
    <n v="0.92"/>
    <n v="0.75239999999999996"/>
    <n v="0.78"/>
    <n v="85"/>
    <n v="62"/>
    <n v="19"/>
    <n v="0.81746666666666667"/>
  </r>
  <r>
    <d v="2025-05-07T00:00:00"/>
    <x v="4"/>
    <x v="1"/>
    <x v="0"/>
    <n v="0.65"/>
    <n v="0.45"/>
    <n v="0.86"/>
    <n v="21"/>
    <n v="18"/>
    <n v="4"/>
    <n v="12"/>
    <n v="2"/>
    <n v="12"/>
    <n v="1"/>
    <n v="807"/>
    <n v="1686"/>
    <n v="1827"/>
    <n v="2009"/>
    <n v="0.7"/>
    <n v="0.51"/>
    <n v="0.78"/>
    <n v="7.0000000000000007E-2"/>
    <n v="0.54"/>
    <n v="0.79200000000000004"/>
    <n v="0.51"/>
    <n v="79"/>
    <n v="75"/>
    <n v="31"/>
    <n v="0.61399999999999999"/>
  </r>
  <r>
    <d v="2025-05-08T00:00:00"/>
    <x v="4"/>
    <x v="1"/>
    <x v="1"/>
    <n v="0.63"/>
    <n v="0.46"/>
    <n v="0.73"/>
    <n v="13"/>
    <n v="31"/>
    <n v="6"/>
    <n v="3"/>
    <n v="6"/>
    <n v="4"/>
    <n v="3"/>
    <n v="1603"/>
    <n v="1335"/>
    <n v="279"/>
    <n v="1988"/>
    <n v="0.62"/>
    <n v="0.4"/>
    <n v="0.99"/>
    <n v="0.05"/>
    <n v="0.53"/>
    <n v="0.58080000000000009"/>
    <n v="0.5"/>
    <n v="98"/>
    <n v="51"/>
    <n v="46"/>
    <n v="0.53693333333333337"/>
  </r>
  <r>
    <d v="2025-05-09T00:00:00"/>
    <x v="4"/>
    <x v="1"/>
    <x v="2"/>
    <n v="1"/>
    <n v="0.69"/>
    <n v="0.55000000000000004"/>
    <n v="12"/>
    <n v="30"/>
    <n v="2"/>
    <n v="4"/>
    <n v="2"/>
    <n v="8"/>
    <n v="4"/>
    <n v="3279"/>
    <n v="695"/>
    <n v="1543.5"/>
    <n v="5552"/>
    <n v="0.65"/>
    <n v="0.95"/>
    <n v="0.88"/>
    <n v="0.1"/>
    <n v="0.7"/>
    <n v="0.88440000000000007"/>
    <n v="0.77"/>
    <n v="89"/>
    <n v="80"/>
    <n v="30"/>
    <n v="0.78480000000000005"/>
  </r>
  <r>
    <d v="2025-05-10T00:00:00"/>
    <x v="4"/>
    <x v="1"/>
    <x v="3"/>
    <n v="0.11"/>
    <n v="0.88"/>
    <n v="0.56000000000000005"/>
    <n v="23"/>
    <n v="10"/>
    <n v="2"/>
    <n v="2"/>
    <n v="6"/>
    <n v="7"/>
    <n v="2"/>
    <n v="317"/>
    <n v="732"/>
    <n v="814.5"/>
    <n v="895"/>
    <n v="0.39"/>
    <n v="0.9"/>
    <n v="0.5"/>
    <n v="0.01"/>
    <n v="0.29250000000000004"/>
    <n v="0.35640000000000005"/>
    <n v="0.35100000000000003"/>
    <n v="81"/>
    <n v="60"/>
    <n v="30"/>
    <n v="0.33329999999999999"/>
  </r>
  <r>
    <d v="2025-05-11T00:00:00"/>
    <x v="4"/>
    <x v="1"/>
    <x v="4"/>
    <n v="0.47"/>
    <n v="0.36"/>
    <n v="0.38"/>
    <n v="20"/>
    <n v="9"/>
    <n v="1"/>
    <n v="2"/>
    <n v="4"/>
    <n v="4"/>
    <n v="8"/>
    <n v="2075"/>
    <n v="3249"/>
    <n v="1009.5"/>
    <n v="3573"/>
    <n v="0.35"/>
    <n v="0.65"/>
    <n v="0.66"/>
    <n v="0.04"/>
    <n v="0.29700000000000004"/>
    <n v="0.38016000000000005"/>
    <n v="0.40050000000000002"/>
    <n v="85"/>
    <n v="60"/>
    <n v="43"/>
    <n v="0.35922000000000004"/>
  </r>
  <r>
    <d v="2025-05-12T00:00:00"/>
    <x v="4"/>
    <x v="2"/>
    <x v="5"/>
    <n v="0.67"/>
    <n v="0.37"/>
    <n v="0.65"/>
    <n v="23"/>
    <n v="35"/>
    <n v="9"/>
    <n v="4"/>
    <n v="3"/>
    <n v="9"/>
    <n v="2"/>
    <n v="2856"/>
    <n v="30"/>
    <n v="2674.5"/>
    <n v="4760"/>
    <n v="0.54"/>
    <n v="0.66"/>
    <n v="0.15"/>
    <n v="0.06"/>
    <n v="0.92"/>
    <n v="0.64680000000000004"/>
    <n v="0.56999999999999995"/>
    <n v="95"/>
    <n v="52"/>
    <n v="25"/>
    <n v="0.71226666666666671"/>
  </r>
  <r>
    <d v="2025-05-13T00:00:00"/>
    <x v="4"/>
    <x v="2"/>
    <x v="6"/>
    <n v="0.64"/>
    <n v="0.37"/>
    <n v="0.56000000000000005"/>
    <n v="5"/>
    <n v="26"/>
    <n v="12"/>
    <n v="2"/>
    <n v="9"/>
    <n v="1"/>
    <n v="2"/>
    <n v="3744"/>
    <n v="2592"/>
    <n v="960"/>
    <n v="5940"/>
    <n v="0.62"/>
    <n v="0.37"/>
    <n v="0.47"/>
    <n v="0.03"/>
    <n v="0.61"/>
    <n v="0.43560000000000004"/>
    <n v="0.55000000000000004"/>
    <n v="95"/>
    <n v="78"/>
    <n v="15"/>
    <n v="0.53186666666666671"/>
  </r>
  <r>
    <d v="2025-05-14T00:00:00"/>
    <x v="4"/>
    <x v="2"/>
    <x v="0"/>
    <n v="0.81"/>
    <n v="0.84"/>
    <n v="0.7"/>
    <n v="21"/>
    <n v="32"/>
    <n v="1"/>
    <n v="11"/>
    <n v="12"/>
    <n v="3"/>
    <n v="4"/>
    <n v="1395"/>
    <n v="399"/>
    <n v="40.5"/>
    <n v="2028"/>
    <n v="0.85"/>
    <n v="0.53"/>
    <n v="0.24"/>
    <n v="0.06"/>
    <n v="0.83"/>
    <n v="0.73920000000000008"/>
    <n v="0.5"/>
    <n v="83"/>
    <n v="76"/>
    <n v="25"/>
    <n v="0.68973333333333331"/>
  </r>
  <r>
    <d v="2025-05-15T00:00:00"/>
    <x v="4"/>
    <x v="2"/>
    <x v="1"/>
    <n v="0.67"/>
    <n v="0.65"/>
    <n v="0.82"/>
    <n v="10"/>
    <n v="10"/>
    <n v="1"/>
    <n v="12"/>
    <n v="8"/>
    <n v="1"/>
    <n v="9"/>
    <n v="812"/>
    <n v="474"/>
    <n v="2587.5"/>
    <n v="2846"/>
    <n v="0.39"/>
    <n v="0.88"/>
    <n v="0.54"/>
    <n v="0.05"/>
    <n v="0.8"/>
    <n v="0.75239999999999996"/>
    <n v="0.51"/>
    <n v="99"/>
    <n v="75"/>
    <n v="33"/>
    <n v="0.68746666666666678"/>
  </r>
  <r>
    <d v="2025-05-16T00:00:00"/>
    <x v="4"/>
    <x v="2"/>
    <x v="2"/>
    <n v="0.8"/>
    <n v="0.43"/>
    <n v="0.84"/>
    <n v="9"/>
    <n v="38"/>
    <n v="1"/>
    <n v="4"/>
    <n v="7"/>
    <n v="2"/>
    <n v="6"/>
    <n v="153"/>
    <n v="45"/>
    <n v="1246.5"/>
    <n v="1371"/>
    <n v="0.8"/>
    <n v="0.64"/>
    <n v="0.66"/>
    <n v="0.01"/>
    <n v="0.83"/>
    <n v="0.8580000000000001"/>
    <n v="0.75"/>
    <n v="91"/>
    <n v="69"/>
    <n v="11"/>
    <n v="0.81266666666666676"/>
  </r>
  <r>
    <d v="2025-05-17T00:00:00"/>
    <x v="4"/>
    <x v="2"/>
    <x v="3"/>
    <n v="0.43"/>
    <n v="0.56999999999999995"/>
    <n v="0.77"/>
    <n v="24"/>
    <n v="32"/>
    <n v="2"/>
    <n v="2"/>
    <n v="7"/>
    <n v="2"/>
    <n v="2"/>
    <n v="3456"/>
    <n v="3258"/>
    <n v="2571"/>
    <n v="6082"/>
    <n v="0.16"/>
    <n v="0.68"/>
    <n v="0.15"/>
    <n v="0.04"/>
    <n v="0.26100000000000001"/>
    <n v="0.18414000000000003"/>
    <n v="0.28800000000000003"/>
    <n v="98"/>
    <n v="68"/>
    <n v="37"/>
    <n v="0.24438000000000004"/>
  </r>
  <r>
    <d v="2025-05-18T00:00:00"/>
    <x v="4"/>
    <x v="2"/>
    <x v="4"/>
    <n v="0.13"/>
    <n v="0.57999999999999996"/>
    <n v="0.46"/>
    <n v="35"/>
    <n v="34"/>
    <n v="2"/>
    <n v="4"/>
    <n v="8"/>
    <n v="7"/>
    <n v="3"/>
    <n v="1466"/>
    <n v="3074"/>
    <n v="2026.5"/>
    <n v="3381"/>
    <n v="1.1200000000000001"/>
    <n v="0.83"/>
    <n v="1"/>
    <n v="0.08"/>
    <n v="0.23400000000000001"/>
    <n v="0.35640000000000005"/>
    <n v="0.30600000000000005"/>
    <n v="85"/>
    <n v="62"/>
    <n v="33"/>
    <n v="0.29880000000000001"/>
  </r>
  <r>
    <d v="2025-05-19T00:00:00"/>
    <x v="4"/>
    <x v="3"/>
    <x v="5"/>
    <n v="0.82"/>
    <n v="0.51"/>
    <n v="0.62"/>
    <n v="30"/>
    <n v="22"/>
    <n v="9"/>
    <n v="4"/>
    <n v="12"/>
    <n v="8"/>
    <n v="4"/>
    <n v="3613"/>
    <n v="1719"/>
    <n v="333"/>
    <n v="5107"/>
    <n v="0.31"/>
    <n v="0.7"/>
    <n v="0.81"/>
    <n v="0.08"/>
    <n v="0.56000000000000005"/>
    <n v="0.54120000000000001"/>
    <n v="0.88"/>
    <n v="86"/>
    <n v="52"/>
    <n v="10"/>
    <n v="0.66039999999999999"/>
  </r>
  <r>
    <d v="2025-05-20T00:00:00"/>
    <x v="4"/>
    <x v="3"/>
    <x v="6"/>
    <n v="0.83"/>
    <n v="0.77"/>
    <n v="0.51"/>
    <n v="37"/>
    <n v="27"/>
    <n v="11"/>
    <n v="7"/>
    <n v="3"/>
    <n v="1"/>
    <n v="12"/>
    <n v="1015"/>
    <n v="238"/>
    <n v="103.5"/>
    <n v="1394"/>
    <n v="0.5"/>
    <n v="0.57999999999999996"/>
    <n v="0.47"/>
    <n v="0.02"/>
    <n v="0.46"/>
    <n v="0.54120000000000001"/>
    <n v="0.4"/>
    <n v="99"/>
    <n v="70"/>
    <n v="10"/>
    <n v="0.46706666666666674"/>
  </r>
  <r>
    <d v="2025-05-21T00:00:00"/>
    <x v="4"/>
    <x v="3"/>
    <x v="0"/>
    <n v="0.94"/>
    <n v="0.45"/>
    <n v="0.37"/>
    <n v="34"/>
    <n v="13"/>
    <n v="1"/>
    <n v="2"/>
    <n v="12"/>
    <n v="8"/>
    <n v="5"/>
    <n v="369"/>
    <n v="347"/>
    <n v="2179.5"/>
    <n v="2397"/>
    <n v="0.59"/>
    <n v="0.33"/>
    <n v="1.06"/>
    <n v="0.09"/>
    <n v="0.94"/>
    <n v="0.51480000000000004"/>
    <n v="0.37"/>
    <n v="97"/>
    <n v="79"/>
    <n v="10"/>
    <n v="0.60826666666666673"/>
  </r>
  <r>
    <d v="2025-05-22T00:00:00"/>
    <x v="4"/>
    <x v="3"/>
    <x v="1"/>
    <n v="0.87"/>
    <n v="0.84"/>
    <n v="0.64"/>
    <n v="12"/>
    <n v="34"/>
    <n v="9"/>
    <n v="1"/>
    <n v="2"/>
    <n v="6"/>
    <n v="12"/>
    <n v="588"/>
    <n v="2488"/>
    <n v="2034"/>
    <n v="2736"/>
    <n v="0.6"/>
    <n v="0.9"/>
    <n v="1.02"/>
    <n v="0.08"/>
    <n v="0.53"/>
    <n v="0.96360000000000012"/>
    <n v="0.82"/>
    <n v="83"/>
    <n v="57"/>
    <n v="37"/>
    <n v="0.7712"/>
  </r>
  <r>
    <d v="2025-05-23T00:00:00"/>
    <x v="4"/>
    <x v="3"/>
    <x v="2"/>
    <n v="0.76"/>
    <n v="0.55000000000000004"/>
    <n v="0.41"/>
    <n v="36"/>
    <n v="34"/>
    <n v="7"/>
    <n v="2"/>
    <n v="2"/>
    <n v="4"/>
    <n v="4"/>
    <n v="182"/>
    <n v="1944"/>
    <n v="2416.5"/>
    <n v="2658"/>
    <n v="0.3"/>
    <n v="0.7"/>
    <n v="1.04"/>
    <n v="0.01"/>
    <n v="0.8"/>
    <n v="0.83160000000000012"/>
    <n v="0.76"/>
    <n v="79"/>
    <n v="75"/>
    <n v="22"/>
    <n v="0.79720000000000013"/>
  </r>
  <r>
    <d v="2025-05-24T00:00:00"/>
    <x v="4"/>
    <x v="3"/>
    <x v="3"/>
    <n v="0.21"/>
    <n v="0.86"/>
    <n v="0.69"/>
    <n v="35"/>
    <n v="8"/>
    <n v="5"/>
    <n v="1"/>
    <n v="7"/>
    <n v="4"/>
    <n v="8"/>
    <n v="3261"/>
    <n v="2961"/>
    <n v="123"/>
    <n v="5001"/>
    <n v="0.95"/>
    <n v="0.23"/>
    <n v="0.51"/>
    <n v="0.05"/>
    <n v="0.40500000000000003"/>
    <n v="0.19008000000000003"/>
    <n v="0.3735"/>
    <n v="86"/>
    <n v="66"/>
    <n v="21"/>
    <n v="0.32285999999999998"/>
  </r>
  <r>
    <d v="2025-05-25T00:00:00"/>
    <x v="4"/>
    <x v="3"/>
    <x v="4"/>
    <n v="0.13"/>
    <n v="0.38"/>
    <n v="0.61"/>
    <n v="32"/>
    <n v="16"/>
    <n v="6"/>
    <n v="7"/>
    <n v="4"/>
    <n v="4"/>
    <n v="4"/>
    <n v="885"/>
    <n v="27"/>
    <n v="379.5"/>
    <n v="1144"/>
    <n v="0.2"/>
    <n v="0.93"/>
    <n v="0.49"/>
    <n v="7.0000000000000007E-2"/>
    <n v="0.27"/>
    <n v="0.24948000000000004"/>
    <n v="0.38250000000000001"/>
    <n v="86"/>
    <n v="76"/>
    <n v="33"/>
    <n v="0.30065999999999998"/>
  </r>
  <r>
    <d v="2025-05-26T00:00:00"/>
    <x v="4"/>
    <x v="4"/>
    <x v="5"/>
    <n v="0.79"/>
    <n v="0.69"/>
    <n v="0.57999999999999996"/>
    <n v="33"/>
    <n v="40"/>
    <n v="2"/>
    <n v="6"/>
    <n v="8"/>
    <n v="4"/>
    <n v="4"/>
    <n v="1498"/>
    <n v="189"/>
    <n v="1711.5"/>
    <n v="1882"/>
    <n v="0.7"/>
    <n v="0.89"/>
    <n v="0.74"/>
    <n v="7.0000000000000007E-2"/>
    <n v="0.76"/>
    <n v="0.39600000000000002"/>
    <n v="0.71"/>
    <n v="94"/>
    <n v="57"/>
    <n v="18"/>
    <n v="0.622"/>
  </r>
  <r>
    <d v="2025-05-27T00:00:00"/>
    <x v="4"/>
    <x v="4"/>
    <x v="6"/>
    <n v="0.71"/>
    <n v="0.84"/>
    <n v="0.49"/>
    <n v="18"/>
    <n v="12"/>
    <n v="9"/>
    <n v="7"/>
    <n v="11"/>
    <n v="4"/>
    <n v="7"/>
    <n v="443"/>
    <n v="981"/>
    <n v="1881"/>
    <n v="2069"/>
    <n v="0.44"/>
    <n v="0.26"/>
    <n v="0.37"/>
    <n v="0.08"/>
    <n v="0.48"/>
    <n v="0.80520000000000003"/>
    <n v="0.6"/>
    <n v="95"/>
    <n v="51"/>
    <n v="11"/>
    <n v="0.62840000000000007"/>
  </r>
  <r>
    <d v="2025-05-28T00:00:00"/>
    <x v="4"/>
    <x v="4"/>
    <x v="0"/>
    <n v="0.85"/>
    <n v="0.59"/>
    <n v="0.62"/>
    <n v="30"/>
    <n v="27"/>
    <n v="11"/>
    <n v="6"/>
    <n v="12"/>
    <n v="2"/>
    <n v="11"/>
    <n v="2725"/>
    <n v="3161"/>
    <n v="1846.5"/>
    <n v="3924"/>
    <n v="1.2"/>
    <n v="0.89"/>
    <n v="0.36"/>
    <n v="0.01"/>
    <n v="0.56999999999999995"/>
    <n v="0.58080000000000009"/>
    <n v="0.63"/>
    <n v="85"/>
    <n v="77"/>
    <n v="13"/>
    <n v="0.59360000000000002"/>
  </r>
  <r>
    <d v="2025-05-29T00:00:00"/>
    <x v="4"/>
    <x v="4"/>
    <x v="1"/>
    <n v="0.91"/>
    <n v="0.56999999999999995"/>
    <n v="0.4"/>
    <n v="37"/>
    <n v="33"/>
    <n v="8"/>
    <n v="6"/>
    <n v="8"/>
    <n v="4"/>
    <n v="2"/>
    <n v="2262"/>
    <n v="3085"/>
    <n v="150"/>
    <n v="3167"/>
    <n v="0.64"/>
    <n v="0.62"/>
    <n v="0.54"/>
    <n v="0.01"/>
    <n v="0.94"/>
    <n v="0.87120000000000009"/>
    <n v="0.4"/>
    <n v="80"/>
    <n v="54"/>
    <n v="32"/>
    <n v="0.73706666666666665"/>
  </r>
  <r>
    <d v="2025-05-30T00:00:00"/>
    <x v="4"/>
    <x v="4"/>
    <x v="2"/>
    <n v="0.68"/>
    <n v="0.36"/>
    <n v="0.62"/>
    <n v="7"/>
    <n v="20"/>
    <n v="2"/>
    <n v="8"/>
    <n v="4"/>
    <n v="1"/>
    <n v="3"/>
    <n v="1452"/>
    <n v="16"/>
    <n v="351"/>
    <n v="2072"/>
    <n v="0.31"/>
    <n v="0.91"/>
    <n v="1.1399999999999999"/>
    <n v="7.0000000000000007E-2"/>
    <n v="0.6"/>
    <n v="0.63360000000000005"/>
    <n v="0.5"/>
    <n v="86"/>
    <n v="51"/>
    <n v="24"/>
    <n v="0.57786666666666664"/>
  </r>
  <r>
    <d v="2025-05-31T00:00:00"/>
    <x v="4"/>
    <x v="4"/>
    <x v="3"/>
    <n v="0.12"/>
    <n v="0.53"/>
    <n v="0.39"/>
    <n v="10"/>
    <n v="14"/>
    <n v="7"/>
    <n v="6"/>
    <n v="2"/>
    <n v="6"/>
    <n v="2"/>
    <n v="1632"/>
    <n v="610"/>
    <n v="139.5"/>
    <n v="1719"/>
    <n v="0.95"/>
    <n v="0.16"/>
    <n v="1.04"/>
    <n v="0.06"/>
    <n v="0.24300000000000002"/>
    <n v="0.32076000000000005"/>
    <n v="0.189"/>
    <n v="82"/>
    <n v="51"/>
    <n v="33"/>
    <n v="0.25092000000000003"/>
  </r>
  <r>
    <d v="2025-06-01T00:00:00"/>
    <x v="5"/>
    <x v="0"/>
    <x v="4"/>
    <n v="0.45"/>
    <n v="0.76"/>
    <n v="0.47"/>
    <n v="28"/>
    <n v="40"/>
    <n v="6"/>
    <n v="4"/>
    <n v="2"/>
    <n v="2"/>
    <n v="2"/>
    <n v="3058"/>
    <n v="2014"/>
    <n v="2382"/>
    <n v="3058"/>
    <n v="0.47"/>
    <n v="0.88"/>
    <n v="0.41"/>
    <n v="0.09"/>
    <n v="0.33750000000000002"/>
    <n v="0.17820000000000003"/>
    <n v="0.24750000000000003"/>
    <n v="85"/>
    <n v="65"/>
    <n v="18"/>
    <n v="0.25440000000000002"/>
  </r>
  <r>
    <d v="2025-06-02T00:00:00"/>
    <x v="5"/>
    <x v="1"/>
    <x v="5"/>
    <n v="0.74"/>
    <n v="0.42"/>
    <n v="0.69"/>
    <n v="28"/>
    <n v="15"/>
    <n v="3"/>
    <n v="1"/>
    <n v="2"/>
    <n v="11"/>
    <n v="2"/>
    <n v="1365"/>
    <n v="1895"/>
    <n v="1480.5"/>
    <n v="2084"/>
    <n v="1.24"/>
    <n v="0.75"/>
    <n v="0.28999999999999998"/>
    <n v="0.1"/>
    <n v="0.56000000000000005"/>
    <n v="0.91080000000000005"/>
    <n v="0.84"/>
    <n v="94"/>
    <n v="71"/>
    <n v="43"/>
    <n v="0.77026666666666666"/>
  </r>
  <r>
    <d v="2025-06-03T00:00:00"/>
    <x v="5"/>
    <x v="1"/>
    <x v="6"/>
    <n v="0.69"/>
    <n v="0.41"/>
    <n v="0.46"/>
    <n v="8"/>
    <n v="25"/>
    <n v="5"/>
    <n v="1"/>
    <n v="12"/>
    <n v="8"/>
    <n v="5"/>
    <n v="108"/>
    <n v="2655"/>
    <n v="2409"/>
    <n v="2920"/>
    <n v="1.05"/>
    <n v="1.1499999999999999"/>
    <n v="0.22"/>
    <n v="0.05"/>
    <n v="0.85"/>
    <n v="0.64680000000000004"/>
    <n v="0.6"/>
    <n v="85"/>
    <n v="65"/>
    <n v="15"/>
    <n v="0.6989333333333333"/>
  </r>
  <r>
    <d v="2025-06-04T00:00:00"/>
    <x v="5"/>
    <x v="1"/>
    <x v="0"/>
    <n v="0.78"/>
    <n v="0.47"/>
    <n v="0.67"/>
    <n v="26"/>
    <n v="12"/>
    <n v="5"/>
    <n v="6"/>
    <n v="11"/>
    <n v="6"/>
    <n v="6"/>
    <n v="1530"/>
    <n v="2149"/>
    <n v="582"/>
    <n v="2203"/>
    <n v="0.4"/>
    <n v="1.1000000000000001"/>
    <n v="1.08"/>
    <n v="0.09"/>
    <n v="0.52"/>
    <n v="0.42240000000000005"/>
    <n v="0.61"/>
    <n v="83"/>
    <n v="60"/>
    <n v="37"/>
    <n v="0.51746666666666663"/>
  </r>
  <r>
    <d v="2025-06-05T00:00:00"/>
    <x v="5"/>
    <x v="1"/>
    <x v="1"/>
    <n v="0.91"/>
    <n v="0.4"/>
    <n v="0.9"/>
    <n v="27"/>
    <n v="11"/>
    <n v="8"/>
    <n v="12"/>
    <n v="12"/>
    <n v="5"/>
    <n v="11"/>
    <n v="3286"/>
    <n v="1773"/>
    <n v="625.5"/>
    <n v="6003"/>
    <n v="0.51"/>
    <n v="1.18"/>
    <n v="0.57999999999999996"/>
    <n v="0.1"/>
    <n v="0.82"/>
    <n v="0.72600000000000009"/>
    <n v="0.64"/>
    <n v="78"/>
    <n v="54"/>
    <n v="13"/>
    <n v="0.72866666666666668"/>
  </r>
  <r>
    <d v="2025-06-06T00:00:00"/>
    <x v="5"/>
    <x v="1"/>
    <x v="2"/>
    <n v="0.6"/>
    <n v="0.62"/>
    <n v="0.47"/>
    <n v="32"/>
    <n v="8"/>
    <n v="3"/>
    <n v="7"/>
    <n v="1"/>
    <n v="1"/>
    <n v="7"/>
    <n v="981"/>
    <n v="2007"/>
    <n v="186"/>
    <n v="2207"/>
    <n v="0.52"/>
    <n v="0.98"/>
    <n v="0.28000000000000003"/>
    <n v="0.08"/>
    <n v="0.95"/>
    <n v="0.40920000000000001"/>
    <n v="0.47"/>
    <n v="92"/>
    <n v="51"/>
    <n v="43"/>
    <n v="0.60973333333333335"/>
  </r>
  <r>
    <d v="2025-06-07T00:00:00"/>
    <x v="5"/>
    <x v="1"/>
    <x v="3"/>
    <n v="0.1"/>
    <n v="0.56000000000000005"/>
    <n v="0.85"/>
    <n v="26"/>
    <n v="20"/>
    <n v="4"/>
    <n v="7"/>
    <n v="2"/>
    <n v="4"/>
    <n v="2"/>
    <n v="2550"/>
    <n v="126"/>
    <n v="429"/>
    <n v="2890"/>
    <n v="0.41"/>
    <n v="0.56000000000000005"/>
    <n v="0.26"/>
    <n v="0.01"/>
    <n v="0.315"/>
    <n v="0.43362000000000001"/>
    <n v="0.27900000000000003"/>
    <n v="91"/>
    <n v="64"/>
    <n v="14"/>
    <n v="0.34254000000000007"/>
  </r>
  <r>
    <d v="2025-06-08T00:00:00"/>
    <x v="5"/>
    <x v="1"/>
    <x v="4"/>
    <n v="0.13"/>
    <n v="0.46"/>
    <n v="0.52"/>
    <n v="25"/>
    <n v="21"/>
    <n v="6"/>
    <n v="4"/>
    <n v="7"/>
    <n v="1"/>
    <n v="5"/>
    <n v="3730"/>
    <n v="2794"/>
    <n v="2220"/>
    <n v="6515"/>
    <n v="0.53"/>
    <n v="0.33"/>
    <n v="1.06"/>
    <n v="7.0000000000000007E-2"/>
    <n v="0.42299999999999999"/>
    <n v="0.37422000000000005"/>
    <n v="0.216"/>
    <n v="96"/>
    <n v="72"/>
    <n v="22"/>
    <n v="0.33773999999999998"/>
  </r>
  <r>
    <d v="2025-06-09T00:00:00"/>
    <x v="5"/>
    <x v="2"/>
    <x v="5"/>
    <n v="0.85"/>
    <n v="0.39"/>
    <n v="0.59"/>
    <n v="38"/>
    <n v="16"/>
    <n v="11"/>
    <n v="2"/>
    <n v="9"/>
    <n v="1"/>
    <n v="7"/>
    <n v="201"/>
    <n v="1158"/>
    <n v="40.5"/>
    <n v="1273"/>
    <n v="0.97"/>
    <n v="0.35"/>
    <n v="0.59"/>
    <n v="0.09"/>
    <n v="0.82"/>
    <n v="0.75239999999999996"/>
    <n v="0.48"/>
    <n v="82"/>
    <n v="72"/>
    <n v="19"/>
    <n v="0.68413333333333337"/>
  </r>
  <r>
    <d v="2025-06-10T00:00:00"/>
    <x v="5"/>
    <x v="2"/>
    <x v="6"/>
    <n v="0.75"/>
    <n v="0.35"/>
    <n v="0.69"/>
    <n v="30"/>
    <n v="9"/>
    <n v="4"/>
    <n v="6"/>
    <n v="7"/>
    <n v="7"/>
    <n v="8"/>
    <n v="2075"/>
    <n v="1197"/>
    <n v="357"/>
    <n v="2960"/>
    <n v="0.4"/>
    <n v="0.22"/>
    <n v="0.93"/>
    <n v="0.1"/>
    <n v="0.63"/>
    <n v="0.62039999999999995"/>
    <n v="0.53"/>
    <n v="79"/>
    <n v="72"/>
    <n v="45"/>
    <n v="0.5934666666666667"/>
  </r>
  <r>
    <d v="2025-06-11T00:00:00"/>
    <x v="5"/>
    <x v="2"/>
    <x v="0"/>
    <n v="0.86"/>
    <n v="0.85"/>
    <n v="0.69"/>
    <n v="29"/>
    <n v="15"/>
    <n v="2"/>
    <n v="2"/>
    <n v="2"/>
    <n v="1"/>
    <n v="2"/>
    <n v="3032"/>
    <n v="2302"/>
    <n v="676.5"/>
    <n v="3881"/>
    <n v="1.1000000000000001"/>
    <n v="1.05"/>
    <n v="0.53"/>
    <n v="0.04"/>
    <n v="0.76"/>
    <n v="0.43560000000000004"/>
    <n v="0.83"/>
    <n v="86"/>
    <n v="66"/>
    <n v="42"/>
    <n v="0.67519999999999991"/>
  </r>
  <r>
    <d v="2025-06-12T00:00:00"/>
    <x v="5"/>
    <x v="2"/>
    <x v="1"/>
    <n v="0.78"/>
    <n v="0.79"/>
    <n v="0.65"/>
    <n v="29"/>
    <n v="19"/>
    <n v="12"/>
    <n v="2"/>
    <n v="11"/>
    <n v="6"/>
    <n v="6"/>
    <n v="195"/>
    <n v="25"/>
    <n v="765"/>
    <n v="841"/>
    <n v="0.78"/>
    <n v="0.52"/>
    <n v="0.54"/>
    <n v="0.03"/>
    <n v="0.9"/>
    <n v="0.97680000000000011"/>
    <n v="0.43"/>
    <n v="86"/>
    <n v="68"/>
    <n v="44"/>
    <n v="0.76893333333333347"/>
  </r>
  <r>
    <d v="2025-06-13T00:00:00"/>
    <x v="5"/>
    <x v="2"/>
    <x v="2"/>
    <n v="0.72"/>
    <n v="0.65"/>
    <n v="0.84"/>
    <n v="33"/>
    <n v="34"/>
    <n v="8"/>
    <n v="2"/>
    <n v="2"/>
    <n v="7"/>
    <n v="5"/>
    <n v="1554"/>
    <n v="1485"/>
    <n v="2233.5"/>
    <n v="2456"/>
    <n v="0.84"/>
    <n v="0.96"/>
    <n v="0.81"/>
    <n v="0.03"/>
    <n v="0.66"/>
    <n v="0.7128000000000001"/>
    <n v="0.56999999999999995"/>
    <n v="79"/>
    <n v="77"/>
    <n v="39"/>
    <n v="0.64760000000000006"/>
  </r>
  <r>
    <d v="2025-06-14T00:00:00"/>
    <x v="5"/>
    <x v="2"/>
    <x v="3"/>
    <n v="0.24"/>
    <n v="0.76"/>
    <n v="0.61"/>
    <n v="18"/>
    <n v="14"/>
    <n v="2"/>
    <n v="2"/>
    <n v="4"/>
    <n v="4"/>
    <n v="2"/>
    <n v="683"/>
    <n v="2228"/>
    <n v="2413.5"/>
    <n v="2654"/>
    <n v="1"/>
    <n v="0.37"/>
    <n v="0.49"/>
    <n v="0.08"/>
    <n v="0.32400000000000001"/>
    <n v="0.31482000000000004"/>
    <n v="0.33750000000000002"/>
    <n v="98"/>
    <n v="63"/>
    <n v="21"/>
    <n v="0.32544000000000001"/>
  </r>
  <r>
    <d v="2025-06-15T00:00:00"/>
    <x v="5"/>
    <x v="2"/>
    <x v="4"/>
    <n v="0.43"/>
    <n v="0.44"/>
    <n v="0.65"/>
    <n v="34"/>
    <n v="27"/>
    <n v="1"/>
    <n v="7"/>
    <n v="1"/>
    <n v="7"/>
    <n v="2"/>
    <n v="2670"/>
    <n v="1248"/>
    <n v="1081.5"/>
    <n v="4094"/>
    <n v="0.28000000000000003"/>
    <n v="0.38"/>
    <n v="0.26"/>
    <n v="0.02"/>
    <n v="0.26550000000000001"/>
    <n v="0.20790000000000003"/>
    <n v="0.27900000000000003"/>
    <n v="93"/>
    <n v="60"/>
    <n v="12"/>
    <n v="0.25080000000000002"/>
  </r>
  <r>
    <d v="2025-06-16T00:00:00"/>
    <x v="5"/>
    <x v="3"/>
    <x v="5"/>
    <n v="0.83"/>
    <n v="0.4"/>
    <n v="0.78"/>
    <n v="24"/>
    <n v="13"/>
    <n v="2"/>
    <n v="9"/>
    <n v="4"/>
    <n v="1"/>
    <n v="12"/>
    <n v="1266"/>
    <n v="2245"/>
    <n v="1365"/>
    <n v="2469"/>
    <n v="1.17"/>
    <n v="0.71"/>
    <n v="1.1299999999999999"/>
    <n v="0.1"/>
    <n v="0.78"/>
    <n v="0.54120000000000001"/>
    <n v="0.59"/>
    <n v="97"/>
    <n v="78"/>
    <n v="30"/>
    <n v="0.63706666666666667"/>
  </r>
  <r>
    <d v="2025-06-17T00:00:00"/>
    <x v="5"/>
    <x v="3"/>
    <x v="6"/>
    <n v="0.92"/>
    <n v="0.54"/>
    <n v="0.79"/>
    <n v="29"/>
    <n v="15"/>
    <n v="8"/>
    <n v="3"/>
    <n v="5"/>
    <n v="7"/>
    <n v="6"/>
    <n v="1992"/>
    <n v="895"/>
    <n v="1257"/>
    <n v="3426"/>
    <n v="0.86"/>
    <n v="0.93"/>
    <n v="0.66"/>
    <n v="0.06"/>
    <n v="0.92"/>
    <n v="0.64680000000000004"/>
    <n v="0.87"/>
    <n v="79"/>
    <n v="58"/>
    <n v="29"/>
    <n v="0.8122666666666668"/>
  </r>
  <r>
    <d v="2025-06-18T00:00:00"/>
    <x v="5"/>
    <x v="3"/>
    <x v="0"/>
    <n v="0.65"/>
    <n v="0.45"/>
    <n v="0.56000000000000005"/>
    <n v="10"/>
    <n v="5"/>
    <n v="3"/>
    <n v="8"/>
    <n v="11"/>
    <n v="7"/>
    <n v="12"/>
    <n v="1544"/>
    <n v="826"/>
    <n v="1347"/>
    <n v="2429"/>
    <n v="1.1299999999999999"/>
    <n v="1.1599999999999999"/>
    <n v="0.2"/>
    <n v="0.09"/>
    <n v="0.55000000000000004"/>
    <n v="0.89760000000000018"/>
    <n v="0.4"/>
    <n v="99"/>
    <n v="60"/>
    <n v="38"/>
    <n v="0.61586666666666678"/>
  </r>
  <r>
    <d v="2025-06-19T00:00:00"/>
    <x v="5"/>
    <x v="3"/>
    <x v="1"/>
    <n v="0.99"/>
    <n v="0.75"/>
    <n v="0.49"/>
    <n v="31"/>
    <n v="7"/>
    <n v="12"/>
    <n v="8"/>
    <n v="2"/>
    <n v="4"/>
    <n v="12"/>
    <n v="1875"/>
    <n v="3305"/>
    <n v="2314.5"/>
    <n v="3635"/>
    <n v="0.17"/>
    <n v="0.59"/>
    <n v="0.91"/>
    <n v="0.08"/>
    <n v="0.56000000000000005"/>
    <n v="0.88440000000000007"/>
    <n v="0.45"/>
    <n v="96"/>
    <n v="56"/>
    <n v="48"/>
    <n v="0.63146666666666673"/>
  </r>
  <r>
    <d v="2025-06-20T00:00:00"/>
    <x v="5"/>
    <x v="3"/>
    <x v="2"/>
    <n v="0.79"/>
    <n v="0.77"/>
    <n v="0.49"/>
    <n v="17"/>
    <n v="32"/>
    <n v="7"/>
    <n v="7"/>
    <n v="2"/>
    <n v="3"/>
    <n v="8"/>
    <n v="1647"/>
    <n v="1258"/>
    <n v="1242"/>
    <n v="2788"/>
    <n v="0.51"/>
    <n v="0.8"/>
    <n v="0.52"/>
    <n v="0.08"/>
    <n v="0.67"/>
    <n v="0.79200000000000004"/>
    <n v="0.7"/>
    <n v="84"/>
    <n v="62"/>
    <n v="42"/>
    <n v="0.72066666666666668"/>
  </r>
  <r>
    <d v="2025-06-21T00:00:00"/>
    <x v="5"/>
    <x v="3"/>
    <x v="3"/>
    <n v="0.1"/>
    <n v="0.56999999999999995"/>
    <n v="0.46"/>
    <n v="24"/>
    <n v="11"/>
    <n v="8"/>
    <n v="2"/>
    <n v="3"/>
    <n v="2"/>
    <n v="7"/>
    <n v="1851"/>
    <n v="3258"/>
    <n v="1968"/>
    <n v="3583"/>
    <n v="1.1399999999999999"/>
    <n v="0.89"/>
    <n v="1.1000000000000001"/>
    <n v="0.03"/>
    <n v="0.3735"/>
    <n v="0.23760000000000003"/>
    <n v="0.216"/>
    <n v="82"/>
    <n v="71"/>
    <n v="18"/>
    <n v="0.2757"/>
  </r>
  <r>
    <d v="2025-06-22T00:00:00"/>
    <x v="5"/>
    <x v="3"/>
    <x v="4"/>
    <n v="0.16"/>
    <n v="0.88"/>
    <n v="0.82"/>
    <n v="5"/>
    <n v="34"/>
    <n v="6"/>
    <n v="7"/>
    <n v="8"/>
    <n v="4"/>
    <n v="2"/>
    <n v="1560"/>
    <n v="204"/>
    <n v="2611.5"/>
    <n v="2872"/>
    <n v="0.17"/>
    <n v="0.32"/>
    <n v="0.83"/>
    <n v="0.03"/>
    <n v="0.27900000000000003"/>
    <n v="0.24948000000000004"/>
    <n v="0.22500000000000001"/>
    <n v="79"/>
    <n v="74"/>
    <n v="36"/>
    <n v="0.25115999999999999"/>
  </r>
  <r>
    <d v="2025-06-23T00:00:00"/>
    <x v="5"/>
    <x v="4"/>
    <x v="5"/>
    <n v="0.84"/>
    <n v="0.82"/>
    <n v="0.41"/>
    <n v="15"/>
    <n v="31"/>
    <n v="2"/>
    <n v="8"/>
    <n v="12"/>
    <n v="8"/>
    <n v="7"/>
    <n v="1959"/>
    <n v="2997"/>
    <n v="793.5"/>
    <n v="3296"/>
    <n v="0.97"/>
    <n v="0.38"/>
    <n v="0.75"/>
    <n v="0.06"/>
    <n v="0.56999999999999995"/>
    <n v="0.76560000000000006"/>
    <n v="0.63"/>
    <n v="93"/>
    <n v="77"/>
    <n v="48"/>
    <n v="0.65519999999999989"/>
  </r>
  <r>
    <d v="2025-06-24T00:00:00"/>
    <x v="5"/>
    <x v="4"/>
    <x v="6"/>
    <n v="0.73"/>
    <n v="0.57999999999999996"/>
    <n v="0.47"/>
    <n v="18"/>
    <n v="17"/>
    <n v="3"/>
    <n v="5"/>
    <n v="3"/>
    <n v="8"/>
    <n v="5"/>
    <n v="1257"/>
    <n v="1719"/>
    <n v="2035.5"/>
    <n v="2239"/>
    <n v="0.33"/>
    <n v="0.54"/>
    <n v="0.9"/>
    <n v="0.09"/>
    <n v="0.8"/>
    <n v="0.89760000000000018"/>
    <n v="0.46"/>
    <n v="98"/>
    <n v="71"/>
    <n v="16"/>
    <n v="0.71920000000000017"/>
  </r>
  <r>
    <d v="2025-06-25T00:00:00"/>
    <x v="5"/>
    <x v="4"/>
    <x v="0"/>
    <n v="0.96"/>
    <n v="0.49"/>
    <n v="0.87"/>
    <n v="20"/>
    <n v="16"/>
    <n v="11"/>
    <n v="11"/>
    <n v="1"/>
    <n v="4"/>
    <n v="9"/>
    <n v="2636"/>
    <n v="3004"/>
    <n v="2134.5"/>
    <n v="4534"/>
    <n v="0.84"/>
    <n v="0.99"/>
    <n v="1.02"/>
    <n v="0.06"/>
    <n v="0.75"/>
    <n v="0.93720000000000003"/>
    <n v="0.62"/>
    <n v="99"/>
    <n v="72"/>
    <n v="17"/>
    <n v="0.76906666666666668"/>
  </r>
  <r>
    <d v="2025-06-26T00:00:00"/>
    <x v="5"/>
    <x v="4"/>
    <x v="1"/>
    <n v="0.92"/>
    <n v="0.9"/>
    <n v="0.73"/>
    <n v="15"/>
    <n v="30"/>
    <n v="4"/>
    <n v="4"/>
    <n v="9"/>
    <n v="8"/>
    <n v="12"/>
    <n v="2247"/>
    <n v="212"/>
    <n v="661.5"/>
    <n v="3205"/>
    <n v="0.99"/>
    <n v="0.37"/>
    <n v="0.88"/>
    <n v="0.05"/>
    <n v="0.56999999999999995"/>
    <n v="0.5676000000000001"/>
    <n v="0.71"/>
    <n v="86"/>
    <n v="67"/>
    <n v="29"/>
    <n v="0.61586666666666667"/>
  </r>
  <r>
    <d v="2025-06-27T00:00:00"/>
    <x v="5"/>
    <x v="4"/>
    <x v="2"/>
    <n v="0.89"/>
    <n v="0.36"/>
    <n v="0.51"/>
    <n v="15"/>
    <n v="24"/>
    <n v="7"/>
    <n v="2"/>
    <n v="2"/>
    <n v="2"/>
    <n v="2"/>
    <n v="816"/>
    <n v="1336"/>
    <n v="1819.5"/>
    <n v="2001"/>
    <n v="0.35"/>
    <n v="0.17"/>
    <n v="0.98"/>
    <n v="0.04"/>
    <n v="0.81"/>
    <n v="0.40920000000000001"/>
    <n v="0.4"/>
    <n v="90"/>
    <n v="50"/>
    <n v="35"/>
    <n v="0.5397333333333334"/>
  </r>
  <r>
    <d v="2025-06-28T00:00:00"/>
    <x v="5"/>
    <x v="4"/>
    <x v="3"/>
    <n v="0.27"/>
    <n v="0.38"/>
    <n v="0.84"/>
    <n v="23"/>
    <n v="29"/>
    <n v="7"/>
    <n v="2"/>
    <n v="7"/>
    <n v="3"/>
    <n v="6"/>
    <n v="81"/>
    <n v="828"/>
    <n v="1341"/>
    <n v="1475"/>
    <n v="0.51"/>
    <n v="1.07"/>
    <n v="0.21"/>
    <n v="0.05"/>
    <n v="0.315"/>
    <n v="0.43362000000000001"/>
    <n v="0.30150000000000005"/>
    <n v="90"/>
    <n v="54"/>
    <n v="29"/>
    <n v="0.35004000000000007"/>
  </r>
  <r>
    <d v="2025-06-29T00:00:00"/>
    <x v="5"/>
    <x v="4"/>
    <x v="4"/>
    <n v="0.27"/>
    <n v="0.57999999999999996"/>
    <n v="0.87"/>
    <n v="22"/>
    <n v="11"/>
    <n v="3"/>
    <n v="3"/>
    <n v="2"/>
    <n v="5"/>
    <n v="7"/>
    <n v="1500"/>
    <n v="504"/>
    <n v="513"/>
    <n v="2500"/>
    <n v="0.84"/>
    <n v="0.95"/>
    <n v="0.49"/>
    <n v="0.1"/>
    <n v="0.28350000000000003"/>
    <n v="0.44550000000000006"/>
    <n v="0.27"/>
    <n v="78"/>
    <n v="52"/>
    <n v="33"/>
    <n v="0.33300000000000002"/>
  </r>
  <r>
    <d v="2025-06-30T00:00:00"/>
    <x v="5"/>
    <x v="5"/>
    <x v="5"/>
    <n v="0.77"/>
    <n v="0.8"/>
    <n v="0.55000000000000004"/>
    <n v="31"/>
    <n v="37"/>
    <n v="6"/>
    <n v="2"/>
    <n v="4"/>
    <n v="2"/>
    <n v="8"/>
    <n v="1896"/>
    <n v="3172"/>
    <n v="2548.5"/>
    <n v="3489"/>
    <n v="0.64"/>
    <n v="0.6"/>
    <n v="0.98"/>
    <n v="0.02"/>
    <n v="0.45"/>
    <n v="0.52800000000000002"/>
    <n v="0.83"/>
    <n v="100"/>
    <n v="60"/>
    <n v="42"/>
    <n v="0.60266666666666657"/>
  </r>
  <r>
    <d v="2025-07-01T00:00:00"/>
    <x v="6"/>
    <x v="0"/>
    <x v="6"/>
    <n v="0.8"/>
    <n v="0.48"/>
    <n v="0.7"/>
    <n v="25"/>
    <n v="30"/>
    <n v="6"/>
    <n v="9"/>
    <n v="9"/>
    <n v="7"/>
    <n v="1"/>
    <n v="2868"/>
    <n v="1857"/>
    <n v="1611"/>
    <n v="3633"/>
    <n v="0.99"/>
    <n v="0.28000000000000003"/>
    <n v="0.59"/>
    <n v="0.08"/>
    <n v="0.9"/>
    <n v="0.75239999999999996"/>
    <n v="0.55000000000000004"/>
    <n v="85"/>
    <n v="80"/>
    <n v="29"/>
    <n v="0.7341333333333333"/>
  </r>
  <r>
    <d v="2025-07-02T00:00:00"/>
    <x v="6"/>
    <x v="0"/>
    <x v="0"/>
    <n v="0.89"/>
    <n v="0.89"/>
    <n v="0.88"/>
    <n v="28"/>
    <n v="19"/>
    <n v="7"/>
    <n v="3"/>
    <n v="11"/>
    <n v="12"/>
    <n v="12"/>
    <n v="795"/>
    <n v="2145"/>
    <n v="996"/>
    <n v="2359"/>
    <n v="1.2"/>
    <n v="0.91"/>
    <n v="0.99"/>
    <n v="0.09"/>
    <n v="0.54"/>
    <n v="0.64680000000000004"/>
    <n v="0.43"/>
    <n v="91"/>
    <n v="50"/>
    <n v="42"/>
    <n v="0.53893333333333338"/>
  </r>
  <r>
    <d v="2025-07-03T00:00:00"/>
    <x v="6"/>
    <x v="0"/>
    <x v="1"/>
    <n v="0.71"/>
    <n v="0.88"/>
    <n v="0.85"/>
    <n v="15"/>
    <n v="31"/>
    <n v="11"/>
    <n v="8"/>
    <n v="4"/>
    <n v="3"/>
    <n v="2"/>
    <n v="1305"/>
    <n v="1181"/>
    <n v="186"/>
    <n v="2071"/>
    <n v="0.78"/>
    <n v="0.31"/>
    <n v="0.75"/>
    <n v="0.04"/>
    <n v="0.63"/>
    <n v="0.76560000000000006"/>
    <n v="0.69"/>
    <n v="92"/>
    <n v="53"/>
    <n v="43"/>
    <n v="0.69519999999999993"/>
  </r>
  <r>
    <d v="2025-07-04T00:00:00"/>
    <x v="6"/>
    <x v="0"/>
    <x v="2"/>
    <n v="0.63"/>
    <n v="0.8"/>
    <n v="0.73"/>
    <n v="21"/>
    <n v="25"/>
    <n v="6"/>
    <n v="8"/>
    <n v="2"/>
    <n v="7"/>
    <n v="2"/>
    <n v="2863"/>
    <n v="852"/>
    <n v="670.5"/>
    <n v="3818"/>
    <n v="0.95"/>
    <n v="0.25"/>
    <n v="0.8"/>
    <n v="0.03"/>
    <n v="0.45"/>
    <n v="0.75239999999999996"/>
    <n v="0.66"/>
    <n v="80"/>
    <n v="72"/>
    <n v="41"/>
    <n v="0.62080000000000002"/>
  </r>
  <r>
    <d v="2025-07-05T00:00:00"/>
    <x v="6"/>
    <x v="0"/>
    <x v="3"/>
    <n v="0.28999999999999998"/>
    <n v="0.8"/>
    <n v="0.6"/>
    <n v="17"/>
    <n v="38"/>
    <n v="3"/>
    <n v="8"/>
    <n v="7"/>
    <n v="5"/>
    <n v="2"/>
    <n v="192"/>
    <n v="2920"/>
    <n v="2328"/>
    <n v="3212"/>
    <n v="0.81"/>
    <n v="0.34"/>
    <n v="0.64"/>
    <n v="0.06"/>
    <n v="0.36450000000000005"/>
    <n v="0.42174000000000006"/>
    <n v="0.189"/>
    <n v="86"/>
    <n v="51"/>
    <n v="36"/>
    <n v="0.32508000000000004"/>
  </r>
  <r>
    <d v="2025-07-06T00:00:00"/>
    <x v="6"/>
    <x v="0"/>
    <x v="4"/>
    <n v="0.38"/>
    <n v="0.67"/>
    <n v="0.63"/>
    <n v="26"/>
    <n v="36"/>
    <n v="5"/>
    <n v="4"/>
    <n v="3"/>
    <n v="4"/>
    <n v="4"/>
    <n v="3157"/>
    <n v="2981"/>
    <n v="1552.5"/>
    <n v="4041"/>
    <n v="1"/>
    <n v="0.85"/>
    <n v="0.18"/>
    <n v="0.03"/>
    <n v="0.34650000000000003"/>
    <n v="0.26136000000000004"/>
    <n v="0.32400000000000001"/>
    <n v="78"/>
    <n v="50"/>
    <n v="44"/>
    <n v="0.31062000000000006"/>
  </r>
  <r>
    <d v="2025-07-07T00:00:00"/>
    <x v="6"/>
    <x v="1"/>
    <x v="5"/>
    <n v="0.79"/>
    <n v="0.6"/>
    <n v="0.48"/>
    <n v="25"/>
    <n v="7"/>
    <n v="4"/>
    <n v="2"/>
    <n v="2"/>
    <n v="4"/>
    <n v="11"/>
    <n v="2832"/>
    <n v="1527"/>
    <n v="2169"/>
    <n v="3360"/>
    <n v="0.72"/>
    <n v="1.1599999999999999"/>
    <n v="0.88"/>
    <n v="0.08"/>
    <n v="0.8"/>
    <n v="0.73920000000000008"/>
    <n v="0.63"/>
    <n v="94"/>
    <n v="75"/>
    <n v="45"/>
    <n v="0.72306666666666664"/>
  </r>
  <r>
    <d v="2025-07-08T00:00:00"/>
    <x v="6"/>
    <x v="1"/>
    <x v="6"/>
    <n v="0.95"/>
    <n v="0.55000000000000004"/>
    <n v="0.54"/>
    <n v="16"/>
    <n v="8"/>
    <n v="12"/>
    <n v="12"/>
    <n v="2"/>
    <n v="11"/>
    <n v="5"/>
    <n v="1975"/>
    <n v="220"/>
    <n v="1.5"/>
    <n v="2792"/>
    <n v="0.93"/>
    <n v="0.82"/>
    <n v="0.28999999999999998"/>
    <n v="0.01"/>
    <n v="0.8"/>
    <n v="0.39600000000000002"/>
    <n v="0.75"/>
    <n v="94"/>
    <n v="54"/>
    <n v="24"/>
    <n v="0.64866666666666672"/>
  </r>
  <r>
    <d v="2025-07-09T00:00:00"/>
    <x v="6"/>
    <x v="1"/>
    <x v="0"/>
    <n v="0.75"/>
    <n v="0.56000000000000005"/>
    <n v="0.54"/>
    <n v="8"/>
    <n v="27"/>
    <n v="6"/>
    <n v="4"/>
    <n v="2"/>
    <n v="7"/>
    <n v="4"/>
    <n v="651"/>
    <n v="673"/>
    <n v="2502"/>
    <n v="2752"/>
    <n v="0.54"/>
    <n v="0.33"/>
    <n v="0.24"/>
    <n v="0.01"/>
    <n v="0.5"/>
    <n v="0.69960000000000011"/>
    <n v="0.68"/>
    <n v="90"/>
    <n v="73"/>
    <n v="11"/>
    <n v="0.6265333333333335"/>
  </r>
  <r>
    <d v="2025-07-10T00:00:00"/>
    <x v="6"/>
    <x v="1"/>
    <x v="1"/>
    <n v="0.76"/>
    <n v="0.67"/>
    <n v="0.5"/>
    <n v="13"/>
    <n v="11"/>
    <n v="6"/>
    <n v="7"/>
    <n v="8"/>
    <n v="12"/>
    <n v="2"/>
    <n v="3666"/>
    <n v="2335"/>
    <n v="2115"/>
    <n v="3763"/>
    <n v="1.1299999999999999"/>
    <n v="0.79"/>
    <n v="0.57999999999999996"/>
    <n v="0.02"/>
    <n v="0.71"/>
    <n v="0.80520000000000003"/>
    <n v="0.44"/>
    <n v="79"/>
    <n v="68"/>
    <n v="35"/>
    <n v="0.65173333333333339"/>
  </r>
  <r>
    <d v="2025-07-11T00:00:00"/>
    <x v="6"/>
    <x v="1"/>
    <x v="2"/>
    <n v="0.77"/>
    <n v="0.44"/>
    <n v="0.69"/>
    <n v="10"/>
    <n v="11"/>
    <n v="2"/>
    <n v="7"/>
    <n v="2"/>
    <n v="4"/>
    <n v="7"/>
    <n v="1421"/>
    <n v="1625"/>
    <n v="2481"/>
    <n v="2729"/>
    <n v="0.68"/>
    <n v="0.35"/>
    <n v="0.5"/>
    <n v="0.03"/>
    <n v="0.84"/>
    <n v="0.76560000000000006"/>
    <n v="0.43"/>
    <n v="91"/>
    <n v="55"/>
    <n v="45"/>
    <n v="0.67853333333333332"/>
  </r>
  <r>
    <d v="2025-07-12T00:00:00"/>
    <x v="6"/>
    <x v="1"/>
    <x v="3"/>
    <n v="0.11"/>
    <n v="0.85"/>
    <n v="0.89"/>
    <n v="14"/>
    <n v="8"/>
    <n v="2"/>
    <n v="8"/>
    <n v="5"/>
    <n v="6"/>
    <n v="8"/>
    <n v="3022"/>
    <n v="513"/>
    <n v="172.5"/>
    <n v="5239"/>
    <n v="0.7"/>
    <n v="0.48"/>
    <n v="0.16"/>
    <n v="7.0000000000000007E-2"/>
    <n v="0.3735"/>
    <n v="0.26730000000000004"/>
    <n v="0.36899999999999999"/>
    <n v="91"/>
    <n v="50"/>
    <n v="47"/>
    <n v="0.33660000000000001"/>
  </r>
  <r>
    <d v="2025-07-13T00:00:00"/>
    <x v="6"/>
    <x v="1"/>
    <x v="4"/>
    <n v="0.41"/>
    <n v="0.76"/>
    <n v="0.56000000000000005"/>
    <n v="36"/>
    <n v="7"/>
    <n v="2"/>
    <n v="8"/>
    <n v="2"/>
    <n v="4"/>
    <n v="4"/>
    <n v="326"/>
    <n v="3006"/>
    <n v="2220"/>
    <n v="3306"/>
    <n v="0.28999999999999998"/>
    <n v="1.04"/>
    <n v="0.66"/>
    <n v="0.02"/>
    <n v="0.24750000000000003"/>
    <n v="0.30293999999999999"/>
    <n v="0.38250000000000001"/>
    <n v="81"/>
    <n v="78"/>
    <n v="41"/>
    <n v="0.31098000000000003"/>
  </r>
  <r>
    <d v="2025-07-14T00:00:00"/>
    <x v="6"/>
    <x v="2"/>
    <x v="5"/>
    <n v="0.71"/>
    <n v="0.42"/>
    <n v="0.59"/>
    <n v="38"/>
    <n v="18"/>
    <n v="8"/>
    <n v="7"/>
    <n v="2"/>
    <n v="8"/>
    <n v="5"/>
    <n v="1129"/>
    <n v="1042"/>
    <n v="2242.5"/>
    <n v="2466"/>
    <n v="0.37"/>
    <n v="0.8"/>
    <n v="1.05"/>
    <n v="0.04"/>
    <n v="0.52"/>
    <n v="0.92400000000000004"/>
    <n v="0.54"/>
    <n v="97"/>
    <n v="63"/>
    <n v="29"/>
    <n v="0.66133333333333333"/>
  </r>
  <r>
    <d v="2025-07-15T00:00:00"/>
    <x v="6"/>
    <x v="2"/>
    <x v="6"/>
    <n v="0.96"/>
    <n v="0.45"/>
    <n v="0.46"/>
    <n v="40"/>
    <n v="30"/>
    <n v="9"/>
    <n v="3"/>
    <n v="8"/>
    <n v="9"/>
    <n v="5"/>
    <n v="1430"/>
    <n v="1278"/>
    <n v="2650.5"/>
    <n v="2915"/>
    <n v="1.21"/>
    <n v="1.02"/>
    <n v="0.6"/>
    <n v="0.05"/>
    <n v="0.76"/>
    <n v="0.77880000000000005"/>
    <n v="0.55000000000000004"/>
    <n v="86"/>
    <n v="51"/>
    <n v="29"/>
    <n v="0.6962666666666667"/>
  </r>
  <r>
    <d v="2025-07-16T00:00:00"/>
    <x v="6"/>
    <x v="2"/>
    <x v="0"/>
    <n v="0.74"/>
    <n v="0.67"/>
    <n v="0.64"/>
    <n v="22"/>
    <n v="18"/>
    <n v="7"/>
    <n v="9"/>
    <n v="2"/>
    <n v="2"/>
    <n v="11"/>
    <n v="2538"/>
    <n v="2409"/>
    <n v="771"/>
    <n v="4637"/>
    <n v="1.18"/>
    <n v="0.51"/>
    <n v="0.59"/>
    <n v="0.08"/>
    <n v="0.89"/>
    <n v="0.96360000000000012"/>
    <n v="0.45"/>
    <n v="78"/>
    <n v="65"/>
    <n v="28"/>
    <n v="0.76786666666666681"/>
  </r>
  <r>
    <d v="2025-07-17T00:00:00"/>
    <x v="6"/>
    <x v="2"/>
    <x v="1"/>
    <n v="0.89"/>
    <n v="0.59"/>
    <n v="0.64"/>
    <n v="23"/>
    <n v="6"/>
    <n v="9"/>
    <n v="9"/>
    <n v="2"/>
    <n v="5"/>
    <n v="11"/>
    <n v="3514"/>
    <n v="2210"/>
    <n v="2679"/>
    <n v="3889"/>
    <n v="0.5"/>
    <n v="0.41"/>
    <n v="0.3"/>
    <n v="0.09"/>
    <n v="0.49"/>
    <n v="0.80520000000000003"/>
    <n v="0.88"/>
    <n v="92"/>
    <n v="54"/>
    <n v="40"/>
    <n v="0.72506666666666664"/>
  </r>
  <r>
    <d v="2025-07-18T00:00:00"/>
    <x v="6"/>
    <x v="2"/>
    <x v="2"/>
    <n v="0.92"/>
    <n v="0.56000000000000005"/>
    <n v="0.78"/>
    <n v="6"/>
    <n v="8"/>
    <n v="6"/>
    <n v="3"/>
    <n v="8"/>
    <n v="2"/>
    <n v="6"/>
    <n v="2181"/>
    <n v="2788"/>
    <n v="168"/>
    <n v="3431"/>
    <n v="1.03"/>
    <n v="1.04"/>
    <n v="0.32"/>
    <n v="0.04"/>
    <n v="0.48"/>
    <n v="0.47520000000000001"/>
    <n v="0.45"/>
    <n v="91"/>
    <n v="74"/>
    <n v="26"/>
    <n v="0.46839999999999998"/>
  </r>
  <r>
    <d v="2025-07-19T00:00:00"/>
    <x v="6"/>
    <x v="2"/>
    <x v="3"/>
    <n v="0.46"/>
    <n v="0.82"/>
    <n v="0.54"/>
    <n v="31"/>
    <n v="11"/>
    <n v="1"/>
    <n v="3"/>
    <n v="3"/>
    <n v="3"/>
    <n v="7"/>
    <n v="1422"/>
    <n v="3020"/>
    <n v="2362.5"/>
    <n v="3322"/>
    <n v="0.16"/>
    <n v="1.17"/>
    <n v="0.68"/>
    <n v="0.04"/>
    <n v="0.35550000000000004"/>
    <n v="0.40986"/>
    <n v="0.3735"/>
    <n v="99"/>
    <n v="55"/>
    <n v="12"/>
    <n v="0.37962000000000001"/>
  </r>
  <r>
    <d v="2025-07-20T00:00:00"/>
    <x v="6"/>
    <x v="2"/>
    <x v="4"/>
    <n v="0.44"/>
    <n v="0.5"/>
    <n v="0.75"/>
    <n v="34"/>
    <n v="39"/>
    <n v="2"/>
    <n v="2"/>
    <n v="5"/>
    <n v="2"/>
    <n v="2"/>
    <n v="1962"/>
    <n v="2280"/>
    <n v="1548"/>
    <n v="2508"/>
    <n v="0.43"/>
    <n v="0.28999999999999998"/>
    <n v="0.9"/>
    <n v="0.03"/>
    <n v="0.3735"/>
    <n v="0.36828000000000005"/>
    <n v="0.17550000000000002"/>
    <n v="100"/>
    <n v="50"/>
    <n v="10"/>
    <n v="0.30576000000000003"/>
  </r>
  <r>
    <d v="2025-07-21T00:00:00"/>
    <x v="6"/>
    <x v="3"/>
    <x v="5"/>
    <n v="0.62"/>
    <n v="0.56999999999999995"/>
    <n v="0.41"/>
    <n v="15"/>
    <n v="6"/>
    <n v="12"/>
    <n v="1"/>
    <n v="9"/>
    <n v="7"/>
    <n v="2"/>
    <n v="2924"/>
    <n v="2367"/>
    <n v="1945.5"/>
    <n v="5380"/>
    <n v="1.08"/>
    <n v="0.84"/>
    <n v="0.5"/>
    <n v="0.06"/>
    <n v="0.62"/>
    <n v="0.81840000000000002"/>
    <n v="0.48"/>
    <n v="81"/>
    <n v="78"/>
    <n v="32"/>
    <n v="0.63946666666666674"/>
  </r>
  <r>
    <d v="2025-07-22T00:00:00"/>
    <x v="6"/>
    <x v="3"/>
    <x v="6"/>
    <n v="0.92"/>
    <n v="0.45"/>
    <n v="0.81"/>
    <n v="18"/>
    <n v="25"/>
    <n v="8"/>
    <n v="6"/>
    <n v="12"/>
    <n v="2"/>
    <n v="6"/>
    <n v="702"/>
    <n v="430"/>
    <n v="105"/>
    <n v="879"/>
    <n v="0.71"/>
    <n v="1.1200000000000001"/>
    <n v="1.1299999999999999"/>
    <n v="0.1"/>
    <n v="0.89"/>
    <n v="0.42240000000000005"/>
    <n v="0.66"/>
    <n v="81"/>
    <n v="76"/>
    <n v="21"/>
    <n v="0.65746666666666664"/>
  </r>
  <r>
    <d v="2025-07-23T00:00:00"/>
    <x v="6"/>
    <x v="3"/>
    <x v="0"/>
    <n v="0.65"/>
    <n v="0.45"/>
    <n v="0.84"/>
    <n v="7"/>
    <n v="38"/>
    <n v="2"/>
    <n v="11"/>
    <n v="2"/>
    <n v="11"/>
    <n v="12"/>
    <n v="65"/>
    <n v="1310"/>
    <n v="459"/>
    <n v="1441"/>
    <n v="0.83"/>
    <n v="1.17"/>
    <n v="1.1399999999999999"/>
    <n v="0.04"/>
    <n v="0.82"/>
    <n v="0.40920000000000001"/>
    <n v="0.72"/>
    <n v="96"/>
    <n v="63"/>
    <n v="38"/>
    <n v="0.64973333333333338"/>
  </r>
  <r>
    <d v="2025-07-24T00:00:00"/>
    <x v="6"/>
    <x v="3"/>
    <x v="1"/>
    <n v="0.7"/>
    <n v="0.84"/>
    <n v="0.9"/>
    <n v="10"/>
    <n v="29"/>
    <n v="4"/>
    <n v="3"/>
    <n v="7"/>
    <n v="5"/>
    <n v="3"/>
    <n v="1464"/>
    <n v="825"/>
    <n v="2008.5"/>
    <n v="2108"/>
    <n v="0.86"/>
    <n v="0.79"/>
    <n v="0.47"/>
    <n v="0.09"/>
    <n v="0.45"/>
    <n v="0.93720000000000003"/>
    <n v="0.35"/>
    <n v="84"/>
    <n v="60"/>
    <n v="48"/>
    <n v="0.57906666666666673"/>
  </r>
  <r>
    <d v="2025-07-25T00:00:00"/>
    <x v="6"/>
    <x v="3"/>
    <x v="2"/>
    <n v="0.73"/>
    <n v="0.84"/>
    <n v="0.57999999999999996"/>
    <n v="27"/>
    <n v="33"/>
    <n v="2"/>
    <n v="7"/>
    <n v="7"/>
    <n v="4"/>
    <n v="1"/>
    <n v="1537"/>
    <n v="2893"/>
    <n v="2112"/>
    <n v="3182"/>
    <n v="0.69"/>
    <n v="0.77"/>
    <n v="0.56000000000000005"/>
    <n v="0.01"/>
    <n v="0.6"/>
    <n v="0.99"/>
    <n v="0.41"/>
    <n v="80"/>
    <n v="73"/>
    <n v="13"/>
    <n v="0.66666666666666663"/>
  </r>
  <r>
    <d v="2025-07-26T00:00:00"/>
    <x v="6"/>
    <x v="3"/>
    <x v="3"/>
    <n v="0.31"/>
    <n v="0.56000000000000005"/>
    <n v="0.83"/>
    <n v="17"/>
    <n v="6"/>
    <n v="2"/>
    <n v="4"/>
    <n v="2"/>
    <n v="8"/>
    <n v="7"/>
    <n v="797"/>
    <n v="695"/>
    <n v="2215.5"/>
    <n v="2437"/>
    <n v="0.15"/>
    <n v="0.54"/>
    <n v="0.65"/>
    <n v="0.06"/>
    <n v="0.36450000000000005"/>
    <n v="0.22572000000000003"/>
    <n v="0.39150000000000001"/>
    <n v="91"/>
    <n v="59"/>
    <n v="13"/>
    <n v="0.32724000000000003"/>
  </r>
  <r>
    <d v="2025-07-27T00:00:00"/>
    <x v="6"/>
    <x v="3"/>
    <x v="4"/>
    <n v="0.2"/>
    <n v="0.65"/>
    <n v="0.35"/>
    <n v="36"/>
    <n v="9"/>
    <n v="7"/>
    <n v="4"/>
    <n v="7"/>
    <n v="4"/>
    <n v="7"/>
    <n v="1021"/>
    <n v="3243"/>
    <n v="2092.5"/>
    <n v="3567"/>
    <n v="0.27"/>
    <n v="0.34"/>
    <n v="0.3"/>
    <n v="0.01"/>
    <n v="0.33300000000000002"/>
    <n v="0.21978000000000003"/>
    <n v="0.17550000000000002"/>
    <n v="82"/>
    <n v="78"/>
    <n v="45"/>
    <n v="0.24276"/>
  </r>
  <r>
    <d v="2025-07-28T00:00:00"/>
    <x v="6"/>
    <x v="4"/>
    <x v="5"/>
    <n v="0.74"/>
    <n v="0.81"/>
    <n v="0.83"/>
    <n v="22"/>
    <n v="35"/>
    <n v="2"/>
    <n v="3"/>
    <n v="5"/>
    <n v="12"/>
    <n v="7"/>
    <n v="2006"/>
    <n v="2221"/>
    <n v="1320"/>
    <n v="3450"/>
    <n v="1.1399999999999999"/>
    <n v="0.48"/>
    <n v="0.92"/>
    <n v="0.03"/>
    <n v="0.51"/>
    <n v="0.51480000000000004"/>
    <n v="0.62"/>
    <n v="84"/>
    <n v="62"/>
    <n v="41"/>
    <n v="0.54826666666666668"/>
  </r>
  <r>
    <d v="2025-07-29T00:00:00"/>
    <x v="6"/>
    <x v="4"/>
    <x v="6"/>
    <n v="0.93"/>
    <n v="0.72"/>
    <n v="0.71"/>
    <n v="23"/>
    <n v="23"/>
    <n v="7"/>
    <n v="5"/>
    <n v="11"/>
    <n v="3"/>
    <n v="8"/>
    <n v="2384"/>
    <n v="66"/>
    <n v="675"/>
    <n v="3496"/>
    <n v="0.38"/>
    <n v="0.75"/>
    <n v="1.06"/>
    <n v="0.04"/>
    <n v="0.79"/>
    <n v="0.76560000000000006"/>
    <n v="0.52"/>
    <n v="91"/>
    <n v="62"/>
    <n v="28"/>
    <n v="0.69186666666666674"/>
  </r>
  <r>
    <d v="2025-07-30T00:00:00"/>
    <x v="6"/>
    <x v="4"/>
    <x v="0"/>
    <n v="0.68"/>
    <n v="0.64"/>
    <n v="0.45"/>
    <n v="21"/>
    <n v="5"/>
    <n v="12"/>
    <n v="12"/>
    <n v="12"/>
    <n v="8"/>
    <n v="12"/>
    <n v="2587"/>
    <n v="481"/>
    <n v="735"/>
    <n v="3139"/>
    <n v="0.63"/>
    <n v="1.1399999999999999"/>
    <n v="0.85"/>
    <n v="0.03"/>
    <n v="0.7"/>
    <n v="0.91080000000000005"/>
    <n v="0.42"/>
    <n v="93"/>
    <n v="60"/>
    <n v="23"/>
    <n v="0.67693333333333339"/>
  </r>
  <r>
    <d v="2025-07-31T00:00:00"/>
    <x v="6"/>
    <x v="4"/>
    <x v="1"/>
    <n v="0.82"/>
    <n v="0.45"/>
    <n v="0.86"/>
    <n v="9"/>
    <n v="34"/>
    <n v="5"/>
    <n v="4"/>
    <n v="4"/>
    <n v="3"/>
    <n v="7"/>
    <n v="414"/>
    <n v="1485"/>
    <n v="2449.5"/>
    <n v="2694"/>
    <n v="0.49"/>
    <n v="0.25"/>
    <n v="0.15"/>
    <n v="0.02"/>
    <n v="0.45"/>
    <n v="0.66"/>
    <n v="0.6"/>
    <n v="88"/>
    <n v="55"/>
    <n v="12"/>
    <n v="0.56999999999999995"/>
  </r>
  <r>
    <d v="2025-08-01T00:00:00"/>
    <x v="7"/>
    <x v="0"/>
    <x v="2"/>
    <n v="0.63"/>
    <n v="0.44"/>
    <n v="0.74"/>
    <n v="18"/>
    <n v="17"/>
    <n v="1"/>
    <n v="4"/>
    <n v="2"/>
    <n v="3"/>
    <n v="7"/>
    <n v="2232"/>
    <n v="3201"/>
    <n v="834"/>
    <n v="3521"/>
    <n v="0.3"/>
    <n v="0.44"/>
    <n v="0.31"/>
    <n v="0.04"/>
    <n v="0.75"/>
    <n v="0.67320000000000002"/>
    <n v="0.69"/>
    <n v="83"/>
    <n v="73"/>
    <n v="35"/>
    <n v="0.70440000000000003"/>
  </r>
  <r>
    <d v="2025-08-02T00:00:00"/>
    <x v="7"/>
    <x v="0"/>
    <x v="3"/>
    <n v="0.21"/>
    <n v="0.49"/>
    <n v="0.56000000000000005"/>
    <n v="31"/>
    <n v="13"/>
    <n v="4"/>
    <n v="2"/>
    <n v="2"/>
    <n v="8"/>
    <n v="3"/>
    <n v="3668"/>
    <n v="178"/>
    <n v="1386"/>
    <n v="5429"/>
    <n v="1.0900000000000001"/>
    <n v="1.04"/>
    <n v="0.2"/>
    <n v="0.03"/>
    <n v="0.24750000000000003"/>
    <n v="0.18414000000000003"/>
    <n v="0.23850000000000002"/>
    <n v="93"/>
    <n v="79"/>
    <n v="14"/>
    <n v="0.22338000000000002"/>
  </r>
  <r>
    <d v="2025-08-03T00:00:00"/>
    <x v="7"/>
    <x v="0"/>
    <x v="4"/>
    <n v="0.13"/>
    <n v="0.9"/>
    <n v="0.43"/>
    <n v="16"/>
    <n v="7"/>
    <n v="2"/>
    <n v="7"/>
    <n v="7"/>
    <n v="1"/>
    <n v="1"/>
    <n v="1479"/>
    <n v="1879"/>
    <n v="958.5"/>
    <n v="1913"/>
    <n v="0.46"/>
    <n v="0.89"/>
    <n v="0.9"/>
    <n v="0.01"/>
    <n v="0.41400000000000003"/>
    <n v="0.43362000000000001"/>
    <n v="0.32850000000000001"/>
    <n v="90"/>
    <n v="65"/>
    <n v="34"/>
    <n v="0.39204"/>
  </r>
  <r>
    <d v="2025-08-04T00:00:00"/>
    <x v="7"/>
    <x v="1"/>
    <x v="5"/>
    <n v="0.63"/>
    <n v="0.76"/>
    <n v="0.42"/>
    <n v="32"/>
    <n v="13"/>
    <n v="2"/>
    <n v="8"/>
    <n v="9"/>
    <n v="1"/>
    <n v="3"/>
    <n v="2208"/>
    <n v="2254"/>
    <n v="1275"/>
    <n v="2479"/>
    <n v="0.85"/>
    <n v="0.82"/>
    <n v="0.55000000000000004"/>
    <n v="0.01"/>
    <n v="0.61"/>
    <n v="0.84480000000000011"/>
    <n v="0.47"/>
    <n v="94"/>
    <n v="61"/>
    <n v="23"/>
    <n v="0.64160000000000006"/>
  </r>
  <r>
    <d v="2025-08-05T00:00:00"/>
    <x v="7"/>
    <x v="1"/>
    <x v="6"/>
    <n v="0.62"/>
    <n v="0.39"/>
    <n v="0.74"/>
    <n v="10"/>
    <n v="38"/>
    <n v="11"/>
    <n v="1"/>
    <n v="12"/>
    <n v="8"/>
    <n v="2"/>
    <n v="1560"/>
    <n v="1866"/>
    <n v="549"/>
    <n v="2052"/>
    <n v="1.2"/>
    <n v="0.98"/>
    <n v="0.35"/>
    <n v="0.09"/>
    <n v="0.67"/>
    <n v="0.60720000000000007"/>
    <n v="0.66"/>
    <n v="87"/>
    <n v="73"/>
    <n v="12"/>
    <n v="0.64573333333333338"/>
  </r>
  <r>
    <d v="2025-08-06T00:00:00"/>
    <x v="7"/>
    <x v="1"/>
    <x v="0"/>
    <n v="0.67"/>
    <n v="0.81"/>
    <n v="0.69"/>
    <n v="20"/>
    <n v="35"/>
    <n v="5"/>
    <n v="2"/>
    <n v="8"/>
    <n v="3"/>
    <n v="8"/>
    <n v="347"/>
    <n v="2247"/>
    <n v="784.5"/>
    <n v="2471"/>
    <n v="0.59"/>
    <n v="0.92"/>
    <n v="0.24"/>
    <n v="0.09"/>
    <n v="0.62"/>
    <n v="0.76560000000000006"/>
    <n v="0.77"/>
    <n v="83"/>
    <n v="80"/>
    <n v="20"/>
    <n v="0.71853333333333336"/>
  </r>
  <r>
    <d v="2025-08-07T00:00:00"/>
    <x v="7"/>
    <x v="1"/>
    <x v="1"/>
    <n v="0.66"/>
    <n v="0.45"/>
    <n v="0.47"/>
    <n v="21"/>
    <n v="11"/>
    <n v="11"/>
    <n v="12"/>
    <n v="12"/>
    <n v="8"/>
    <n v="3"/>
    <n v="2505"/>
    <n v="606"/>
    <n v="2434.5"/>
    <n v="3874"/>
    <n v="0.63"/>
    <n v="0.24"/>
    <n v="0.47"/>
    <n v="0.02"/>
    <n v="0.59"/>
    <n v="0.72600000000000009"/>
    <n v="0.87"/>
    <n v="79"/>
    <n v="51"/>
    <n v="19"/>
    <n v="0.72866666666666668"/>
  </r>
  <r>
    <d v="2025-08-08T00:00:00"/>
    <x v="7"/>
    <x v="1"/>
    <x v="2"/>
    <n v="1"/>
    <n v="0.51"/>
    <n v="0.57999999999999996"/>
    <n v="21"/>
    <n v="6"/>
    <n v="7"/>
    <n v="7"/>
    <n v="6"/>
    <n v="2"/>
    <n v="8"/>
    <n v="2306"/>
    <n v="2635"/>
    <n v="571.5"/>
    <n v="3105"/>
    <n v="0.46"/>
    <n v="0.26"/>
    <n v="1.0900000000000001"/>
    <n v="0.06"/>
    <n v="0.69"/>
    <n v="0.72600000000000009"/>
    <n v="0.66"/>
    <n v="82"/>
    <n v="58"/>
    <n v="25"/>
    <n v="0.69200000000000006"/>
  </r>
  <r>
    <d v="2025-08-09T00:00:00"/>
    <x v="7"/>
    <x v="1"/>
    <x v="3"/>
    <n v="0.36"/>
    <n v="0.42"/>
    <n v="0.69"/>
    <n v="19"/>
    <n v="14"/>
    <n v="6"/>
    <n v="3"/>
    <n v="2"/>
    <n v="7"/>
    <n v="2"/>
    <n v="459"/>
    <n v="1552"/>
    <n v="693"/>
    <n v="1707"/>
    <n v="0.96"/>
    <n v="0.51"/>
    <n v="0.64"/>
    <n v="0.06"/>
    <n v="0.35100000000000003"/>
    <n v="0.38016000000000005"/>
    <n v="0.1845"/>
    <n v="82"/>
    <n v="78"/>
    <n v="12"/>
    <n v="0.30521999999999999"/>
  </r>
  <r>
    <d v="2025-08-10T00:00:00"/>
    <x v="7"/>
    <x v="1"/>
    <x v="4"/>
    <n v="0.35"/>
    <n v="0.56999999999999995"/>
    <n v="0.9"/>
    <n v="15"/>
    <n v="32"/>
    <n v="8"/>
    <n v="1"/>
    <n v="4"/>
    <n v="7"/>
    <n v="4"/>
    <n v="629"/>
    <n v="2156"/>
    <n v="261"/>
    <n v="2371"/>
    <n v="0.86"/>
    <n v="0.77"/>
    <n v="0.87"/>
    <n v="0.04"/>
    <n v="0.39150000000000001"/>
    <n v="0.43956000000000006"/>
    <n v="0.26550000000000001"/>
    <n v="85"/>
    <n v="77"/>
    <n v="31"/>
    <n v="0.36552000000000007"/>
  </r>
  <r>
    <d v="2025-08-11T00:00:00"/>
    <x v="7"/>
    <x v="2"/>
    <x v="5"/>
    <n v="0.96"/>
    <n v="0.84"/>
    <n v="0.75"/>
    <n v="19"/>
    <n v="26"/>
    <n v="2"/>
    <n v="5"/>
    <n v="2"/>
    <n v="6"/>
    <n v="6"/>
    <n v="226"/>
    <n v="1689"/>
    <n v="33"/>
    <n v="1857"/>
    <n v="0.4"/>
    <n v="0.39"/>
    <n v="0.48"/>
    <n v="0.03"/>
    <n v="0.52"/>
    <n v="0.5544"/>
    <n v="0.48"/>
    <n v="78"/>
    <n v="77"/>
    <n v="20"/>
    <n v="0.51813333333333333"/>
  </r>
  <r>
    <d v="2025-08-12T00:00:00"/>
    <x v="7"/>
    <x v="2"/>
    <x v="6"/>
    <n v="0.79"/>
    <n v="0.54"/>
    <n v="0.52"/>
    <n v="31"/>
    <n v="10"/>
    <n v="2"/>
    <n v="5"/>
    <n v="9"/>
    <n v="2"/>
    <n v="4"/>
    <n v="370"/>
    <n v="1283"/>
    <n v="711"/>
    <n v="1411"/>
    <n v="0.33"/>
    <n v="0.16"/>
    <n v="0.74"/>
    <n v="0.05"/>
    <n v="0.94"/>
    <n v="0.40920000000000001"/>
    <n v="0.69"/>
    <n v="98"/>
    <n v="51"/>
    <n v="19"/>
    <n v="0.67973333333333341"/>
  </r>
  <r>
    <d v="2025-08-13T00:00:00"/>
    <x v="7"/>
    <x v="2"/>
    <x v="0"/>
    <n v="0.88"/>
    <n v="0.71"/>
    <n v="0.68"/>
    <n v="29"/>
    <n v="18"/>
    <n v="7"/>
    <n v="2"/>
    <n v="7"/>
    <n v="11"/>
    <n v="11"/>
    <n v="301"/>
    <n v="222"/>
    <n v="1395"/>
    <n v="1534"/>
    <n v="1.08"/>
    <n v="0.37"/>
    <n v="0.3"/>
    <n v="0.08"/>
    <n v="0.92"/>
    <n v="0.64680000000000004"/>
    <n v="0.36"/>
    <n v="86"/>
    <n v="53"/>
    <n v="27"/>
    <n v="0.64226666666666665"/>
  </r>
  <r>
    <d v="2025-08-14T00:00:00"/>
    <x v="7"/>
    <x v="2"/>
    <x v="1"/>
    <n v="0.95"/>
    <n v="0.39"/>
    <n v="0.41"/>
    <n v="9"/>
    <n v="14"/>
    <n v="4"/>
    <n v="7"/>
    <n v="6"/>
    <n v="6"/>
    <n v="2"/>
    <n v="3309"/>
    <n v="2391"/>
    <n v="1642.5"/>
    <n v="5869"/>
    <n v="0.7"/>
    <n v="0.43"/>
    <n v="0.82"/>
    <n v="0.02"/>
    <n v="0.73"/>
    <n v="0.46200000000000002"/>
    <n v="0.71"/>
    <n v="78"/>
    <n v="51"/>
    <n v="27"/>
    <n v="0.63400000000000001"/>
  </r>
  <r>
    <d v="2025-08-15T00:00:00"/>
    <x v="7"/>
    <x v="2"/>
    <x v="2"/>
    <n v="0.91"/>
    <n v="0.87"/>
    <n v="0.52"/>
    <n v="23"/>
    <n v="12"/>
    <n v="4"/>
    <n v="2"/>
    <n v="2"/>
    <n v="4"/>
    <n v="8"/>
    <n v="2893"/>
    <n v="3103"/>
    <n v="2692.5"/>
    <n v="4475"/>
    <n v="0.17"/>
    <n v="1.19"/>
    <n v="0.35"/>
    <n v="0.03"/>
    <n v="0.67"/>
    <n v="0.60720000000000007"/>
    <n v="0.72"/>
    <n v="96"/>
    <n v="54"/>
    <n v="31"/>
    <n v="0.6657333333333334"/>
  </r>
  <r>
    <d v="2025-08-16T00:00:00"/>
    <x v="7"/>
    <x v="2"/>
    <x v="3"/>
    <n v="0.21"/>
    <n v="0.6"/>
    <n v="0.85"/>
    <n v="31"/>
    <n v="21"/>
    <n v="8"/>
    <n v="2"/>
    <n v="7"/>
    <n v="5"/>
    <n v="7"/>
    <n v="2507"/>
    <n v="2736"/>
    <n v="414"/>
    <n v="4412"/>
    <n v="0.23"/>
    <n v="0.93"/>
    <n v="0.79"/>
    <n v="0.02"/>
    <n v="0.27"/>
    <n v="0.23166000000000003"/>
    <n v="0.28350000000000003"/>
    <n v="82"/>
    <n v="72"/>
    <n v="23"/>
    <n v="0.26172000000000001"/>
  </r>
  <r>
    <d v="2025-08-17T00:00:00"/>
    <x v="7"/>
    <x v="2"/>
    <x v="4"/>
    <n v="0.14000000000000001"/>
    <n v="0.39"/>
    <n v="0.53"/>
    <n v="29"/>
    <n v="28"/>
    <n v="2"/>
    <n v="7"/>
    <n v="4"/>
    <n v="2"/>
    <n v="7"/>
    <n v="2265"/>
    <n v="612"/>
    <n v="1480.5"/>
    <n v="3866"/>
    <n v="0.84"/>
    <n v="0.64"/>
    <n v="0.28000000000000003"/>
    <n v="0.09"/>
    <n v="0.41400000000000003"/>
    <n v="0.29106000000000004"/>
    <n v="0.40500000000000003"/>
    <n v="84"/>
    <n v="68"/>
    <n v="10"/>
    <n v="0.37002000000000002"/>
  </r>
  <r>
    <d v="2025-08-18T00:00:00"/>
    <x v="7"/>
    <x v="3"/>
    <x v="5"/>
    <n v="0.64"/>
    <n v="0.7"/>
    <n v="0.52"/>
    <n v="18"/>
    <n v="19"/>
    <n v="8"/>
    <n v="1"/>
    <n v="5"/>
    <n v="7"/>
    <n v="2"/>
    <n v="3635"/>
    <n v="803"/>
    <n v="2668.5"/>
    <n v="4410"/>
    <n v="0.46"/>
    <n v="0.96"/>
    <n v="0.93"/>
    <n v="0.09"/>
    <n v="0.84"/>
    <n v="0.69960000000000011"/>
    <n v="0.35"/>
    <n v="96"/>
    <n v="72"/>
    <n v="47"/>
    <n v="0.62986666666666669"/>
  </r>
  <r>
    <d v="2025-08-19T00:00:00"/>
    <x v="7"/>
    <x v="3"/>
    <x v="6"/>
    <n v="0.86"/>
    <n v="0.85"/>
    <n v="0.8"/>
    <n v="6"/>
    <n v="25"/>
    <n v="2"/>
    <n v="11"/>
    <n v="1"/>
    <n v="8"/>
    <n v="6"/>
    <n v="3677"/>
    <n v="2373"/>
    <n v="1687.5"/>
    <n v="3824"/>
    <n v="1.0900000000000001"/>
    <n v="0.83"/>
    <n v="0.49"/>
    <n v="0.06"/>
    <n v="0.49"/>
    <n v="0.63360000000000005"/>
    <n v="0.56999999999999995"/>
    <n v="88"/>
    <n v="59"/>
    <n v="41"/>
    <n v="0.56453333333333333"/>
  </r>
  <r>
    <d v="2025-08-20T00:00:00"/>
    <x v="7"/>
    <x v="3"/>
    <x v="0"/>
    <n v="0.8"/>
    <n v="0.73"/>
    <n v="0.46"/>
    <n v="29"/>
    <n v="19"/>
    <n v="7"/>
    <n v="11"/>
    <n v="9"/>
    <n v="9"/>
    <n v="2"/>
    <n v="2934"/>
    <n v="2596"/>
    <n v="1273.5"/>
    <n v="3990"/>
    <n v="0.49"/>
    <n v="0.81"/>
    <n v="0.5"/>
    <n v="7.0000000000000007E-2"/>
    <n v="0.67"/>
    <n v="0.77880000000000005"/>
    <n v="0.72"/>
    <n v="96"/>
    <n v="68"/>
    <n v="18"/>
    <n v="0.72293333333333332"/>
  </r>
  <r>
    <d v="2025-08-21T00:00:00"/>
    <x v="7"/>
    <x v="3"/>
    <x v="1"/>
    <n v="0.69"/>
    <n v="0.86"/>
    <n v="0.52"/>
    <n v="36"/>
    <n v="11"/>
    <n v="7"/>
    <n v="9"/>
    <n v="8"/>
    <n v="12"/>
    <n v="1"/>
    <n v="2035"/>
    <n v="837"/>
    <n v="225"/>
    <n v="3365"/>
    <n v="1.17"/>
    <n v="0.3"/>
    <n v="1.08"/>
    <n v="0.1"/>
    <n v="0.65"/>
    <n v="0.64680000000000004"/>
    <n v="0.77"/>
    <n v="93"/>
    <n v="62"/>
    <n v="17"/>
    <n v="0.6889333333333334"/>
  </r>
  <r>
    <d v="2025-08-22T00:00:00"/>
    <x v="7"/>
    <x v="3"/>
    <x v="2"/>
    <n v="0.99"/>
    <n v="0.86"/>
    <n v="0.75"/>
    <n v="9"/>
    <n v="39"/>
    <n v="8"/>
    <n v="4"/>
    <n v="3"/>
    <n v="2"/>
    <n v="3"/>
    <n v="1320"/>
    <n v="2772"/>
    <n v="1662"/>
    <n v="3049"/>
    <n v="0.66"/>
    <n v="0.9"/>
    <n v="1.03"/>
    <n v="0.01"/>
    <n v="0.7"/>
    <n v="0.80520000000000003"/>
    <n v="0.39"/>
    <n v="81"/>
    <n v="58"/>
    <n v="43"/>
    <n v="0.63173333333333337"/>
  </r>
  <r>
    <d v="2025-08-23T00:00:00"/>
    <x v="7"/>
    <x v="3"/>
    <x v="3"/>
    <n v="0.17"/>
    <n v="0.42"/>
    <n v="0.37"/>
    <n v="23"/>
    <n v="23"/>
    <n v="8"/>
    <n v="3"/>
    <n v="4"/>
    <n v="6"/>
    <n v="7"/>
    <n v="1196"/>
    <n v="2169"/>
    <n v="343.5"/>
    <n v="2385"/>
    <n v="0.8"/>
    <n v="0.32"/>
    <n v="0.34"/>
    <n v="0.09"/>
    <n v="0.39150000000000001"/>
    <n v="0.19008000000000003"/>
    <n v="0.216"/>
    <n v="81"/>
    <n v="51"/>
    <n v="17"/>
    <n v="0.26585999999999999"/>
  </r>
  <r>
    <d v="2025-08-24T00:00:00"/>
    <x v="7"/>
    <x v="3"/>
    <x v="4"/>
    <n v="0.17"/>
    <n v="0.71"/>
    <n v="0.85"/>
    <n v="25"/>
    <n v="29"/>
    <n v="2"/>
    <n v="1"/>
    <n v="4"/>
    <n v="4"/>
    <n v="2"/>
    <n v="3712"/>
    <n v="2653"/>
    <n v="42"/>
    <n v="4257"/>
    <n v="0.87"/>
    <n v="0.59"/>
    <n v="0.74"/>
    <n v="0.04"/>
    <n v="0.25200000000000006"/>
    <n v="0.23166000000000003"/>
    <n v="0.30150000000000005"/>
    <n v="99"/>
    <n v="62"/>
    <n v="12"/>
    <n v="0.26172000000000001"/>
  </r>
  <r>
    <d v="2025-08-25T00:00:00"/>
    <x v="7"/>
    <x v="4"/>
    <x v="5"/>
    <n v="0.74"/>
    <n v="0.57999999999999996"/>
    <n v="0.37"/>
    <n v="23"/>
    <n v="5"/>
    <n v="12"/>
    <n v="4"/>
    <n v="1"/>
    <n v="12"/>
    <n v="7"/>
    <n v="2271"/>
    <n v="2430"/>
    <n v="490.5"/>
    <n v="2694"/>
    <n v="0.49"/>
    <n v="0.71"/>
    <n v="0.56999999999999995"/>
    <n v="0.04"/>
    <n v="0.8"/>
    <n v="0.40920000000000001"/>
    <n v="0.87"/>
    <n v="96"/>
    <n v="65"/>
    <n v="34"/>
    <n v="0.69306666666666672"/>
  </r>
  <r>
    <d v="2025-08-26T00:00:00"/>
    <x v="7"/>
    <x v="4"/>
    <x v="6"/>
    <n v="0.74"/>
    <n v="0.84"/>
    <n v="0.41"/>
    <n v="13"/>
    <n v="14"/>
    <n v="4"/>
    <n v="6"/>
    <n v="9"/>
    <n v="12"/>
    <n v="7"/>
    <n v="2142"/>
    <n v="542"/>
    <n v="877.5"/>
    <n v="3542"/>
    <n v="0.74"/>
    <n v="1.1200000000000001"/>
    <n v="0.2"/>
    <n v="0.03"/>
    <n v="0.94"/>
    <n v="0.60720000000000007"/>
    <n v="0.87"/>
    <n v="83"/>
    <n v="56"/>
    <n v="11"/>
    <n v="0.80573333333333341"/>
  </r>
  <r>
    <d v="2025-08-27T00:00:00"/>
    <x v="7"/>
    <x v="4"/>
    <x v="0"/>
    <n v="0.69"/>
    <n v="0.52"/>
    <n v="0.4"/>
    <n v="37"/>
    <n v="34"/>
    <n v="12"/>
    <n v="7"/>
    <n v="2"/>
    <n v="2"/>
    <n v="1"/>
    <n v="2856"/>
    <n v="203"/>
    <n v="1090.5"/>
    <n v="3351"/>
    <n v="0.62"/>
    <n v="0.79"/>
    <n v="0.2"/>
    <n v="0.1"/>
    <n v="0.85"/>
    <n v="0.63360000000000005"/>
    <n v="0.6"/>
    <n v="87"/>
    <n v="78"/>
    <n v="38"/>
    <n v="0.69453333333333334"/>
  </r>
  <r>
    <d v="2025-08-28T00:00:00"/>
    <x v="7"/>
    <x v="4"/>
    <x v="1"/>
    <n v="0.73"/>
    <n v="0.7"/>
    <n v="0.59"/>
    <n v="32"/>
    <n v="7"/>
    <n v="12"/>
    <n v="12"/>
    <n v="9"/>
    <n v="5"/>
    <n v="11"/>
    <n v="1512"/>
    <n v="610"/>
    <n v="1273.5"/>
    <n v="2117"/>
    <n v="0.84"/>
    <n v="0.92"/>
    <n v="0.89"/>
    <n v="0.06"/>
    <n v="0.95"/>
    <n v="0.91080000000000005"/>
    <n v="0.7"/>
    <n v="91"/>
    <n v="72"/>
    <n v="23"/>
    <n v="0.85360000000000003"/>
  </r>
  <r>
    <d v="2025-08-29T00:00:00"/>
    <x v="7"/>
    <x v="4"/>
    <x v="2"/>
    <n v="0.96"/>
    <n v="0.46"/>
    <n v="0.63"/>
    <n v="23"/>
    <n v="25"/>
    <n v="6"/>
    <n v="3"/>
    <n v="4"/>
    <n v="8"/>
    <n v="3"/>
    <n v="972"/>
    <n v="1677"/>
    <n v="2556"/>
    <n v="2811"/>
    <n v="0.76"/>
    <n v="0.41"/>
    <n v="0.95"/>
    <n v="0.03"/>
    <n v="0.68"/>
    <n v="0.60720000000000007"/>
    <n v="0.62"/>
    <n v="80"/>
    <n v="54"/>
    <n v="11"/>
    <n v="0.63573333333333337"/>
  </r>
  <r>
    <d v="2025-08-30T00:00:00"/>
    <x v="7"/>
    <x v="4"/>
    <x v="3"/>
    <n v="0.28000000000000003"/>
    <n v="0.72"/>
    <n v="0.41"/>
    <n v="35"/>
    <n v="13"/>
    <n v="7"/>
    <n v="6"/>
    <n v="5"/>
    <n v="5"/>
    <n v="1"/>
    <n v="2823"/>
    <n v="1776"/>
    <n v="2245.5"/>
    <n v="3048"/>
    <n v="1.23"/>
    <n v="1.08"/>
    <n v="0.51"/>
    <n v="7.0000000000000007E-2"/>
    <n v="0.25200000000000006"/>
    <n v="0.34451999999999999"/>
    <n v="0.28800000000000003"/>
    <n v="93"/>
    <n v="64"/>
    <n v="42"/>
    <n v="0.29484000000000005"/>
  </r>
  <r>
    <d v="2025-08-31T00:00:00"/>
    <x v="7"/>
    <x v="4"/>
    <x v="4"/>
    <n v="0.43"/>
    <n v="0.41"/>
    <n v="0.48"/>
    <n v="9"/>
    <n v="33"/>
    <n v="7"/>
    <n v="2"/>
    <n v="2"/>
    <n v="7"/>
    <n v="2"/>
    <n v="0"/>
    <n v="2758"/>
    <n v="2305.5"/>
    <n v="3033"/>
    <n v="0.68"/>
    <n v="1.19"/>
    <n v="0.41"/>
    <n v="0.08"/>
    <n v="0.216"/>
    <n v="0.42174000000000006"/>
    <n v="0.22500000000000001"/>
    <n v="89"/>
    <n v="64"/>
    <n v="22"/>
    <n v="0.28758"/>
  </r>
  <r>
    <d v="2025-09-01T00:00:00"/>
    <x v="8"/>
    <x v="0"/>
    <x v="5"/>
    <n v="1"/>
    <n v="0.64"/>
    <n v="0.54"/>
    <n v="9"/>
    <n v="11"/>
    <n v="6"/>
    <n v="3"/>
    <n v="5"/>
    <n v="2"/>
    <n v="1"/>
    <n v="624"/>
    <n v="2488"/>
    <n v="27"/>
    <n v="2736"/>
    <n v="1.23"/>
    <n v="0.2"/>
    <n v="0.3"/>
    <n v="0.1"/>
    <n v="0.67"/>
    <n v="0.67320000000000002"/>
    <n v="0.78"/>
    <n v="98"/>
    <n v="50"/>
    <n v="10"/>
    <n v="0.70773333333333321"/>
  </r>
  <r>
    <d v="2025-09-02T00:00:00"/>
    <x v="8"/>
    <x v="0"/>
    <x v="6"/>
    <n v="0.96"/>
    <n v="0.85"/>
    <n v="0.62"/>
    <n v="39"/>
    <n v="6"/>
    <n v="9"/>
    <n v="2"/>
    <n v="2"/>
    <n v="8"/>
    <n v="5"/>
    <n v="653"/>
    <n v="1860"/>
    <n v="1633.5"/>
    <n v="2046"/>
    <n v="1.1299999999999999"/>
    <n v="0.8"/>
    <n v="0.6"/>
    <n v="0.08"/>
    <n v="0.84"/>
    <n v="0.58080000000000009"/>
    <n v="0.66"/>
    <n v="90"/>
    <n v="77"/>
    <n v="16"/>
    <n v="0.69359999999999999"/>
  </r>
  <r>
    <d v="2025-09-03T00:00:00"/>
    <x v="8"/>
    <x v="0"/>
    <x v="0"/>
    <n v="0.8"/>
    <n v="0.88"/>
    <n v="0.46"/>
    <n v="37"/>
    <n v="8"/>
    <n v="8"/>
    <n v="12"/>
    <n v="7"/>
    <n v="5"/>
    <n v="4"/>
    <n v="3211"/>
    <n v="2117"/>
    <n v="684"/>
    <n v="5052"/>
    <n v="1.1499999999999999"/>
    <n v="0.15"/>
    <n v="0.44"/>
    <n v="0.05"/>
    <n v="0.95"/>
    <n v="0.96360000000000012"/>
    <n v="0.82"/>
    <n v="85"/>
    <n v="70"/>
    <n v="19"/>
    <n v="0.91120000000000001"/>
  </r>
  <r>
    <d v="2025-09-04T00:00:00"/>
    <x v="8"/>
    <x v="0"/>
    <x v="1"/>
    <n v="0.86"/>
    <n v="0.73"/>
    <n v="0.47"/>
    <n v="35"/>
    <n v="38"/>
    <n v="12"/>
    <n v="9"/>
    <n v="4"/>
    <n v="11"/>
    <n v="1"/>
    <n v="2129"/>
    <n v="246"/>
    <n v="1653"/>
    <n v="3009"/>
    <n v="0.48"/>
    <n v="1.1599999999999999"/>
    <n v="0.34"/>
    <n v="0.09"/>
    <n v="0.67"/>
    <n v="0.42240000000000005"/>
    <n v="0.8"/>
    <n v="97"/>
    <n v="52"/>
    <n v="14"/>
    <n v="0.63080000000000003"/>
  </r>
  <r>
    <d v="2025-09-05T00:00:00"/>
    <x v="8"/>
    <x v="0"/>
    <x v="2"/>
    <n v="0.9"/>
    <n v="0.36"/>
    <n v="0.77"/>
    <n v="25"/>
    <n v="24"/>
    <n v="6"/>
    <n v="3"/>
    <n v="5"/>
    <n v="2"/>
    <n v="4"/>
    <n v="1227"/>
    <n v="1294"/>
    <n v="1714.5"/>
    <n v="1885"/>
    <n v="0.15"/>
    <n v="0.71"/>
    <n v="0.66"/>
    <n v="0.08"/>
    <n v="0.45"/>
    <n v="0.95040000000000002"/>
    <n v="0.45"/>
    <n v="96"/>
    <n v="62"/>
    <n v="12"/>
    <n v="0.61680000000000001"/>
  </r>
  <r>
    <d v="2025-09-06T00:00:00"/>
    <x v="8"/>
    <x v="0"/>
    <x v="3"/>
    <n v="0.49"/>
    <n v="0.48"/>
    <n v="0.49"/>
    <n v="28"/>
    <n v="33"/>
    <n v="8"/>
    <n v="6"/>
    <n v="7"/>
    <n v="2"/>
    <n v="2"/>
    <n v="1962"/>
    <n v="2795"/>
    <n v="1363.5"/>
    <n v="3245"/>
    <n v="0.91"/>
    <n v="1.07"/>
    <n v="0.86"/>
    <n v="0.01"/>
    <n v="0.23400000000000001"/>
    <n v="0.38610000000000005"/>
    <n v="0.38250000000000001"/>
    <n v="93"/>
    <n v="78"/>
    <n v="28"/>
    <n v="0.33420000000000005"/>
  </r>
  <r>
    <d v="2025-09-07T00:00:00"/>
    <x v="8"/>
    <x v="0"/>
    <x v="4"/>
    <n v="0.37"/>
    <n v="0.75"/>
    <n v="0.6"/>
    <n v="27"/>
    <n v="35"/>
    <n v="6"/>
    <n v="2"/>
    <n v="5"/>
    <n v="2"/>
    <n v="8"/>
    <n v="1099"/>
    <n v="1865"/>
    <n v="1756.5"/>
    <n v="1935"/>
    <n v="0.47"/>
    <n v="0.87"/>
    <n v="0.9"/>
    <n v="0.02"/>
    <n v="0.35550000000000004"/>
    <n v="0.23166000000000003"/>
    <n v="0.25200000000000006"/>
    <n v="93"/>
    <n v="59"/>
    <n v="29"/>
    <n v="0.27972000000000002"/>
  </r>
  <r>
    <d v="2025-09-08T00:00:00"/>
    <x v="8"/>
    <x v="1"/>
    <x v="5"/>
    <n v="0.66"/>
    <n v="0.62"/>
    <n v="0.61"/>
    <n v="31"/>
    <n v="33"/>
    <n v="12"/>
    <n v="7"/>
    <n v="12"/>
    <n v="2"/>
    <n v="11"/>
    <n v="2271"/>
    <n v="2173"/>
    <n v="432"/>
    <n v="2816"/>
    <n v="0.96"/>
    <n v="0.5"/>
    <n v="0.24"/>
    <n v="0.06"/>
    <n v="0.51"/>
    <n v="0.47520000000000001"/>
    <n v="0.66"/>
    <n v="92"/>
    <n v="73"/>
    <n v="12"/>
    <n v="0.5484"/>
  </r>
  <r>
    <d v="2025-09-09T00:00:00"/>
    <x v="8"/>
    <x v="1"/>
    <x v="6"/>
    <n v="0.8"/>
    <n v="0.69"/>
    <n v="0.78"/>
    <n v="14"/>
    <n v="30"/>
    <n v="1"/>
    <n v="2"/>
    <n v="11"/>
    <n v="12"/>
    <n v="2"/>
    <n v="363"/>
    <n v="2526"/>
    <n v="298.5"/>
    <n v="2778"/>
    <n v="1.01"/>
    <n v="0.92"/>
    <n v="0.53"/>
    <n v="0.04"/>
    <n v="0.76"/>
    <n v="0.73920000000000008"/>
    <n v="0.88"/>
    <n v="78"/>
    <n v="65"/>
    <n v="30"/>
    <n v="0.7930666666666667"/>
  </r>
  <r>
    <d v="2025-09-10T00:00:00"/>
    <x v="8"/>
    <x v="1"/>
    <x v="0"/>
    <n v="0.77"/>
    <n v="0.55000000000000004"/>
    <n v="0.65"/>
    <n v="26"/>
    <n v="6"/>
    <n v="5"/>
    <n v="4"/>
    <n v="12"/>
    <n v="9"/>
    <n v="3"/>
    <n v="3056"/>
    <n v="160"/>
    <n v="2575.5"/>
    <n v="4115"/>
    <n v="0.81"/>
    <n v="0.88"/>
    <n v="1.05"/>
    <n v="0.04"/>
    <n v="0.54"/>
    <n v="0.64680000000000004"/>
    <n v="0.89"/>
    <n v="92"/>
    <n v="75"/>
    <n v="44"/>
    <n v="0.6922666666666667"/>
  </r>
  <r>
    <d v="2025-09-11T00:00:00"/>
    <x v="8"/>
    <x v="1"/>
    <x v="1"/>
    <n v="0.81"/>
    <n v="0.47"/>
    <n v="0.53"/>
    <n v="19"/>
    <n v="39"/>
    <n v="3"/>
    <n v="12"/>
    <n v="3"/>
    <n v="3"/>
    <n v="9"/>
    <n v="96"/>
    <n v="671"/>
    <n v="76.5"/>
    <n v="738"/>
    <n v="0.32"/>
    <n v="0.47"/>
    <n v="0.42"/>
    <n v="0.08"/>
    <n v="0.68"/>
    <n v="0.5676000000000001"/>
    <n v="0.47"/>
    <n v="83"/>
    <n v="63"/>
    <n v="47"/>
    <n v="0.57253333333333345"/>
  </r>
  <r>
    <d v="2025-09-12T00:00:00"/>
    <x v="8"/>
    <x v="1"/>
    <x v="2"/>
    <n v="0.6"/>
    <n v="0.57999999999999996"/>
    <n v="0.57999999999999996"/>
    <n v="21"/>
    <n v="11"/>
    <n v="2"/>
    <n v="7"/>
    <n v="5"/>
    <n v="4"/>
    <n v="2"/>
    <n v="2564"/>
    <n v="245"/>
    <n v="1338"/>
    <n v="4273"/>
    <n v="0.39"/>
    <n v="0.36"/>
    <n v="0.73"/>
    <n v="0.02"/>
    <n v="0.52"/>
    <n v="0.93720000000000003"/>
    <n v="0.46"/>
    <n v="95"/>
    <n v="79"/>
    <n v="42"/>
    <n v="0.63906666666666667"/>
  </r>
  <r>
    <d v="2025-09-13T00:00:00"/>
    <x v="8"/>
    <x v="1"/>
    <x v="3"/>
    <n v="0.1"/>
    <n v="0.43"/>
    <n v="0.54"/>
    <n v="36"/>
    <n v="26"/>
    <n v="7"/>
    <n v="7"/>
    <n v="4"/>
    <n v="4"/>
    <n v="2"/>
    <n v="3742"/>
    <n v="1388"/>
    <n v="1140"/>
    <n v="6986"/>
    <n v="0.53"/>
    <n v="0.57999999999999996"/>
    <n v="0.32"/>
    <n v="0.08"/>
    <n v="0.34200000000000003"/>
    <n v="0.26136000000000004"/>
    <n v="0.39600000000000002"/>
    <n v="93"/>
    <n v="53"/>
    <n v="31"/>
    <n v="0.33312000000000003"/>
  </r>
  <r>
    <d v="2025-09-14T00:00:00"/>
    <x v="8"/>
    <x v="1"/>
    <x v="4"/>
    <n v="0.3"/>
    <n v="0.46"/>
    <n v="0.64"/>
    <n v="12"/>
    <n v="15"/>
    <n v="2"/>
    <n v="2"/>
    <n v="6"/>
    <n v="4"/>
    <n v="4"/>
    <n v="3166"/>
    <n v="119"/>
    <n v="2614.5"/>
    <n v="3926"/>
    <n v="0.52"/>
    <n v="1.19"/>
    <n v="1.1200000000000001"/>
    <n v="7.0000000000000007E-2"/>
    <n v="0.34650000000000003"/>
    <n v="0.40392000000000006"/>
    <n v="0.1575"/>
    <n v="97"/>
    <n v="61"/>
    <n v="34"/>
    <n v="0.30264000000000002"/>
  </r>
  <r>
    <d v="2025-09-15T00:00:00"/>
    <x v="8"/>
    <x v="2"/>
    <x v="5"/>
    <n v="0.86"/>
    <n v="0.83"/>
    <n v="0.75"/>
    <n v="19"/>
    <n v="39"/>
    <n v="7"/>
    <n v="4"/>
    <n v="12"/>
    <n v="11"/>
    <n v="4"/>
    <n v="16"/>
    <n v="2894"/>
    <n v="2065.5"/>
    <n v="3183"/>
    <n v="0.48"/>
    <n v="0.79"/>
    <n v="1.04"/>
    <n v="0.08"/>
    <n v="0.53"/>
    <n v="0.60720000000000007"/>
    <n v="0.89"/>
    <n v="84"/>
    <n v="76"/>
    <n v="14"/>
    <n v="0.67573333333333341"/>
  </r>
  <r>
    <d v="2025-09-16T00:00:00"/>
    <x v="8"/>
    <x v="2"/>
    <x v="6"/>
    <n v="0.79"/>
    <n v="0.49"/>
    <n v="0.38"/>
    <n v="33"/>
    <n v="9"/>
    <n v="8"/>
    <n v="2"/>
    <n v="1"/>
    <n v="12"/>
    <n v="5"/>
    <n v="2760"/>
    <n v="2315"/>
    <n v="928.5"/>
    <n v="2981"/>
    <n v="0.79"/>
    <n v="0.51"/>
    <n v="0.22"/>
    <n v="0.1"/>
    <n v="0.49"/>
    <n v="0.73920000000000008"/>
    <n v="0.88"/>
    <n v="86"/>
    <n v="79"/>
    <n v="31"/>
    <n v="0.70306666666666662"/>
  </r>
  <r>
    <d v="2025-09-17T00:00:00"/>
    <x v="8"/>
    <x v="2"/>
    <x v="0"/>
    <n v="0.79"/>
    <n v="0.89"/>
    <n v="0.83"/>
    <n v="6"/>
    <n v="23"/>
    <n v="2"/>
    <n v="3"/>
    <n v="12"/>
    <n v="12"/>
    <n v="2"/>
    <n v="2450"/>
    <n v="3181"/>
    <n v="1777.5"/>
    <n v="3499"/>
    <n v="0.84"/>
    <n v="0.43"/>
    <n v="0.89"/>
    <n v="0.06"/>
    <n v="0.82"/>
    <n v="0.5544"/>
    <n v="0.83"/>
    <n v="98"/>
    <n v="56"/>
    <n v="25"/>
    <n v="0.73480000000000001"/>
  </r>
  <r>
    <d v="2025-09-18T00:00:00"/>
    <x v="8"/>
    <x v="2"/>
    <x v="1"/>
    <n v="0.64"/>
    <n v="0.52"/>
    <n v="0.56000000000000005"/>
    <n v="27"/>
    <n v="38"/>
    <n v="6"/>
    <n v="2"/>
    <n v="6"/>
    <n v="6"/>
    <n v="2"/>
    <n v="654"/>
    <n v="297"/>
    <n v="366"/>
    <n v="1151"/>
    <n v="1.25"/>
    <n v="0.74"/>
    <n v="0.84"/>
    <n v="0.04"/>
    <n v="0.74"/>
    <n v="0.62039999999999995"/>
    <n v="0.43"/>
    <n v="82"/>
    <n v="74"/>
    <n v="21"/>
    <n v="0.59679999999999989"/>
  </r>
  <r>
    <d v="2025-09-19T00:00:00"/>
    <x v="8"/>
    <x v="2"/>
    <x v="2"/>
    <n v="0.67"/>
    <n v="0.84"/>
    <n v="0.73"/>
    <n v="23"/>
    <n v="37"/>
    <n v="5"/>
    <n v="2"/>
    <n v="2"/>
    <n v="2"/>
    <n v="4"/>
    <n v="1995"/>
    <n v="3334"/>
    <n v="1725"/>
    <n v="3667"/>
    <n v="0.15"/>
    <n v="0.23"/>
    <n v="0.34"/>
    <n v="0.06"/>
    <n v="0.91"/>
    <n v="0.91080000000000005"/>
    <n v="0.6"/>
    <n v="79"/>
    <n v="61"/>
    <n v="35"/>
    <n v="0.80693333333333339"/>
  </r>
  <r>
    <d v="2025-09-20T00:00:00"/>
    <x v="8"/>
    <x v="2"/>
    <x v="3"/>
    <n v="0.21"/>
    <n v="0.5"/>
    <n v="0.8"/>
    <n v="33"/>
    <n v="35"/>
    <n v="2"/>
    <n v="7"/>
    <n v="3"/>
    <n v="2"/>
    <n v="7"/>
    <n v="1189"/>
    <n v="3312"/>
    <n v="868.5"/>
    <n v="3643"/>
    <n v="0.96"/>
    <n v="1"/>
    <n v="0.84"/>
    <n v="0.02"/>
    <n v="0.27900000000000003"/>
    <n v="0.21978000000000003"/>
    <n v="0.35100000000000003"/>
    <n v="100"/>
    <n v="58"/>
    <n v="34"/>
    <n v="0.28326000000000001"/>
  </r>
  <r>
    <d v="2025-09-21T00:00:00"/>
    <x v="8"/>
    <x v="2"/>
    <x v="4"/>
    <n v="0.25"/>
    <n v="0.56999999999999995"/>
    <n v="0.56999999999999995"/>
    <n v="11"/>
    <n v="16"/>
    <n v="2"/>
    <n v="7"/>
    <n v="7"/>
    <n v="2"/>
    <n v="2"/>
    <n v="149"/>
    <n v="535"/>
    <n v="2616"/>
    <n v="2877"/>
    <n v="0.37"/>
    <n v="0.35"/>
    <n v="0.89"/>
    <n v="0.02"/>
    <n v="0.22500000000000001"/>
    <n v="0.42174000000000006"/>
    <n v="0.39150000000000001"/>
    <n v="80"/>
    <n v="52"/>
    <n v="21"/>
    <n v="0.34608"/>
  </r>
  <r>
    <d v="2025-09-22T00:00:00"/>
    <x v="8"/>
    <x v="3"/>
    <x v="5"/>
    <n v="0.61"/>
    <n v="0.81"/>
    <n v="0.4"/>
    <n v="29"/>
    <n v="23"/>
    <n v="4"/>
    <n v="12"/>
    <n v="12"/>
    <n v="1"/>
    <n v="9"/>
    <n v="1988"/>
    <n v="700"/>
    <n v="2502"/>
    <n v="3525"/>
    <n v="1.06"/>
    <n v="0.27"/>
    <n v="0.4"/>
    <n v="0.02"/>
    <n v="0.47"/>
    <n v="0.64680000000000004"/>
    <n v="0.74"/>
    <n v="94"/>
    <n v="53"/>
    <n v="17"/>
    <n v="0.61893333333333334"/>
  </r>
  <r>
    <d v="2025-09-23T00:00:00"/>
    <x v="8"/>
    <x v="3"/>
    <x v="6"/>
    <n v="0.77"/>
    <n v="0.45"/>
    <n v="0.51"/>
    <n v="31"/>
    <n v="31"/>
    <n v="8"/>
    <n v="12"/>
    <n v="5"/>
    <n v="7"/>
    <n v="7"/>
    <n v="485"/>
    <n v="2232"/>
    <n v="729"/>
    <n v="2455"/>
    <n v="0.16"/>
    <n v="1.1100000000000001"/>
    <n v="1.1399999999999999"/>
    <n v="0.05"/>
    <n v="0.54"/>
    <n v="0.43560000000000004"/>
    <n v="0.63"/>
    <n v="90"/>
    <n v="77"/>
    <n v="26"/>
    <n v="0.53520000000000001"/>
  </r>
  <r>
    <d v="2025-09-24T00:00:00"/>
    <x v="8"/>
    <x v="3"/>
    <x v="0"/>
    <n v="0.71"/>
    <n v="0.83"/>
    <n v="0.8"/>
    <n v="28"/>
    <n v="39"/>
    <n v="7"/>
    <n v="12"/>
    <n v="11"/>
    <n v="6"/>
    <n v="2"/>
    <n v="95"/>
    <n v="2228"/>
    <n v="2314.5"/>
    <n v="2545"/>
    <n v="0.43"/>
    <n v="1.07"/>
    <n v="0.79"/>
    <n v="0.08"/>
    <n v="0.7"/>
    <n v="0.95040000000000002"/>
    <n v="0.5"/>
    <n v="97"/>
    <n v="62"/>
    <n v="13"/>
    <n v="0.71679999999999999"/>
  </r>
  <r>
    <d v="2025-09-25T00:00:00"/>
    <x v="8"/>
    <x v="3"/>
    <x v="1"/>
    <n v="0.76"/>
    <n v="0.9"/>
    <n v="0.63"/>
    <n v="13"/>
    <n v="16"/>
    <n v="3"/>
    <n v="6"/>
    <n v="2"/>
    <n v="3"/>
    <n v="11"/>
    <n v="2557"/>
    <n v="1008"/>
    <n v="2061"/>
    <n v="2625"/>
    <n v="0.85"/>
    <n v="1.1100000000000001"/>
    <n v="0.2"/>
    <n v="0.01"/>
    <n v="0.73"/>
    <n v="0.5676000000000001"/>
    <n v="0.37"/>
    <n v="97"/>
    <n v="53"/>
    <n v="45"/>
    <n v="0.55586666666666673"/>
  </r>
  <r>
    <d v="2025-09-26T00:00:00"/>
    <x v="8"/>
    <x v="3"/>
    <x v="2"/>
    <n v="0.64"/>
    <n v="0.57999999999999996"/>
    <n v="0.51"/>
    <n v="27"/>
    <n v="31"/>
    <n v="2"/>
    <n v="3"/>
    <n v="2"/>
    <n v="3"/>
    <n v="2"/>
    <n v="2894"/>
    <n v="426"/>
    <n v="312"/>
    <n v="2894"/>
    <n v="0.97"/>
    <n v="0.98"/>
    <n v="0.15"/>
    <n v="0.02"/>
    <n v="0.84"/>
    <n v="0.72600000000000009"/>
    <n v="0.44"/>
    <n v="86"/>
    <n v="70"/>
    <n v="44"/>
    <n v="0.66866666666666674"/>
  </r>
  <r>
    <d v="2025-09-27T00:00:00"/>
    <x v="8"/>
    <x v="3"/>
    <x v="3"/>
    <n v="0.1"/>
    <n v="0.44"/>
    <n v="0.49"/>
    <n v="14"/>
    <n v="40"/>
    <n v="2"/>
    <n v="2"/>
    <n v="2"/>
    <n v="2"/>
    <n v="2"/>
    <n v="2457"/>
    <n v="324"/>
    <n v="721.5"/>
    <n v="3408"/>
    <n v="0.47"/>
    <n v="0.67"/>
    <n v="0.2"/>
    <n v="0.09"/>
    <n v="0.20250000000000001"/>
    <n v="0.21978000000000003"/>
    <n v="0.27900000000000003"/>
    <n v="98"/>
    <n v="76"/>
    <n v="30"/>
    <n v="0.23376000000000005"/>
  </r>
  <r>
    <d v="2025-09-28T00:00:00"/>
    <x v="8"/>
    <x v="3"/>
    <x v="4"/>
    <n v="0.33"/>
    <n v="0.51"/>
    <n v="0.89"/>
    <n v="35"/>
    <n v="31"/>
    <n v="1"/>
    <n v="2"/>
    <n v="8"/>
    <n v="2"/>
    <n v="4"/>
    <n v="3735"/>
    <n v="490"/>
    <n v="2538"/>
    <n v="6724"/>
    <n v="0.61"/>
    <n v="0.66"/>
    <n v="0.93"/>
    <n v="0.05"/>
    <n v="0.30150000000000005"/>
    <n v="0.38610000000000005"/>
    <n v="0.29250000000000004"/>
    <n v="92"/>
    <n v="51"/>
    <n v="14"/>
    <n v="0.32670000000000005"/>
  </r>
  <r>
    <d v="2025-09-29T00:00:00"/>
    <x v="8"/>
    <x v="4"/>
    <x v="5"/>
    <n v="0.87"/>
    <n v="0.88"/>
    <n v="0.37"/>
    <n v="35"/>
    <n v="10"/>
    <n v="1"/>
    <n v="2"/>
    <n v="9"/>
    <n v="11"/>
    <n v="4"/>
    <n v="3642"/>
    <n v="1165"/>
    <n v="600"/>
    <n v="6798"/>
    <n v="1.18"/>
    <n v="0.55000000000000004"/>
    <n v="1.1200000000000001"/>
    <n v="0.03"/>
    <n v="0.95"/>
    <n v="0.64680000000000004"/>
    <n v="0.73"/>
    <n v="88"/>
    <n v="73"/>
    <n v="13"/>
    <n v="0.77559999999999996"/>
  </r>
  <r>
    <d v="2025-09-30T00:00:00"/>
    <x v="8"/>
    <x v="4"/>
    <x v="6"/>
    <n v="0.82"/>
    <n v="0.52"/>
    <n v="0.88"/>
    <n v="21"/>
    <n v="37"/>
    <n v="3"/>
    <n v="5"/>
    <n v="7"/>
    <n v="2"/>
    <n v="5"/>
    <n v="2608"/>
    <n v="189"/>
    <n v="483"/>
    <n v="2712"/>
    <n v="1.07"/>
    <n v="1.1100000000000001"/>
    <n v="0.98"/>
    <n v="0.06"/>
    <n v="0.62"/>
    <n v="0.89760000000000018"/>
    <n v="0.79"/>
    <n v="81"/>
    <n v="64"/>
    <n v="42"/>
    <n v="0.76920000000000011"/>
  </r>
  <r>
    <d v="2025-10-01T00:00:00"/>
    <x v="9"/>
    <x v="0"/>
    <x v="0"/>
    <n v="0.62"/>
    <n v="0.86"/>
    <n v="0.52"/>
    <n v="11"/>
    <n v="25"/>
    <n v="11"/>
    <n v="6"/>
    <n v="3"/>
    <n v="9"/>
    <n v="12"/>
    <n v="2429"/>
    <n v="468"/>
    <n v="1224"/>
    <n v="2850"/>
    <n v="0.43"/>
    <n v="0.87"/>
    <n v="1.02"/>
    <n v="0.03"/>
    <n v="0.77"/>
    <n v="0.52800000000000002"/>
    <n v="0.53"/>
    <n v="89"/>
    <n v="77"/>
    <n v="29"/>
    <n v="0.60933333333333339"/>
  </r>
  <r>
    <d v="2025-10-02T00:00:00"/>
    <x v="9"/>
    <x v="0"/>
    <x v="1"/>
    <n v="0.9"/>
    <n v="0.65"/>
    <n v="0.43"/>
    <n v="25"/>
    <n v="17"/>
    <n v="12"/>
    <n v="8"/>
    <n v="2"/>
    <n v="2"/>
    <n v="5"/>
    <n v="2298"/>
    <n v="3048"/>
    <n v="630"/>
    <n v="3860"/>
    <n v="0.42"/>
    <n v="1.2"/>
    <n v="1.05"/>
    <n v="0.1"/>
    <n v="0.77"/>
    <n v="0.81840000000000002"/>
    <n v="0.47"/>
    <n v="81"/>
    <n v="75"/>
    <n v="14"/>
    <n v="0.68613333333333326"/>
  </r>
  <r>
    <d v="2025-10-03T00:00:00"/>
    <x v="9"/>
    <x v="0"/>
    <x v="2"/>
    <n v="0.66"/>
    <n v="0.56000000000000005"/>
    <n v="0.72"/>
    <n v="36"/>
    <n v="33"/>
    <n v="3"/>
    <n v="4"/>
    <n v="4"/>
    <n v="2"/>
    <n v="1"/>
    <n v="3282"/>
    <n v="2140"/>
    <n v="1089"/>
    <n v="5602"/>
    <n v="0.48"/>
    <n v="0.18"/>
    <n v="0.41"/>
    <n v="0.01"/>
    <n v="0.84"/>
    <n v="0.79200000000000004"/>
    <n v="0.55000000000000004"/>
    <n v="100"/>
    <n v="71"/>
    <n v="12"/>
    <n v="0.7273333333333335"/>
  </r>
  <r>
    <d v="2025-10-04T00:00:00"/>
    <x v="9"/>
    <x v="0"/>
    <x v="3"/>
    <n v="0.12"/>
    <n v="0.81"/>
    <n v="0.84"/>
    <n v="7"/>
    <n v="15"/>
    <n v="8"/>
    <n v="6"/>
    <n v="2"/>
    <n v="4"/>
    <n v="2"/>
    <n v="3449"/>
    <n v="2747"/>
    <n v="2220"/>
    <n v="5288"/>
    <n v="0.78"/>
    <n v="0.99"/>
    <n v="0.75"/>
    <n v="0.09"/>
    <n v="0.378"/>
    <n v="0.40986"/>
    <n v="0.31950000000000001"/>
    <n v="79"/>
    <n v="53"/>
    <n v="48"/>
    <n v="0.36911999999999995"/>
  </r>
  <r>
    <d v="2025-10-05T00:00:00"/>
    <x v="9"/>
    <x v="0"/>
    <x v="4"/>
    <n v="0.35"/>
    <n v="0.8"/>
    <n v="0.67"/>
    <n v="7"/>
    <n v="16"/>
    <n v="1"/>
    <n v="8"/>
    <n v="7"/>
    <n v="6"/>
    <n v="7"/>
    <n v="1055"/>
    <n v="2214"/>
    <n v="1554"/>
    <n v="2435"/>
    <n v="0.73"/>
    <n v="1.1000000000000001"/>
    <n v="1.01"/>
    <n v="0.08"/>
    <n v="0.30150000000000005"/>
    <n v="0.37422000000000005"/>
    <n v="0.26550000000000001"/>
    <n v="86"/>
    <n v="63"/>
    <n v="22"/>
    <n v="0.31374000000000007"/>
  </r>
  <r>
    <d v="2025-10-06T00:00:00"/>
    <x v="9"/>
    <x v="1"/>
    <x v="5"/>
    <n v="0.84"/>
    <n v="0.77"/>
    <n v="0.83"/>
    <n v="21"/>
    <n v="34"/>
    <n v="4"/>
    <n v="9"/>
    <n v="11"/>
    <n v="3"/>
    <n v="1"/>
    <n v="1886"/>
    <n v="292"/>
    <n v="1719"/>
    <n v="3521"/>
    <n v="0.15"/>
    <n v="1.18"/>
    <n v="0.51"/>
    <n v="0.09"/>
    <n v="0.66"/>
    <n v="0.46200000000000002"/>
    <n v="0.78"/>
    <n v="85"/>
    <n v="63"/>
    <n v="10"/>
    <n v="0.63400000000000001"/>
  </r>
  <r>
    <d v="2025-10-07T00:00:00"/>
    <x v="9"/>
    <x v="1"/>
    <x v="6"/>
    <n v="0.96"/>
    <n v="0.77"/>
    <n v="0.39"/>
    <n v="6"/>
    <n v="11"/>
    <n v="4"/>
    <n v="3"/>
    <n v="9"/>
    <n v="12"/>
    <n v="12"/>
    <n v="1940"/>
    <n v="2754"/>
    <n v="702"/>
    <n v="3029"/>
    <n v="0.16"/>
    <n v="0.33"/>
    <n v="0.89"/>
    <n v="0.06"/>
    <n v="0.8"/>
    <n v="0.62039999999999995"/>
    <n v="0.85"/>
    <n v="91"/>
    <n v="59"/>
    <n v="19"/>
    <n v="0.75680000000000003"/>
  </r>
  <r>
    <d v="2025-10-08T00:00:00"/>
    <x v="9"/>
    <x v="1"/>
    <x v="0"/>
    <n v="0.9"/>
    <n v="0.59"/>
    <n v="0.89"/>
    <n v="25"/>
    <n v="32"/>
    <n v="12"/>
    <n v="12"/>
    <n v="8"/>
    <n v="3"/>
    <n v="12"/>
    <n v="1375"/>
    <n v="313"/>
    <n v="2551.5"/>
    <n v="2806"/>
    <n v="0.18"/>
    <n v="0.47"/>
    <n v="0.55000000000000004"/>
    <n v="0.05"/>
    <n v="0.57999999999999996"/>
    <n v="0.96360000000000012"/>
    <n v="0.64"/>
    <n v="80"/>
    <n v="57"/>
    <n v="16"/>
    <n v="0.72786666666666677"/>
  </r>
  <r>
    <d v="2025-10-09T00:00:00"/>
    <x v="9"/>
    <x v="1"/>
    <x v="1"/>
    <n v="0.78"/>
    <n v="0.43"/>
    <n v="0.41"/>
    <n v="26"/>
    <n v="14"/>
    <n v="7"/>
    <n v="1"/>
    <n v="5"/>
    <n v="1"/>
    <n v="4"/>
    <n v="918"/>
    <n v="1661"/>
    <n v="1887"/>
    <n v="2075"/>
    <n v="1.21"/>
    <n v="1.1100000000000001"/>
    <n v="0.81"/>
    <n v="7.0000000000000007E-2"/>
    <n v="0.93"/>
    <n v="0.63360000000000005"/>
    <n v="0.54"/>
    <n v="94"/>
    <n v="79"/>
    <n v="32"/>
    <n v="0.70120000000000005"/>
  </r>
  <r>
    <d v="2025-10-10T00:00:00"/>
    <x v="9"/>
    <x v="1"/>
    <x v="2"/>
    <n v="0.66"/>
    <n v="0.41"/>
    <n v="0.63"/>
    <n v="13"/>
    <n v="12"/>
    <n v="2"/>
    <n v="5"/>
    <n v="5"/>
    <n v="2"/>
    <n v="5"/>
    <n v="2821"/>
    <n v="1530"/>
    <n v="1189.5"/>
    <n v="4890"/>
    <n v="1.21"/>
    <n v="1.08"/>
    <n v="0.39"/>
    <n v="0.05"/>
    <n v="0.93"/>
    <n v="0.43560000000000004"/>
    <n v="0.6"/>
    <n v="96"/>
    <n v="77"/>
    <n v="14"/>
    <n v="0.65520000000000012"/>
  </r>
  <r>
    <d v="2025-10-11T00:00:00"/>
    <x v="9"/>
    <x v="1"/>
    <x v="3"/>
    <n v="0.33"/>
    <n v="0.85"/>
    <n v="0.7"/>
    <n v="30"/>
    <n v="25"/>
    <n v="4"/>
    <n v="2"/>
    <n v="8"/>
    <n v="5"/>
    <n v="7"/>
    <n v="115"/>
    <n v="468"/>
    <n v="1225.5"/>
    <n v="1348"/>
    <n v="1.18"/>
    <n v="0.51"/>
    <n v="1.01"/>
    <n v="7.0000000000000007E-2"/>
    <n v="0.28350000000000003"/>
    <n v="0.17820000000000003"/>
    <n v="0.39150000000000001"/>
    <n v="79"/>
    <n v="51"/>
    <n v="38"/>
    <n v="0.28440000000000004"/>
  </r>
  <r>
    <d v="2025-10-12T00:00:00"/>
    <x v="9"/>
    <x v="1"/>
    <x v="4"/>
    <n v="0.32"/>
    <n v="0.55000000000000004"/>
    <n v="0.62"/>
    <n v="23"/>
    <n v="30"/>
    <n v="1"/>
    <n v="8"/>
    <n v="8"/>
    <n v="6"/>
    <n v="2"/>
    <n v="408"/>
    <n v="2517"/>
    <n v="501"/>
    <n v="2768"/>
    <n v="0.92"/>
    <n v="1.06"/>
    <n v="0.31"/>
    <n v="0.08"/>
    <n v="0.38700000000000001"/>
    <n v="0.22572000000000003"/>
    <n v="0.34200000000000003"/>
    <n v="78"/>
    <n v="57"/>
    <n v="20"/>
    <n v="0.31824000000000002"/>
  </r>
  <r>
    <d v="2025-10-13T00:00:00"/>
    <x v="9"/>
    <x v="2"/>
    <x v="5"/>
    <n v="0.6"/>
    <n v="0.46"/>
    <n v="0.85"/>
    <n v="22"/>
    <n v="8"/>
    <n v="2"/>
    <n v="4"/>
    <n v="5"/>
    <n v="3"/>
    <n v="7"/>
    <n v="1374"/>
    <n v="2220"/>
    <n v="1089"/>
    <n v="2442"/>
    <n v="0.91"/>
    <n v="0.72"/>
    <n v="0.61"/>
    <n v="0.1"/>
    <n v="0.65"/>
    <n v="0.84480000000000011"/>
    <n v="0.54"/>
    <n v="94"/>
    <n v="80"/>
    <n v="45"/>
    <n v="0.67826666666666668"/>
  </r>
  <r>
    <d v="2025-10-14T00:00:00"/>
    <x v="9"/>
    <x v="2"/>
    <x v="6"/>
    <n v="0.64"/>
    <n v="0.74"/>
    <n v="0.47"/>
    <n v="27"/>
    <n v="34"/>
    <n v="11"/>
    <n v="12"/>
    <n v="4"/>
    <n v="12"/>
    <n v="5"/>
    <n v="3750"/>
    <n v="1413"/>
    <n v="834"/>
    <n v="4750"/>
    <n v="1.19"/>
    <n v="1.05"/>
    <n v="0.5"/>
    <n v="0.02"/>
    <n v="0.89"/>
    <n v="0.52800000000000002"/>
    <n v="0.89"/>
    <n v="79"/>
    <n v="64"/>
    <n v="12"/>
    <n v="0.76933333333333342"/>
  </r>
  <r>
    <d v="2025-10-15T00:00:00"/>
    <x v="9"/>
    <x v="2"/>
    <x v="0"/>
    <n v="0.62"/>
    <n v="0.79"/>
    <n v="0.5"/>
    <n v="7"/>
    <n v="27"/>
    <n v="12"/>
    <n v="9"/>
    <n v="2"/>
    <n v="12"/>
    <n v="6"/>
    <n v="518"/>
    <n v="3218"/>
    <n v="1404"/>
    <n v="3539"/>
    <n v="0.52"/>
    <n v="0.61"/>
    <n v="0.82"/>
    <n v="0.09"/>
    <n v="0.61"/>
    <n v="0.87120000000000009"/>
    <n v="0.68"/>
    <n v="92"/>
    <n v="53"/>
    <n v="10"/>
    <n v="0.72040000000000004"/>
  </r>
  <r>
    <d v="2025-10-16T00:00:00"/>
    <x v="9"/>
    <x v="2"/>
    <x v="1"/>
    <n v="0.75"/>
    <n v="0.55000000000000004"/>
    <n v="0.82"/>
    <n v="35"/>
    <n v="19"/>
    <n v="9"/>
    <n v="9"/>
    <n v="8"/>
    <n v="12"/>
    <n v="7"/>
    <n v="2471"/>
    <n v="1572"/>
    <n v="951"/>
    <n v="2471"/>
    <n v="0.38"/>
    <n v="0.57999999999999996"/>
    <n v="0.72"/>
    <n v="0.01"/>
    <n v="0.93"/>
    <n v="0.80520000000000003"/>
    <n v="0.46"/>
    <n v="83"/>
    <n v="78"/>
    <n v="28"/>
    <n v="0.73173333333333346"/>
  </r>
  <r>
    <d v="2025-10-17T00:00:00"/>
    <x v="9"/>
    <x v="2"/>
    <x v="2"/>
    <n v="0.93"/>
    <n v="0.37"/>
    <n v="0.9"/>
    <n v="27"/>
    <n v="31"/>
    <n v="4"/>
    <n v="7"/>
    <n v="2"/>
    <n v="4"/>
    <n v="4"/>
    <n v="755"/>
    <n v="1777"/>
    <n v="177"/>
    <n v="1954"/>
    <n v="1.1000000000000001"/>
    <n v="0.15"/>
    <n v="0.8"/>
    <n v="0.08"/>
    <n v="0.78"/>
    <n v="0.89760000000000018"/>
    <n v="0.78"/>
    <n v="85"/>
    <n v="62"/>
    <n v="27"/>
    <n v="0.81920000000000004"/>
  </r>
  <r>
    <d v="2025-10-18T00:00:00"/>
    <x v="9"/>
    <x v="2"/>
    <x v="3"/>
    <n v="0.35"/>
    <n v="0.36"/>
    <n v="0.54"/>
    <n v="30"/>
    <n v="38"/>
    <n v="2"/>
    <n v="5"/>
    <n v="2"/>
    <n v="8"/>
    <n v="7"/>
    <n v="2138"/>
    <n v="45"/>
    <n v="519"/>
    <n v="3421"/>
    <n v="1.06"/>
    <n v="1.1299999999999999"/>
    <n v="0.73"/>
    <n v="0.06"/>
    <n v="0.31950000000000001"/>
    <n v="0.43956000000000006"/>
    <n v="0.22950000000000001"/>
    <n v="93"/>
    <n v="64"/>
    <n v="24"/>
    <n v="0.32952000000000004"/>
  </r>
  <r>
    <d v="2025-10-19T00:00:00"/>
    <x v="9"/>
    <x v="2"/>
    <x v="4"/>
    <n v="0.3"/>
    <n v="0.54"/>
    <n v="0.72"/>
    <n v="13"/>
    <n v="17"/>
    <n v="2"/>
    <n v="7"/>
    <n v="8"/>
    <n v="2"/>
    <n v="8"/>
    <n v="2616"/>
    <n v="2760"/>
    <n v="496.5"/>
    <n v="3036"/>
    <n v="0.89"/>
    <n v="0.49"/>
    <n v="0.38"/>
    <n v="7.0000000000000007E-2"/>
    <n v="0.378"/>
    <n v="0.24948000000000004"/>
    <n v="0.189"/>
    <n v="80"/>
    <n v="69"/>
    <n v="42"/>
    <n v="0.27216000000000001"/>
  </r>
  <r>
    <d v="2025-10-20T00:00:00"/>
    <x v="9"/>
    <x v="3"/>
    <x v="5"/>
    <n v="0.96"/>
    <n v="0.56999999999999995"/>
    <n v="0.78"/>
    <n v="27"/>
    <n v="23"/>
    <n v="5"/>
    <n v="12"/>
    <n v="4"/>
    <n v="11"/>
    <n v="8"/>
    <n v="391"/>
    <n v="146"/>
    <n v="2436"/>
    <n v="2679"/>
    <n v="0.21"/>
    <n v="0.94"/>
    <n v="0.41"/>
    <n v="0.01"/>
    <n v="0.68"/>
    <n v="0.62039999999999995"/>
    <n v="0.64"/>
    <n v="86"/>
    <n v="63"/>
    <n v="21"/>
    <n v="0.64679999999999993"/>
  </r>
  <r>
    <d v="2025-10-21T00:00:00"/>
    <x v="9"/>
    <x v="3"/>
    <x v="6"/>
    <n v="0.68"/>
    <n v="0.64"/>
    <n v="0.71"/>
    <n v="39"/>
    <n v="40"/>
    <n v="7"/>
    <n v="12"/>
    <n v="8"/>
    <n v="9"/>
    <n v="6"/>
    <n v="3174"/>
    <n v="2574"/>
    <n v="1773"/>
    <n v="3639"/>
    <n v="0.98"/>
    <n v="1.08"/>
    <n v="0.2"/>
    <n v="0.02"/>
    <n v="0.61"/>
    <n v="0.60720000000000007"/>
    <n v="0.36"/>
    <n v="82"/>
    <n v="59"/>
    <n v="38"/>
    <n v="0.52573333333333327"/>
  </r>
  <r>
    <d v="2025-10-22T00:00:00"/>
    <x v="9"/>
    <x v="3"/>
    <x v="0"/>
    <n v="0.62"/>
    <n v="0.83"/>
    <n v="0.55000000000000004"/>
    <n v="31"/>
    <n v="19"/>
    <n v="11"/>
    <n v="2"/>
    <n v="12"/>
    <n v="3"/>
    <n v="9"/>
    <n v="3141"/>
    <n v="606"/>
    <n v="1261.5"/>
    <n v="5697"/>
    <n v="0.83"/>
    <n v="0.19"/>
    <n v="0.62"/>
    <n v="0.06"/>
    <n v="0.65"/>
    <n v="0.96360000000000012"/>
    <n v="0.5"/>
    <n v="96"/>
    <n v="54"/>
    <n v="44"/>
    <n v="0.70453333333333334"/>
  </r>
  <r>
    <d v="2025-10-23T00:00:00"/>
    <x v="9"/>
    <x v="3"/>
    <x v="1"/>
    <n v="0.75"/>
    <n v="0.63"/>
    <n v="0.82"/>
    <n v="38"/>
    <n v="5"/>
    <n v="3"/>
    <n v="6"/>
    <n v="11"/>
    <n v="2"/>
    <n v="1"/>
    <n v="3047"/>
    <n v="1181"/>
    <n v="2526"/>
    <n v="4753"/>
    <n v="0.18"/>
    <n v="1.0900000000000001"/>
    <n v="1.0900000000000001"/>
    <n v="0.08"/>
    <n v="0.83"/>
    <n v="0.58080000000000009"/>
    <n v="0.59"/>
    <n v="99"/>
    <n v="66"/>
    <n v="25"/>
    <n v="0.66693333333333327"/>
  </r>
  <r>
    <d v="2025-10-24T00:00:00"/>
    <x v="9"/>
    <x v="3"/>
    <x v="2"/>
    <n v="0.61"/>
    <n v="0.79"/>
    <n v="0.56000000000000005"/>
    <n v="24"/>
    <n v="31"/>
    <n v="6"/>
    <n v="1"/>
    <n v="7"/>
    <n v="8"/>
    <n v="2"/>
    <n v="1324"/>
    <n v="1701"/>
    <n v="2056.5"/>
    <n v="2262"/>
    <n v="0.56000000000000005"/>
    <n v="0.39"/>
    <n v="0.17"/>
    <n v="0.05"/>
    <n v="0.77"/>
    <n v="0.91080000000000005"/>
    <n v="0.36"/>
    <n v="83"/>
    <n v="67"/>
    <n v="18"/>
    <n v="0.68026666666666669"/>
  </r>
  <r>
    <d v="2025-10-25T00:00:00"/>
    <x v="9"/>
    <x v="3"/>
    <x v="3"/>
    <n v="0.2"/>
    <n v="0.81"/>
    <n v="0.87"/>
    <n v="25"/>
    <n v="38"/>
    <n v="4"/>
    <n v="8"/>
    <n v="5"/>
    <n v="7"/>
    <n v="2"/>
    <n v="1211"/>
    <n v="435"/>
    <n v="2322"/>
    <n v="2554"/>
    <n v="0.77"/>
    <n v="0.69"/>
    <n v="0.26"/>
    <n v="0.09"/>
    <n v="0.31950000000000001"/>
    <n v="0.17820000000000003"/>
    <n v="0.24750000000000003"/>
    <n v="92"/>
    <n v="78"/>
    <n v="19"/>
    <n v="0.24840000000000004"/>
  </r>
  <r>
    <d v="2025-10-26T00:00:00"/>
    <x v="9"/>
    <x v="3"/>
    <x v="4"/>
    <n v="0.21"/>
    <n v="0.54"/>
    <n v="0.4"/>
    <n v="24"/>
    <n v="21"/>
    <n v="7"/>
    <n v="4"/>
    <n v="2"/>
    <n v="1"/>
    <n v="4"/>
    <n v="3144"/>
    <n v="1921"/>
    <n v="1260"/>
    <n v="4360"/>
    <n v="0.19"/>
    <n v="0.54"/>
    <n v="0.74"/>
    <n v="0.06"/>
    <n v="0.315"/>
    <n v="0.17820000000000003"/>
    <n v="0.22500000000000001"/>
    <n v="92"/>
    <n v="56"/>
    <n v="20"/>
    <n v="0.23940000000000003"/>
  </r>
  <r>
    <d v="2025-10-27T00:00:00"/>
    <x v="9"/>
    <x v="4"/>
    <x v="5"/>
    <n v="0.81"/>
    <n v="0.88"/>
    <n v="0.76"/>
    <n v="26"/>
    <n v="40"/>
    <n v="2"/>
    <n v="12"/>
    <n v="8"/>
    <n v="9"/>
    <n v="2"/>
    <n v="1803"/>
    <n v="1264"/>
    <n v="1138.5"/>
    <n v="3317"/>
    <n v="0.67"/>
    <n v="1.01"/>
    <n v="0.97"/>
    <n v="0.06"/>
    <n v="0.79"/>
    <n v="0.5676000000000001"/>
    <n v="0.38"/>
    <n v="89"/>
    <n v="70"/>
    <n v="42"/>
    <n v="0.57920000000000005"/>
  </r>
  <r>
    <d v="2025-10-28T00:00:00"/>
    <x v="9"/>
    <x v="4"/>
    <x v="6"/>
    <n v="0.77"/>
    <n v="0.79"/>
    <n v="0.41"/>
    <n v="7"/>
    <n v="31"/>
    <n v="11"/>
    <n v="11"/>
    <n v="2"/>
    <n v="6"/>
    <n v="12"/>
    <n v="1480"/>
    <n v="779"/>
    <n v="2377.5"/>
    <n v="2615"/>
    <n v="0.56999999999999995"/>
    <n v="0.15"/>
    <n v="0.78"/>
    <n v="0.03"/>
    <n v="0.53"/>
    <n v="0.99"/>
    <n v="0.53"/>
    <n v="94"/>
    <n v="71"/>
    <n v="33"/>
    <n v="0.68333333333333324"/>
  </r>
  <r>
    <d v="2025-10-29T00:00:00"/>
    <x v="9"/>
    <x v="4"/>
    <x v="0"/>
    <n v="0.9"/>
    <n v="0.59"/>
    <n v="0.64"/>
    <n v="6"/>
    <n v="14"/>
    <n v="11"/>
    <n v="12"/>
    <n v="12"/>
    <n v="9"/>
    <n v="7"/>
    <n v="2555"/>
    <n v="2613"/>
    <n v="186"/>
    <n v="4599"/>
    <n v="0.45"/>
    <n v="0.2"/>
    <n v="0.77"/>
    <n v="0.03"/>
    <n v="0.74"/>
    <n v="0.83160000000000012"/>
    <n v="0.6"/>
    <n v="88"/>
    <n v="78"/>
    <n v="18"/>
    <n v="0.72386666666666677"/>
  </r>
  <r>
    <d v="2025-10-30T00:00:00"/>
    <x v="9"/>
    <x v="4"/>
    <x v="1"/>
    <n v="0.65"/>
    <n v="0.65"/>
    <n v="0.37"/>
    <n v="38"/>
    <n v="33"/>
    <n v="1"/>
    <n v="2"/>
    <n v="1"/>
    <n v="11"/>
    <n v="1"/>
    <n v="1212"/>
    <n v="2943"/>
    <n v="243"/>
    <n v="3237"/>
    <n v="0.42"/>
    <n v="0.22"/>
    <n v="0.69"/>
    <n v="0.09"/>
    <n v="0.79"/>
    <n v="0.89760000000000018"/>
    <n v="0.66"/>
    <n v="93"/>
    <n v="60"/>
    <n v="35"/>
    <n v="0.78253333333333341"/>
  </r>
  <r>
    <d v="2025-10-31T00:00:00"/>
    <x v="9"/>
    <x v="4"/>
    <x v="2"/>
    <n v="0.68"/>
    <n v="0.36"/>
    <n v="0.69"/>
    <n v="40"/>
    <n v="38"/>
    <n v="8"/>
    <n v="2"/>
    <n v="2"/>
    <n v="8"/>
    <n v="1"/>
    <n v="98"/>
    <n v="445"/>
    <n v="634.5"/>
    <n v="697"/>
    <n v="1.2"/>
    <n v="0.42"/>
    <n v="0.63"/>
    <n v="0.06"/>
    <n v="0.63"/>
    <n v="0.7128000000000001"/>
    <n v="0.78"/>
    <n v="88"/>
    <n v="74"/>
    <n v="38"/>
    <n v="0.7075999999999999"/>
  </r>
  <r>
    <d v="2025-11-01T00:00:00"/>
    <x v="10"/>
    <x v="0"/>
    <x v="3"/>
    <n v="0.11"/>
    <n v="0.77"/>
    <n v="0.41"/>
    <n v="23"/>
    <n v="13"/>
    <n v="1"/>
    <n v="4"/>
    <n v="5"/>
    <n v="2"/>
    <n v="2"/>
    <n v="1732"/>
    <n v="909"/>
    <n v="1539"/>
    <n v="2864"/>
    <n v="0.35"/>
    <n v="0.65"/>
    <n v="0.33"/>
    <n v="0.02"/>
    <n v="0.216"/>
    <n v="0.34451999999999999"/>
    <n v="0.28800000000000003"/>
    <n v="78"/>
    <n v="80"/>
    <n v="36"/>
    <n v="0.28284000000000004"/>
  </r>
  <r>
    <d v="2025-11-02T00:00:00"/>
    <x v="10"/>
    <x v="0"/>
    <x v="4"/>
    <n v="0.28999999999999998"/>
    <n v="0.37"/>
    <n v="0.59"/>
    <n v="35"/>
    <n v="14"/>
    <n v="2"/>
    <n v="4"/>
    <n v="4"/>
    <n v="4"/>
    <n v="8"/>
    <n v="1095"/>
    <n v="1233"/>
    <n v="2247"/>
    <n v="2471"/>
    <n v="0.19"/>
    <n v="0.21"/>
    <n v="0.92"/>
    <n v="7.0000000000000007E-2"/>
    <n v="0.25650000000000001"/>
    <n v="0.24948000000000004"/>
    <n v="0.24750000000000003"/>
    <n v="92"/>
    <n v="55"/>
    <n v="23"/>
    <n v="0.25116000000000005"/>
  </r>
  <r>
    <d v="2025-11-03T00:00:00"/>
    <x v="10"/>
    <x v="1"/>
    <x v="5"/>
    <n v="0.84"/>
    <n v="0.7"/>
    <n v="0.38"/>
    <n v="23"/>
    <n v="12"/>
    <n v="12"/>
    <n v="7"/>
    <n v="1"/>
    <n v="7"/>
    <n v="11"/>
    <n v="166"/>
    <n v="2684"/>
    <n v="540"/>
    <n v="2952"/>
    <n v="0.23"/>
    <n v="0.26"/>
    <n v="0.79"/>
    <n v="0.1"/>
    <n v="0.49"/>
    <n v="0.40920000000000001"/>
    <n v="0.89"/>
    <n v="92"/>
    <n v="58"/>
    <n v="30"/>
    <n v="0.59640000000000004"/>
  </r>
  <r>
    <d v="2025-11-04T00:00:00"/>
    <x v="10"/>
    <x v="1"/>
    <x v="6"/>
    <n v="0.87"/>
    <n v="0.81"/>
    <n v="0.9"/>
    <n v="34"/>
    <n v="39"/>
    <n v="9"/>
    <n v="1"/>
    <n v="8"/>
    <n v="4"/>
    <n v="11"/>
    <n v="1455"/>
    <n v="2500"/>
    <n v="2259"/>
    <n v="2750"/>
    <n v="0.37"/>
    <n v="1.0900000000000001"/>
    <n v="0.42"/>
    <n v="7.0000000000000007E-2"/>
    <n v="0.74"/>
    <n v="0.73920000000000008"/>
    <n v="0.55000000000000004"/>
    <n v="88"/>
    <n v="51"/>
    <n v="34"/>
    <n v="0.67640000000000011"/>
  </r>
  <r>
    <d v="2025-11-05T00:00:00"/>
    <x v="10"/>
    <x v="1"/>
    <x v="0"/>
    <n v="0.84"/>
    <n v="0.39"/>
    <n v="0.9"/>
    <n v="26"/>
    <n v="12"/>
    <n v="2"/>
    <n v="4"/>
    <n v="2"/>
    <n v="12"/>
    <n v="5"/>
    <n v="1947"/>
    <n v="828"/>
    <n v="1066.5"/>
    <n v="2415"/>
    <n v="0.18"/>
    <n v="0.54"/>
    <n v="0.64"/>
    <n v="0.09"/>
    <n v="0.77"/>
    <n v="0.99"/>
    <n v="0.53"/>
    <n v="91"/>
    <n v="58"/>
    <n v="43"/>
    <n v="0.76333333333333331"/>
  </r>
  <r>
    <d v="2025-11-06T00:00:00"/>
    <x v="10"/>
    <x v="1"/>
    <x v="1"/>
    <n v="0.67"/>
    <n v="0.53"/>
    <n v="0.66"/>
    <n v="30"/>
    <n v="40"/>
    <n v="1"/>
    <n v="12"/>
    <n v="4"/>
    <n v="2"/>
    <n v="12"/>
    <n v="2799"/>
    <n v="1589"/>
    <n v="888"/>
    <n v="3546"/>
    <n v="0.68"/>
    <n v="1.17"/>
    <n v="0.59"/>
    <n v="0.05"/>
    <n v="0.66"/>
    <n v="0.67320000000000002"/>
    <n v="0.7"/>
    <n v="90"/>
    <n v="56"/>
    <n v="15"/>
    <n v="0.6777333333333333"/>
  </r>
  <r>
    <d v="2025-11-07T00:00:00"/>
    <x v="10"/>
    <x v="1"/>
    <x v="2"/>
    <n v="0.66"/>
    <n v="0.87"/>
    <n v="0.71"/>
    <n v="25"/>
    <n v="28"/>
    <n v="4"/>
    <n v="7"/>
    <n v="7"/>
    <n v="4"/>
    <n v="7"/>
    <n v="1882"/>
    <n v="1994"/>
    <n v="186"/>
    <n v="3212"/>
    <n v="0.38"/>
    <n v="0.6"/>
    <n v="0.97"/>
    <n v="0.1"/>
    <n v="0.81"/>
    <n v="0.96360000000000012"/>
    <n v="0.79"/>
    <n v="92"/>
    <n v="70"/>
    <n v="12"/>
    <n v="0.85453333333333337"/>
  </r>
  <r>
    <d v="2025-11-08T00:00:00"/>
    <x v="10"/>
    <x v="1"/>
    <x v="3"/>
    <n v="0.18"/>
    <n v="0.78"/>
    <n v="0.36"/>
    <n v="17"/>
    <n v="7"/>
    <n v="1"/>
    <n v="8"/>
    <n v="4"/>
    <n v="6"/>
    <n v="3"/>
    <n v="3475"/>
    <n v="355"/>
    <n v="775.5"/>
    <n v="4309"/>
    <n v="0.51"/>
    <n v="0.51"/>
    <n v="0.6"/>
    <n v="0.03"/>
    <n v="0.24300000000000002"/>
    <n v="0.26730000000000004"/>
    <n v="0.315"/>
    <n v="99"/>
    <n v="72"/>
    <n v="19"/>
    <n v="0.27510000000000007"/>
  </r>
  <r>
    <d v="2025-11-09T00:00:00"/>
    <x v="10"/>
    <x v="1"/>
    <x v="4"/>
    <n v="0.46"/>
    <n v="0.61"/>
    <n v="0.61"/>
    <n v="25"/>
    <n v="10"/>
    <n v="5"/>
    <n v="5"/>
    <n v="5"/>
    <n v="3"/>
    <n v="6"/>
    <n v="2219"/>
    <n v="1137"/>
    <n v="1044"/>
    <n v="3580"/>
    <n v="0.51"/>
    <n v="0.89"/>
    <n v="0.21"/>
    <n v="0.04"/>
    <n v="0.39600000000000002"/>
    <n v="0.44550000000000006"/>
    <n v="0.39600000000000002"/>
    <n v="91"/>
    <n v="60"/>
    <n v="22"/>
    <n v="0.41250000000000009"/>
  </r>
  <r>
    <d v="2025-11-10T00:00:00"/>
    <x v="10"/>
    <x v="2"/>
    <x v="5"/>
    <n v="0.73"/>
    <n v="0.71"/>
    <n v="0.44"/>
    <n v="9"/>
    <n v="19"/>
    <n v="12"/>
    <n v="4"/>
    <n v="12"/>
    <n v="4"/>
    <n v="3"/>
    <n v="1863"/>
    <n v="2749"/>
    <n v="1066.5"/>
    <n v="3023"/>
    <n v="1.2"/>
    <n v="0.75"/>
    <n v="0.93"/>
    <n v="7.0000000000000007E-2"/>
    <n v="0.69"/>
    <n v="0.91080000000000005"/>
    <n v="0.87"/>
    <n v="100"/>
    <n v="72"/>
    <n v="11"/>
    <n v="0.8236"/>
  </r>
  <r>
    <d v="2025-11-11T00:00:00"/>
    <x v="10"/>
    <x v="2"/>
    <x v="6"/>
    <n v="0.87"/>
    <n v="0.83"/>
    <n v="0.84"/>
    <n v="10"/>
    <n v="14"/>
    <n v="7"/>
    <n v="7"/>
    <n v="1"/>
    <n v="4"/>
    <n v="2"/>
    <n v="2938"/>
    <n v="1479"/>
    <n v="1017"/>
    <n v="3330"/>
    <n v="1.1000000000000001"/>
    <n v="1.1399999999999999"/>
    <n v="0.31"/>
    <n v="0.01"/>
    <n v="0.71"/>
    <n v="0.72600000000000009"/>
    <n v="0.86"/>
    <n v="96"/>
    <n v="71"/>
    <n v="33"/>
    <n v="0.76533333333333331"/>
  </r>
  <r>
    <d v="2025-11-12T00:00:00"/>
    <x v="10"/>
    <x v="2"/>
    <x v="0"/>
    <n v="0.79"/>
    <n v="0.49"/>
    <n v="0.75"/>
    <n v="6"/>
    <n v="16"/>
    <n v="12"/>
    <n v="7"/>
    <n v="2"/>
    <n v="8"/>
    <n v="3"/>
    <n v="759"/>
    <n v="1553"/>
    <n v="1684.5"/>
    <n v="1852"/>
    <n v="0.93"/>
    <n v="0.3"/>
    <n v="1.02"/>
    <n v="0.04"/>
    <n v="0.48"/>
    <n v="0.51480000000000004"/>
    <n v="0.47"/>
    <n v="99"/>
    <n v="76"/>
    <n v="10"/>
    <n v="0.48826666666666663"/>
  </r>
  <r>
    <d v="2025-11-13T00:00:00"/>
    <x v="10"/>
    <x v="2"/>
    <x v="1"/>
    <n v="0.97"/>
    <n v="0.54"/>
    <n v="0.74"/>
    <n v="13"/>
    <n v="36"/>
    <n v="4"/>
    <n v="8"/>
    <n v="7"/>
    <n v="9"/>
    <n v="9"/>
    <n v="63"/>
    <n v="1236"/>
    <n v="667.5"/>
    <n v="1359"/>
    <n v="1.1299999999999999"/>
    <n v="0.43"/>
    <n v="0.95"/>
    <n v="0.04"/>
    <n v="0.53"/>
    <n v="0.47520000000000001"/>
    <n v="0.6"/>
    <n v="84"/>
    <n v="65"/>
    <n v="40"/>
    <n v="0.53506666666666669"/>
  </r>
  <r>
    <d v="2025-11-14T00:00:00"/>
    <x v="10"/>
    <x v="2"/>
    <x v="2"/>
    <n v="0.62"/>
    <n v="0.54"/>
    <n v="0.85"/>
    <n v="17"/>
    <n v="36"/>
    <n v="8"/>
    <n v="6"/>
    <n v="8"/>
    <n v="2"/>
    <n v="3"/>
    <n v="1085"/>
    <n v="1984"/>
    <n v="1503"/>
    <n v="2182"/>
    <n v="0.23"/>
    <n v="0.37"/>
    <n v="0.9"/>
    <n v="0.1"/>
    <n v="0.81"/>
    <n v="0.69960000000000011"/>
    <n v="0.54"/>
    <n v="88"/>
    <n v="72"/>
    <n v="42"/>
    <n v="0.68320000000000014"/>
  </r>
  <r>
    <d v="2025-11-15T00:00:00"/>
    <x v="10"/>
    <x v="2"/>
    <x v="3"/>
    <n v="0.1"/>
    <n v="0.74"/>
    <n v="0.38"/>
    <n v="14"/>
    <n v="7"/>
    <n v="2"/>
    <n v="8"/>
    <n v="6"/>
    <n v="7"/>
    <n v="1"/>
    <n v="913"/>
    <n v="3204"/>
    <n v="2074.5"/>
    <n v="3524"/>
    <n v="1.01"/>
    <n v="0.86"/>
    <n v="1.04"/>
    <n v="0.08"/>
    <n v="0.42299999999999999"/>
    <n v="0.43362000000000001"/>
    <n v="0.3735"/>
    <n v="93"/>
    <n v="52"/>
    <n v="40"/>
    <n v="0.41003999999999996"/>
  </r>
  <r>
    <d v="2025-11-16T00:00:00"/>
    <x v="10"/>
    <x v="2"/>
    <x v="4"/>
    <n v="0.14000000000000001"/>
    <n v="0.56999999999999995"/>
    <n v="0.64"/>
    <n v="11"/>
    <n v="15"/>
    <n v="4"/>
    <n v="8"/>
    <n v="2"/>
    <n v="2"/>
    <n v="1"/>
    <n v="1356"/>
    <n v="1451"/>
    <n v="954"/>
    <n v="2169"/>
    <n v="0.68"/>
    <n v="1.06"/>
    <n v="1.06"/>
    <n v="7.0000000000000007E-2"/>
    <n v="0.27"/>
    <n v="0.25542000000000004"/>
    <n v="0.32850000000000001"/>
    <n v="81"/>
    <n v="66"/>
    <n v="10"/>
    <n v="0.28464"/>
  </r>
  <r>
    <d v="2025-11-17T00:00:00"/>
    <x v="10"/>
    <x v="3"/>
    <x v="5"/>
    <n v="0.93"/>
    <n v="0.5"/>
    <n v="0.57999999999999996"/>
    <n v="11"/>
    <n v="7"/>
    <n v="9"/>
    <n v="11"/>
    <n v="11"/>
    <n v="7"/>
    <n v="5"/>
    <n v="3314"/>
    <n v="376"/>
    <n v="2218.5"/>
    <n v="3358"/>
    <n v="0.21"/>
    <n v="1.1200000000000001"/>
    <n v="0.76"/>
    <n v="0.1"/>
    <n v="0.84"/>
    <n v="0.69960000000000011"/>
    <n v="0.39"/>
    <n v="99"/>
    <n v="62"/>
    <n v="35"/>
    <n v="0.6432000000000001"/>
  </r>
  <r>
    <d v="2025-11-18T00:00:00"/>
    <x v="10"/>
    <x v="3"/>
    <x v="6"/>
    <n v="0.78"/>
    <n v="0.78"/>
    <n v="0.85"/>
    <n v="31"/>
    <n v="9"/>
    <n v="9"/>
    <n v="9"/>
    <n v="7"/>
    <n v="1"/>
    <n v="11"/>
    <n v="2034"/>
    <n v="1190"/>
    <n v="2679"/>
    <n v="2946"/>
    <n v="0.37"/>
    <n v="0.49"/>
    <n v="0.16"/>
    <n v="0.09"/>
    <n v="0.91"/>
    <n v="0.97680000000000011"/>
    <n v="0.43"/>
    <n v="94"/>
    <n v="64"/>
    <n v="14"/>
    <n v="0.77226666666666677"/>
  </r>
  <r>
    <d v="2025-11-19T00:00:00"/>
    <x v="10"/>
    <x v="3"/>
    <x v="0"/>
    <n v="0.88"/>
    <n v="0.46"/>
    <n v="0.56000000000000005"/>
    <n v="6"/>
    <n v="29"/>
    <n v="7"/>
    <n v="6"/>
    <n v="9"/>
    <n v="11"/>
    <n v="9"/>
    <n v="2859"/>
    <n v="3361"/>
    <n v="1374"/>
    <n v="4765"/>
    <n v="0.39"/>
    <n v="0.9"/>
    <n v="0.46"/>
    <n v="0.04"/>
    <n v="0.89"/>
    <n v="0.87120000000000009"/>
    <n v="0.72"/>
    <n v="78"/>
    <n v="66"/>
    <n v="37"/>
    <n v="0.82706666666666673"/>
  </r>
  <r>
    <d v="2025-11-20T00:00:00"/>
    <x v="10"/>
    <x v="3"/>
    <x v="1"/>
    <n v="0.71"/>
    <n v="0.53"/>
    <n v="0.47"/>
    <n v="14"/>
    <n v="38"/>
    <n v="3"/>
    <n v="8"/>
    <n v="11"/>
    <n v="8"/>
    <n v="1"/>
    <n v="1846"/>
    <n v="3375"/>
    <n v="918"/>
    <n v="3712"/>
    <n v="0.85"/>
    <n v="0.57999999999999996"/>
    <n v="0.23"/>
    <n v="0.06"/>
    <n v="0.87"/>
    <n v="0.67320000000000002"/>
    <n v="0.87"/>
    <n v="80"/>
    <n v="63"/>
    <n v="35"/>
    <n v="0.80440000000000011"/>
  </r>
  <r>
    <d v="2025-11-21T00:00:00"/>
    <x v="10"/>
    <x v="3"/>
    <x v="2"/>
    <n v="0.88"/>
    <n v="0.38"/>
    <n v="0.42"/>
    <n v="33"/>
    <n v="6"/>
    <n v="7"/>
    <n v="2"/>
    <n v="4"/>
    <n v="6"/>
    <n v="7"/>
    <n v="1716"/>
    <n v="1766"/>
    <n v="283.5"/>
    <n v="2356"/>
    <n v="0.85"/>
    <n v="1.2"/>
    <n v="1.1200000000000001"/>
    <n v="0.06"/>
    <n v="0.79"/>
    <n v="0.59400000000000008"/>
    <n v="0.8"/>
    <n v="87"/>
    <n v="52"/>
    <n v="19"/>
    <n v="0.72800000000000009"/>
  </r>
  <r>
    <d v="2025-11-22T00:00:00"/>
    <x v="10"/>
    <x v="3"/>
    <x v="3"/>
    <n v="0.2"/>
    <n v="0.73"/>
    <n v="0.72"/>
    <n v="28"/>
    <n v="19"/>
    <n v="2"/>
    <n v="2"/>
    <n v="6"/>
    <n v="2"/>
    <n v="4"/>
    <n v="3198"/>
    <n v="345"/>
    <n v="63"/>
    <n v="5075"/>
    <n v="0.4"/>
    <n v="0.68"/>
    <n v="0.83"/>
    <n v="0.1"/>
    <n v="0.34200000000000003"/>
    <n v="0.22572000000000003"/>
    <n v="0.32850000000000001"/>
    <n v="97"/>
    <n v="51"/>
    <n v="33"/>
    <n v="0.29874000000000001"/>
  </r>
  <r>
    <d v="2025-11-23T00:00:00"/>
    <x v="10"/>
    <x v="3"/>
    <x v="4"/>
    <n v="0.41"/>
    <n v="0.55000000000000004"/>
    <n v="0.39"/>
    <n v="40"/>
    <n v="36"/>
    <n v="8"/>
    <n v="3"/>
    <n v="8"/>
    <n v="1"/>
    <n v="5"/>
    <n v="3699"/>
    <n v="1299"/>
    <n v="1876.5"/>
    <n v="6067"/>
    <n v="0.32"/>
    <n v="0.87"/>
    <n v="0.36"/>
    <n v="0.03"/>
    <n v="0.42299999999999999"/>
    <n v="0.19008000000000003"/>
    <n v="0.35550000000000004"/>
    <n v="96"/>
    <n v="73"/>
    <n v="42"/>
    <n v="0.32286000000000004"/>
  </r>
  <r>
    <d v="2025-11-24T00:00:00"/>
    <x v="10"/>
    <x v="4"/>
    <x v="5"/>
    <n v="0.85"/>
    <n v="0.7"/>
    <n v="0.72"/>
    <n v="25"/>
    <n v="11"/>
    <n v="12"/>
    <n v="2"/>
    <n v="2"/>
    <n v="12"/>
    <n v="5"/>
    <n v="1569"/>
    <n v="3366"/>
    <n v="2578.5"/>
    <n v="3702"/>
    <n v="0.82"/>
    <n v="0.64"/>
    <n v="1.0900000000000001"/>
    <n v="0.06"/>
    <n v="0.74"/>
    <n v="0.75239999999999996"/>
    <n v="0.75"/>
    <n v="93"/>
    <n v="78"/>
    <n v="23"/>
    <n v="0.74746666666666661"/>
  </r>
  <r>
    <d v="2025-11-25T00:00:00"/>
    <x v="10"/>
    <x v="4"/>
    <x v="6"/>
    <n v="0.66"/>
    <n v="0.72"/>
    <n v="0.87"/>
    <n v="6"/>
    <n v="16"/>
    <n v="2"/>
    <n v="11"/>
    <n v="9"/>
    <n v="6"/>
    <n v="12"/>
    <n v="2357"/>
    <n v="2124"/>
    <n v="85.5"/>
    <n v="3174"/>
    <n v="0.76"/>
    <n v="0.49"/>
    <n v="0.74"/>
    <n v="0.08"/>
    <n v="0.55000000000000004"/>
    <n v="0.68640000000000001"/>
    <n v="0.88"/>
    <n v="97"/>
    <n v="75"/>
    <n v="44"/>
    <n v="0.70546666666666669"/>
  </r>
  <r>
    <d v="2025-11-26T00:00:00"/>
    <x v="10"/>
    <x v="4"/>
    <x v="0"/>
    <n v="0.74"/>
    <n v="0.81"/>
    <n v="0.76"/>
    <n v="28"/>
    <n v="25"/>
    <n v="9"/>
    <n v="12"/>
    <n v="4"/>
    <n v="5"/>
    <n v="4"/>
    <n v="957"/>
    <n v="1359"/>
    <n v="1482"/>
    <n v="1630"/>
    <n v="1.21"/>
    <n v="0.55000000000000004"/>
    <n v="1.0900000000000001"/>
    <n v="0.02"/>
    <n v="0.5"/>
    <n v="0.51480000000000004"/>
    <n v="0.88"/>
    <n v="85"/>
    <n v="77"/>
    <n v="35"/>
    <n v="0.63160000000000005"/>
  </r>
  <r>
    <d v="2025-11-27T00:00:00"/>
    <x v="10"/>
    <x v="4"/>
    <x v="1"/>
    <n v="0.84"/>
    <n v="0.72"/>
    <n v="0.67"/>
    <n v="33"/>
    <n v="24"/>
    <n v="5"/>
    <n v="4"/>
    <n v="12"/>
    <n v="11"/>
    <n v="12"/>
    <n v="1143"/>
    <n v="2148"/>
    <n v="132"/>
    <n v="2362"/>
    <n v="0.19"/>
    <n v="0.25"/>
    <n v="0.84"/>
    <n v="0.05"/>
    <n v="0.45"/>
    <n v="0.96360000000000012"/>
    <n v="0.59"/>
    <n v="78"/>
    <n v="58"/>
    <n v="22"/>
    <n v="0.66786666666666672"/>
  </r>
  <r>
    <d v="2025-11-28T00:00:00"/>
    <x v="10"/>
    <x v="4"/>
    <x v="2"/>
    <n v="0.87"/>
    <n v="0.67"/>
    <n v="0.4"/>
    <n v="8"/>
    <n v="14"/>
    <n v="2"/>
    <n v="2"/>
    <n v="2"/>
    <n v="6"/>
    <n v="2"/>
    <n v="3672"/>
    <n v="999"/>
    <n v="330"/>
    <n v="5925"/>
    <n v="0.65"/>
    <n v="0.45"/>
    <n v="0.28999999999999998"/>
    <n v="0.05"/>
    <n v="0.61"/>
    <n v="0.5544"/>
    <n v="0.86"/>
    <n v="100"/>
    <n v="53"/>
    <n v="22"/>
    <n v="0.67479999999999996"/>
  </r>
  <r>
    <d v="2025-11-29T00:00:00"/>
    <x v="10"/>
    <x v="4"/>
    <x v="3"/>
    <n v="0.28000000000000003"/>
    <n v="0.74"/>
    <n v="0.35"/>
    <n v="9"/>
    <n v="36"/>
    <n v="8"/>
    <n v="4"/>
    <n v="7"/>
    <n v="2"/>
    <n v="2"/>
    <n v="276"/>
    <n v="1714"/>
    <n v="46.5"/>
    <n v="1885"/>
    <n v="0.42"/>
    <n v="0.75"/>
    <n v="0.28999999999999998"/>
    <n v="0.04"/>
    <n v="0.40500000000000003"/>
    <n v="0.32670000000000005"/>
    <n v="0.216"/>
    <n v="94"/>
    <n v="67"/>
    <n v="37"/>
    <n v="0.31590000000000001"/>
  </r>
  <r>
    <d v="2025-11-30T00:00:00"/>
    <x v="10"/>
    <x v="4"/>
    <x v="4"/>
    <n v="0.47"/>
    <n v="0.46"/>
    <n v="0.41"/>
    <n v="10"/>
    <n v="36"/>
    <n v="7"/>
    <n v="2"/>
    <n v="1"/>
    <n v="7"/>
    <n v="4"/>
    <n v="2515"/>
    <n v="529"/>
    <n v="1576.5"/>
    <n v="2850"/>
    <n v="0.6"/>
    <n v="0.16"/>
    <n v="0.34"/>
    <n v="0.08"/>
    <n v="0.23850000000000002"/>
    <n v="0.42768"/>
    <n v="0.22500000000000001"/>
    <n v="84"/>
    <n v="69"/>
    <n v="17"/>
    <n v="0.29705999999999999"/>
  </r>
  <r>
    <d v="2025-12-01T00:00:00"/>
    <x v="11"/>
    <x v="0"/>
    <x v="5"/>
    <n v="0.84"/>
    <n v="0.66"/>
    <n v="0.88"/>
    <n v="7"/>
    <n v="31"/>
    <n v="2"/>
    <n v="12"/>
    <n v="12"/>
    <n v="12"/>
    <n v="1"/>
    <n v="513"/>
    <n v="1284"/>
    <n v="603"/>
    <n v="1412"/>
    <n v="0.66"/>
    <n v="0.55000000000000004"/>
    <n v="1.04"/>
    <n v="0.03"/>
    <n v="0.67"/>
    <n v="0.99"/>
    <n v="0.57999999999999996"/>
    <n v="81"/>
    <n v="50"/>
    <n v="30"/>
    <n v="0.7466666666666667"/>
  </r>
  <r>
    <d v="2025-12-02T00:00:00"/>
    <x v="11"/>
    <x v="0"/>
    <x v="6"/>
    <n v="0.84"/>
    <n v="0.6"/>
    <n v="0.78"/>
    <n v="29"/>
    <n v="17"/>
    <n v="9"/>
    <n v="2"/>
    <n v="3"/>
    <n v="7"/>
    <n v="12"/>
    <n v="126"/>
    <n v="1867"/>
    <n v="1243.5"/>
    <n v="2053"/>
    <n v="0.64"/>
    <n v="0.31"/>
    <n v="0.95"/>
    <n v="0.03"/>
    <n v="0.54"/>
    <n v="0.80520000000000003"/>
    <n v="0.36"/>
    <n v="84"/>
    <n v="80"/>
    <n v="27"/>
    <n v="0.56840000000000002"/>
  </r>
  <r>
    <d v="2025-12-03T00:00:00"/>
    <x v="11"/>
    <x v="0"/>
    <x v="0"/>
    <n v="0.74"/>
    <n v="0.82"/>
    <n v="0.69"/>
    <n v="19"/>
    <n v="8"/>
    <n v="5"/>
    <n v="9"/>
    <n v="4"/>
    <n v="5"/>
    <n v="9"/>
    <n v="1349"/>
    <n v="1359"/>
    <n v="2350.5"/>
    <n v="2585"/>
    <n v="0.5"/>
    <n v="0.56000000000000005"/>
    <n v="0.19"/>
    <n v="0.08"/>
    <n v="0.87"/>
    <n v="0.46200000000000002"/>
    <n v="0.81"/>
    <n v="95"/>
    <n v="74"/>
    <n v="13"/>
    <n v="0.71400000000000008"/>
  </r>
  <r>
    <d v="2025-12-04T00:00:00"/>
    <x v="11"/>
    <x v="0"/>
    <x v="1"/>
    <n v="0.72"/>
    <n v="0.74"/>
    <n v="0.65"/>
    <n v="13"/>
    <n v="7"/>
    <n v="11"/>
    <n v="3"/>
    <n v="12"/>
    <n v="11"/>
    <n v="9"/>
    <n v="3606"/>
    <n v="340"/>
    <n v="1383"/>
    <n v="3751"/>
    <n v="0.27"/>
    <n v="1.1000000000000001"/>
    <n v="0.56999999999999995"/>
    <n v="0.06"/>
    <n v="0.63"/>
    <n v="0.72600000000000009"/>
    <n v="0.87"/>
    <n v="81"/>
    <n v="73"/>
    <n v="27"/>
    <n v="0.74199999999999999"/>
  </r>
  <r>
    <d v="2025-12-05T00:00:00"/>
    <x v="11"/>
    <x v="0"/>
    <x v="2"/>
    <n v="0.75"/>
    <n v="0.81"/>
    <n v="0.47"/>
    <n v="37"/>
    <n v="27"/>
    <n v="6"/>
    <n v="8"/>
    <n v="2"/>
    <n v="3"/>
    <n v="4"/>
    <n v="861"/>
    <n v="207"/>
    <n v="1806"/>
    <n v="1986"/>
    <n v="0.61"/>
    <n v="0.28999999999999998"/>
    <n v="0.69"/>
    <n v="7.0000000000000007E-2"/>
    <n v="0.55000000000000004"/>
    <n v="0.72600000000000009"/>
    <n v="0.71"/>
    <n v="97"/>
    <n v="50"/>
    <n v="12"/>
    <n v="0.66200000000000003"/>
  </r>
  <r>
    <d v="2025-12-06T00:00:00"/>
    <x v="11"/>
    <x v="0"/>
    <x v="3"/>
    <n v="0.36"/>
    <n v="0.71"/>
    <n v="0.79"/>
    <n v="5"/>
    <n v="13"/>
    <n v="2"/>
    <n v="2"/>
    <n v="2"/>
    <n v="4"/>
    <n v="8"/>
    <n v="585"/>
    <n v="2830"/>
    <n v="2017.5"/>
    <n v="3113"/>
    <n v="1.1100000000000001"/>
    <n v="0.34"/>
    <n v="0.76"/>
    <n v="0.05"/>
    <n v="0.35100000000000003"/>
    <n v="0.41580000000000006"/>
    <n v="0.26550000000000001"/>
    <n v="93"/>
    <n v="69"/>
    <n v="13"/>
    <n v="0.34410000000000007"/>
  </r>
  <r>
    <d v="2025-12-07T00:00:00"/>
    <x v="11"/>
    <x v="0"/>
    <x v="4"/>
    <n v="0.37"/>
    <n v="0.36"/>
    <n v="0.88"/>
    <n v="15"/>
    <n v="15"/>
    <n v="6"/>
    <n v="2"/>
    <n v="4"/>
    <n v="5"/>
    <n v="4"/>
    <n v="114"/>
    <n v="2988"/>
    <n v="2386.5"/>
    <n v="3286"/>
    <n v="0.16"/>
    <n v="0.31"/>
    <n v="0.25"/>
    <n v="0.01"/>
    <n v="0.26100000000000001"/>
    <n v="0.35640000000000005"/>
    <n v="0.30600000000000005"/>
    <n v="85"/>
    <n v="62"/>
    <n v="45"/>
    <n v="0.30780000000000002"/>
  </r>
  <r>
    <d v="2025-12-08T00:00:00"/>
    <x v="11"/>
    <x v="1"/>
    <x v="5"/>
    <n v="0.72"/>
    <n v="0.64"/>
    <n v="0.38"/>
    <n v="25"/>
    <n v="38"/>
    <n v="9"/>
    <n v="5"/>
    <n v="8"/>
    <n v="12"/>
    <n v="6"/>
    <n v="1433"/>
    <n v="708"/>
    <n v="1770"/>
    <n v="1947"/>
    <n v="0.86"/>
    <n v="0.92"/>
    <n v="0.59"/>
    <n v="0.03"/>
    <n v="0.79"/>
    <n v="0.66"/>
    <n v="0.5"/>
    <n v="93"/>
    <n v="68"/>
    <n v="36"/>
    <n v="0.65"/>
  </r>
  <r>
    <d v="2025-12-09T00:00:00"/>
    <x v="11"/>
    <x v="1"/>
    <x v="6"/>
    <n v="0.86"/>
    <n v="0.82"/>
    <n v="0.55000000000000004"/>
    <n v="24"/>
    <n v="23"/>
    <n v="9"/>
    <n v="2"/>
    <n v="8"/>
    <n v="2"/>
    <n v="6"/>
    <n v="1838"/>
    <n v="1647"/>
    <n v="2079"/>
    <n v="2598"/>
    <n v="1.05"/>
    <n v="0.8"/>
    <n v="0.18"/>
    <n v="0.08"/>
    <n v="0.9"/>
    <n v="0.58080000000000009"/>
    <n v="0.7"/>
    <n v="100"/>
    <n v="63"/>
    <n v="45"/>
    <n v="0.72693333333333332"/>
  </r>
  <r>
    <d v="2025-12-10T00:00:00"/>
    <x v="11"/>
    <x v="1"/>
    <x v="0"/>
    <n v="0.97"/>
    <n v="0.79"/>
    <n v="0.66"/>
    <n v="22"/>
    <n v="9"/>
    <n v="11"/>
    <n v="2"/>
    <n v="8"/>
    <n v="8"/>
    <n v="8"/>
    <n v="1722"/>
    <n v="1030"/>
    <n v="573"/>
    <n v="2274"/>
    <n v="1.22"/>
    <n v="1.1100000000000001"/>
    <n v="0.4"/>
    <n v="7.0000000000000007E-2"/>
    <n v="0.55000000000000004"/>
    <n v="0.91080000000000005"/>
    <n v="0.64"/>
    <n v="100"/>
    <n v="71"/>
    <n v="22"/>
    <n v="0.7002666666666667"/>
  </r>
  <r>
    <d v="2025-12-11T00:00:00"/>
    <x v="11"/>
    <x v="1"/>
    <x v="1"/>
    <n v="0.76"/>
    <n v="0.77"/>
    <n v="0.63"/>
    <n v="24"/>
    <n v="14"/>
    <n v="7"/>
    <n v="2"/>
    <n v="1"/>
    <n v="1"/>
    <n v="7"/>
    <n v="90"/>
    <n v="2412"/>
    <n v="1089"/>
    <n v="2653"/>
    <n v="0.91"/>
    <n v="0.49"/>
    <n v="0.55000000000000004"/>
    <n v="0.02"/>
    <n v="0.68"/>
    <n v="0.73920000000000008"/>
    <n v="0.69"/>
    <n v="95"/>
    <n v="61"/>
    <n v="26"/>
    <n v="0.70306666666666662"/>
  </r>
  <r>
    <d v="2025-12-12T00:00:00"/>
    <x v="11"/>
    <x v="1"/>
    <x v="2"/>
    <n v="0.69"/>
    <n v="0.54"/>
    <n v="0.76"/>
    <n v="26"/>
    <n v="26"/>
    <n v="7"/>
    <n v="3"/>
    <n v="2"/>
    <n v="2"/>
    <n v="6"/>
    <n v="957"/>
    <n v="2469"/>
    <n v="850.5"/>
    <n v="2715"/>
    <n v="0.22"/>
    <n v="1"/>
    <n v="0.21"/>
    <n v="0.08"/>
    <n v="0.88"/>
    <n v="0.50160000000000005"/>
    <n v="0.87"/>
    <n v="91"/>
    <n v="65"/>
    <n v="38"/>
    <n v="0.75053333333333339"/>
  </r>
  <r>
    <d v="2025-12-13T00:00:00"/>
    <x v="11"/>
    <x v="1"/>
    <x v="3"/>
    <n v="0.12"/>
    <n v="0.52"/>
    <n v="0.77"/>
    <n v="29"/>
    <n v="27"/>
    <n v="4"/>
    <n v="3"/>
    <n v="7"/>
    <n v="5"/>
    <n v="7"/>
    <n v="2451"/>
    <n v="2320"/>
    <n v="2641.5"/>
    <n v="3497"/>
    <n v="0.48"/>
    <n v="1.01"/>
    <n v="0.38"/>
    <n v="0.05"/>
    <n v="0.41400000000000003"/>
    <n v="0.26730000000000004"/>
    <n v="0.29700000000000004"/>
    <n v="100"/>
    <n v="73"/>
    <n v="15"/>
    <n v="0.3261"/>
  </r>
  <r>
    <d v="2025-12-14T00:00:00"/>
    <x v="11"/>
    <x v="1"/>
    <x v="4"/>
    <n v="0.13"/>
    <n v="0.8"/>
    <n v="0.78"/>
    <n v="27"/>
    <n v="38"/>
    <n v="6"/>
    <n v="2"/>
    <n v="2"/>
    <n v="2"/>
    <n v="4"/>
    <n v="1713"/>
    <n v="1204"/>
    <n v="1102.5"/>
    <n v="2398"/>
    <n v="0.56999999999999995"/>
    <n v="0.42"/>
    <n v="0.92"/>
    <n v="0.06"/>
    <n v="0.22500000000000001"/>
    <n v="0.28511999999999998"/>
    <n v="0.16200000000000001"/>
    <n v="90"/>
    <n v="75"/>
    <n v="21"/>
    <n v="0.22404000000000002"/>
  </r>
  <r>
    <d v="2025-12-15T00:00:00"/>
    <x v="11"/>
    <x v="2"/>
    <x v="5"/>
    <n v="0.82"/>
    <n v="0.64"/>
    <n v="0.54"/>
    <n v="5"/>
    <n v="26"/>
    <n v="7"/>
    <n v="9"/>
    <n v="12"/>
    <n v="3"/>
    <n v="12"/>
    <n v="361"/>
    <n v="1941"/>
    <n v="2413.5"/>
    <n v="2654"/>
    <n v="0.63"/>
    <n v="0.6"/>
    <n v="1.07"/>
    <n v="0.03"/>
    <n v="0.93"/>
    <n v="0.64680000000000004"/>
    <n v="0.55000000000000004"/>
    <n v="82"/>
    <n v="54"/>
    <n v="40"/>
    <n v="0.70893333333333342"/>
  </r>
  <r>
    <d v="2025-12-16T00:00:00"/>
    <x v="11"/>
    <x v="2"/>
    <x v="6"/>
    <n v="0.83"/>
    <n v="0.79"/>
    <n v="0.37"/>
    <n v="15"/>
    <n v="35"/>
    <n v="2"/>
    <n v="2"/>
    <n v="5"/>
    <n v="2"/>
    <n v="2"/>
    <n v="1290"/>
    <n v="869"/>
    <n v="2503.5"/>
    <n v="2753"/>
    <n v="0.55000000000000004"/>
    <n v="0.65"/>
    <n v="0.23"/>
    <n v="0.01"/>
    <n v="0.91"/>
    <n v="0.76560000000000006"/>
    <n v="0.54"/>
    <n v="88"/>
    <n v="54"/>
    <n v="16"/>
    <n v="0.73853333333333337"/>
  </r>
  <r>
    <d v="2025-12-17T00:00:00"/>
    <x v="11"/>
    <x v="2"/>
    <x v="0"/>
    <n v="0.71"/>
    <n v="0.77"/>
    <n v="0.43"/>
    <n v="31"/>
    <n v="32"/>
    <n v="11"/>
    <n v="11"/>
    <n v="12"/>
    <n v="2"/>
    <n v="4"/>
    <n v="568"/>
    <n v="876"/>
    <n v="328.5"/>
    <n v="963"/>
    <n v="0.22"/>
    <n v="0.6"/>
    <n v="0.76"/>
    <n v="0.06"/>
    <n v="0.86"/>
    <n v="0.40920000000000001"/>
    <n v="0.5"/>
    <n v="98"/>
    <n v="66"/>
    <n v="18"/>
    <n v="0.58973333333333333"/>
  </r>
  <r>
    <d v="2025-12-18T00:00:00"/>
    <x v="11"/>
    <x v="2"/>
    <x v="1"/>
    <n v="0.7"/>
    <n v="0.57999999999999996"/>
    <n v="0.63"/>
    <n v="33"/>
    <n v="12"/>
    <n v="2"/>
    <n v="3"/>
    <n v="3"/>
    <n v="2"/>
    <n v="12"/>
    <n v="453"/>
    <n v="1051"/>
    <n v="481.5"/>
    <n v="1156"/>
    <n v="1.21"/>
    <n v="0.77"/>
    <n v="0.86"/>
    <n v="0.03"/>
    <n v="0.88"/>
    <n v="0.88440000000000007"/>
    <n v="0.9"/>
    <n v="79"/>
    <n v="54"/>
    <n v="22"/>
    <n v="0.88813333333333333"/>
  </r>
  <r>
    <d v="2025-12-19T00:00:00"/>
    <x v="11"/>
    <x v="2"/>
    <x v="2"/>
    <n v="0.82"/>
    <n v="0.71"/>
    <n v="0.39"/>
    <n v="5"/>
    <n v="33"/>
    <n v="2"/>
    <n v="1"/>
    <n v="4"/>
    <n v="5"/>
    <n v="8"/>
    <n v="3018"/>
    <n v="2300"/>
    <n v="496.5"/>
    <n v="4587"/>
    <n v="1.04"/>
    <n v="0.81"/>
    <n v="0.47"/>
    <n v="7.0000000000000007E-2"/>
    <n v="0.7"/>
    <n v="0.96360000000000012"/>
    <n v="0.47"/>
    <n v="93"/>
    <n v="56"/>
    <n v="32"/>
    <n v="0.71120000000000017"/>
  </r>
  <r>
    <d v="2025-12-20T00:00:00"/>
    <x v="11"/>
    <x v="2"/>
    <x v="3"/>
    <n v="0.13"/>
    <n v="0.68"/>
    <n v="0.87"/>
    <n v="38"/>
    <n v="5"/>
    <n v="4"/>
    <n v="2"/>
    <n v="2"/>
    <n v="7"/>
    <n v="2"/>
    <n v="3440"/>
    <n v="198"/>
    <n v="478.5"/>
    <n v="6421"/>
    <n v="0.63"/>
    <n v="0.56999999999999995"/>
    <n v="0.7"/>
    <n v="0.04"/>
    <n v="0.26550000000000001"/>
    <n v="0.29700000000000004"/>
    <n v="0.26100000000000001"/>
    <n v="92"/>
    <n v="58"/>
    <n v="32"/>
    <n v="0.27450000000000002"/>
  </r>
  <r>
    <d v="2025-12-21T00:00:00"/>
    <x v="11"/>
    <x v="2"/>
    <x v="4"/>
    <n v="0.26"/>
    <n v="0.74"/>
    <n v="0.79"/>
    <n v="13"/>
    <n v="31"/>
    <n v="2"/>
    <n v="6"/>
    <n v="8"/>
    <n v="2"/>
    <n v="2"/>
    <n v="874"/>
    <n v="2577"/>
    <n v="1908"/>
    <n v="2834"/>
    <n v="1.1599999999999999"/>
    <n v="0.19"/>
    <n v="1.1399999999999999"/>
    <n v="0.1"/>
    <n v="0.27450000000000002"/>
    <n v="0.34451999999999999"/>
    <n v="0.20700000000000002"/>
    <n v="98"/>
    <n v="70"/>
    <n v="33"/>
    <n v="0.27533999999999997"/>
  </r>
  <r>
    <d v="2025-12-22T00:00:00"/>
    <x v="11"/>
    <x v="3"/>
    <x v="5"/>
    <n v="0.87"/>
    <n v="0.61"/>
    <n v="0.73"/>
    <n v="39"/>
    <n v="15"/>
    <n v="8"/>
    <n v="12"/>
    <n v="2"/>
    <n v="2"/>
    <n v="8"/>
    <n v="2127"/>
    <n v="3209"/>
    <n v="474"/>
    <n v="3529"/>
    <n v="1.25"/>
    <n v="1.06"/>
    <n v="1.1000000000000001"/>
    <n v="0.1"/>
    <n v="0.49"/>
    <n v="0.79200000000000004"/>
    <n v="0.41"/>
    <n v="91"/>
    <n v="63"/>
    <n v="17"/>
    <n v="0.56399999999999995"/>
  </r>
  <r>
    <d v="2025-12-23T00:00:00"/>
    <x v="11"/>
    <x v="3"/>
    <x v="6"/>
    <n v="0.75"/>
    <n v="0.45"/>
    <n v="0.88"/>
    <n v="7"/>
    <n v="18"/>
    <n v="2"/>
    <n v="9"/>
    <n v="3"/>
    <n v="8"/>
    <n v="5"/>
    <n v="102"/>
    <n v="1560"/>
    <n v="1107"/>
    <n v="1716"/>
    <n v="0.44"/>
    <n v="0.42"/>
    <n v="0.25"/>
    <n v="0.09"/>
    <n v="0.53"/>
    <n v="0.62039999999999995"/>
    <n v="0.39"/>
    <n v="83"/>
    <n v="57"/>
    <n v="27"/>
    <n v="0.51346666666666663"/>
  </r>
  <r>
    <d v="2025-12-24T00:00:00"/>
    <x v="11"/>
    <x v="3"/>
    <x v="0"/>
    <n v="0.63"/>
    <n v="0.41"/>
    <n v="0.39"/>
    <n v="7"/>
    <n v="33"/>
    <n v="9"/>
    <n v="2"/>
    <n v="2"/>
    <n v="1"/>
    <n v="6"/>
    <n v="473"/>
    <n v="1929"/>
    <n v="775.5"/>
    <n v="2121"/>
    <n v="0.98"/>
    <n v="0.76"/>
    <n v="0.97"/>
    <n v="0.06"/>
    <n v="0.7"/>
    <n v="0.77880000000000005"/>
    <n v="0.73"/>
    <n v="90"/>
    <n v="55"/>
    <n v="25"/>
    <n v="0.73626666666666674"/>
  </r>
  <r>
    <d v="2025-12-25T00:00:00"/>
    <x v="11"/>
    <x v="3"/>
    <x v="1"/>
    <n v="0.61"/>
    <n v="0.59"/>
    <n v="0.49"/>
    <n v="39"/>
    <n v="21"/>
    <n v="1"/>
    <n v="3"/>
    <n v="9"/>
    <n v="1"/>
    <n v="9"/>
    <n v="509"/>
    <n v="288"/>
    <n v="1287"/>
    <n v="1415"/>
    <n v="1.1599999999999999"/>
    <n v="0.7"/>
    <n v="0.65"/>
    <n v="0.08"/>
    <n v="0.82"/>
    <n v="0.67320000000000002"/>
    <n v="0.49"/>
    <n v="97"/>
    <n v="55"/>
    <n v="21"/>
    <n v="0.66106666666666658"/>
  </r>
  <r>
    <d v="2025-12-26T00:00:00"/>
    <x v="11"/>
    <x v="3"/>
    <x v="2"/>
    <n v="0.79"/>
    <n v="0.72"/>
    <n v="0.48"/>
    <n v="32"/>
    <n v="29"/>
    <n v="2"/>
    <n v="7"/>
    <n v="8"/>
    <n v="2"/>
    <n v="7"/>
    <n v="2823"/>
    <n v="3183"/>
    <n v="946.5"/>
    <n v="3274"/>
    <n v="0.24"/>
    <n v="1.17"/>
    <n v="1.1299999999999999"/>
    <n v="0.01"/>
    <n v="0.91"/>
    <n v="0.87120000000000009"/>
    <n v="0.71"/>
    <n v="97"/>
    <n v="51"/>
    <n v="27"/>
    <n v="0.83040000000000003"/>
  </r>
  <r>
    <d v="2025-12-27T00:00:00"/>
    <x v="11"/>
    <x v="3"/>
    <x v="3"/>
    <n v="0.13"/>
    <n v="0.61"/>
    <n v="0.55000000000000004"/>
    <n v="5"/>
    <n v="5"/>
    <n v="8"/>
    <n v="1"/>
    <n v="3"/>
    <n v="4"/>
    <n v="2"/>
    <n v="2490"/>
    <n v="1614"/>
    <n v="1489.5"/>
    <n v="3387"/>
    <n v="0.56999999999999995"/>
    <n v="0.61"/>
    <n v="1.02"/>
    <n v="0.02"/>
    <n v="0.27450000000000002"/>
    <n v="0.30888000000000004"/>
    <n v="0.40500000000000003"/>
    <n v="99"/>
    <n v="52"/>
    <n v="39"/>
    <n v="0.32946000000000003"/>
  </r>
  <r>
    <d v="2025-12-28T00:00:00"/>
    <x v="11"/>
    <x v="3"/>
    <x v="4"/>
    <n v="0.23"/>
    <n v="0.78"/>
    <n v="0.83"/>
    <n v="26"/>
    <n v="19"/>
    <n v="4"/>
    <n v="5"/>
    <n v="7"/>
    <n v="1"/>
    <n v="2"/>
    <n v="313"/>
    <n v="569"/>
    <n v="108"/>
    <n v="625"/>
    <n v="0.56000000000000005"/>
    <n v="0.84"/>
    <n v="0.88"/>
    <n v="0.03"/>
    <n v="0.26550000000000001"/>
    <n v="0.39798000000000011"/>
    <n v="0.26550000000000001"/>
    <n v="94"/>
    <n v="67"/>
    <n v="20"/>
    <n v="0.30966000000000005"/>
  </r>
  <r>
    <d v="2025-12-29T00:00:00"/>
    <x v="11"/>
    <x v="4"/>
    <x v="5"/>
    <n v="0.89"/>
    <n v="0.56000000000000005"/>
    <n v="0.79"/>
    <n v="11"/>
    <n v="40"/>
    <n v="12"/>
    <n v="12"/>
    <n v="2"/>
    <n v="4"/>
    <n v="9"/>
    <n v="2901"/>
    <n v="1244"/>
    <n v="1858.5"/>
    <n v="3559"/>
    <n v="0.63"/>
    <n v="0.3"/>
    <n v="0.44"/>
    <n v="0.1"/>
    <n v="0.95"/>
    <n v="0.64680000000000004"/>
    <n v="0.64"/>
    <n v="90"/>
    <n v="56"/>
    <n v="38"/>
    <n v="0.74560000000000004"/>
  </r>
  <r>
    <d v="2025-12-30T00:00:00"/>
    <x v="11"/>
    <x v="4"/>
    <x v="6"/>
    <n v="0.62"/>
    <n v="0.52"/>
    <n v="0.78"/>
    <n v="16"/>
    <n v="13"/>
    <n v="11"/>
    <n v="8"/>
    <n v="6"/>
    <n v="5"/>
    <n v="1"/>
    <n v="2141"/>
    <n v="1784"/>
    <n v="1935"/>
    <n v="3026"/>
    <n v="0.59"/>
    <n v="0.76"/>
    <n v="0.62"/>
    <n v="0.1"/>
    <n v="0.8"/>
    <n v="0.87120000000000009"/>
    <n v="0.42"/>
    <n v="97"/>
    <n v="70"/>
    <n v="41"/>
    <n v="0.69706666666666672"/>
  </r>
  <r>
    <d v="2025-12-31T00:00:00"/>
    <x v="11"/>
    <x v="4"/>
    <x v="0"/>
    <n v="0.86"/>
    <n v="0.55000000000000004"/>
    <n v="0.82"/>
    <n v="33"/>
    <n v="13"/>
    <n v="12"/>
    <n v="5"/>
    <n v="2"/>
    <n v="2"/>
    <n v="11"/>
    <n v="642"/>
    <n v="304"/>
    <n v="1887"/>
    <n v="2075"/>
    <n v="1.1100000000000001"/>
    <n v="0.6"/>
    <n v="0.54"/>
    <n v="7.0000000000000007E-2"/>
    <n v="0.51"/>
    <n v="0.5676000000000001"/>
    <n v="0.6"/>
    <n v="90"/>
    <n v="57"/>
    <n v="39"/>
    <n v="0.5592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848FC4-41E5-4CE8-91FE-8342C0C73F15}" name="PivotTable1"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K25" firstHeaderRow="0" firstDataRow="1" firstDataCol="1" rowPageCount="1" colPageCount="1"/>
  <pivotFields count="29">
    <pivotField numFmtId="14" showAll="0"/>
    <pivotField axis="axisPage" multipleItemSelectionAllowed="1" showAll="0">
      <items count="13">
        <item x="0"/>
        <item x="1"/>
        <item x="2"/>
        <item x="3"/>
        <item x="4"/>
        <item x="5"/>
        <item x="6"/>
        <item x="7"/>
        <item x="8"/>
        <item x="9"/>
        <item x="10"/>
        <item x="11"/>
        <item t="default"/>
      </items>
    </pivotField>
    <pivotField showAll="0">
      <items count="7">
        <item x="0"/>
        <item x="1"/>
        <item x="2"/>
        <item x="3"/>
        <item x="4"/>
        <item x="5"/>
        <item t="default"/>
      </items>
    </pivotField>
    <pivotField axis="axisRow" showAll="0">
      <items count="8">
        <item x="4"/>
        <item x="5"/>
        <item x="6"/>
        <item x="0"/>
        <item x="1"/>
        <item x="2"/>
        <item x="3"/>
        <item t="default"/>
      </items>
    </pivotField>
    <pivotField numFmtId="9" showAll="0"/>
    <pivotField numFmtId="9" showAll="0"/>
    <pivotField numFmtId="9"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numFmtId="9" showAll="0"/>
    <pivotField numFmtId="9" showAll="0"/>
    <pivotField numFmtId="9" showAll="0"/>
    <pivotField numFmtId="9" showAll="0"/>
    <pivotField numFmtId="9" showAll="0"/>
    <pivotField numFmtId="9" showAll="0"/>
    <pivotField numFmtId="9" showAll="0"/>
    <pivotField dataField="1" showAll="0"/>
    <pivotField dataField="1" showAll="0"/>
    <pivotField dataField="1" showAll="0"/>
    <pivotField numFmtId="9" showAll="0"/>
  </pivotFields>
  <rowFields count="1">
    <field x="3"/>
  </rowFields>
  <rowItems count="8">
    <i>
      <x/>
    </i>
    <i>
      <x v="1"/>
    </i>
    <i>
      <x v="2"/>
    </i>
    <i>
      <x v="3"/>
    </i>
    <i>
      <x v="4"/>
    </i>
    <i>
      <x v="5"/>
    </i>
    <i>
      <x v="6"/>
    </i>
    <i t="grand">
      <x/>
    </i>
  </rowItems>
  <colFields count="1">
    <field x="-2"/>
  </colFields>
  <colItems count="10">
    <i>
      <x/>
    </i>
    <i i="1">
      <x v="1"/>
    </i>
    <i i="2">
      <x v="2"/>
    </i>
    <i i="3">
      <x v="3"/>
    </i>
    <i i="4">
      <x v="4"/>
    </i>
    <i i="5">
      <x v="5"/>
    </i>
    <i i="6">
      <x v="6"/>
    </i>
    <i i="7">
      <x v="7"/>
    </i>
    <i i="8">
      <x v="8"/>
    </i>
    <i i="9">
      <x v="9"/>
    </i>
  </colItems>
  <pageFields count="1">
    <pageField fld="1" hier="-1"/>
  </pageFields>
  <dataFields count="10">
    <dataField name="Sum of Vacancies" fld="7" baseField="0" baseItem="0"/>
    <dataField name="Sum of Resumes" fld="8" baseField="0" baseItem="0"/>
    <dataField name="Sum of Recruiter 1" fld="9" baseField="0" baseItem="0"/>
    <dataField name="Sum of Recruiter 2" fld="10" baseField="0" baseItem="0"/>
    <dataField name="Sum of Recruiter 3" fld="11" baseField="0" baseItem="0"/>
    <dataField name="Sum of Recruiter 4" fld="12" baseField="0" baseItem="0"/>
    <dataField name="Sum of Recruiter 5" fld="13" baseField="0" baseItem="0"/>
    <dataField name="Sum of Rang 1" fld="25" baseField="0" baseItem="0"/>
    <dataField name="Sum of Rang 2" fld="26" baseField="0" baseItem="0"/>
    <dataField name="Sum of Rang 3"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76E81E-572A-4589-BD6B-C8DB40729C4C}" name="PivotTable3"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P11" firstHeaderRow="0" firstDataRow="1" firstDataCol="1" rowPageCount="1" colPageCount="1"/>
  <pivotFields count="29">
    <pivotField numFmtId="14" showAll="0"/>
    <pivotField axis="axisPage" multipleItemSelectionAllowed="1" showAll="0">
      <items count="13">
        <item x="0"/>
        <item x="1"/>
        <item x="2"/>
        <item x="3"/>
        <item x="4"/>
        <item x="5"/>
        <item x="6"/>
        <item x="7"/>
        <item x="8"/>
        <item x="9"/>
        <item x="10"/>
        <item x="11"/>
        <item t="default"/>
      </items>
    </pivotField>
    <pivotField showAll="0">
      <items count="7">
        <item x="0"/>
        <item x="1"/>
        <item x="2"/>
        <item x="3"/>
        <item x="4"/>
        <item x="5"/>
        <item t="default"/>
      </items>
    </pivotField>
    <pivotField axis="axisRow" showAll="0">
      <items count="8">
        <item x="4"/>
        <item x="5"/>
        <item x="6"/>
        <item x="0"/>
        <item x="1"/>
        <item x="2"/>
        <item x="3"/>
        <item t="default"/>
      </items>
    </pivotField>
    <pivotField dataField="1" numFmtId="9" showAll="0"/>
    <pivotField dataField="1" numFmtId="9" showAll="0"/>
    <pivotField dataField="1" numFmtId="9"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showAll="0"/>
    <pivotField showAll="0"/>
    <pivotField showAll="0"/>
    <pivotField dataField="1" numFmtId="9" showAll="0"/>
  </pivotFields>
  <rowFields count="1">
    <field x="3"/>
  </rowFields>
  <rowItems count="8">
    <i>
      <x/>
    </i>
    <i>
      <x v="1"/>
    </i>
    <i>
      <x v="2"/>
    </i>
    <i>
      <x v="3"/>
    </i>
    <i>
      <x v="4"/>
    </i>
    <i>
      <x v="5"/>
    </i>
    <i>
      <x v="6"/>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1" hier="-1"/>
  </pageFields>
  <dataFields count="15">
    <dataField name="Average of PRESENCE" fld="4" subtotal="average" baseField="3" baseItem="0"/>
    <dataField name="Average of EER" fld="5" subtotal="average" baseField="3" baseItem="0"/>
    <dataField name="Average of ESR" fld="6" subtotal="average" baseField="3" baseItem="0"/>
    <dataField name="Sum of Top-1" fld="14" baseField="0" baseItem="0"/>
    <dataField name="Sum of Top-2" fld="15" baseField="0" baseItem="0"/>
    <dataField name="Sum of Top-3" fld="16" baseField="0" baseItem="0"/>
    <dataField name="Sum of Sales Plan" fld="17" baseField="0" baseItem="0"/>
    <dataField name="Average of KPI 1" fld="18" subtotal="average" baseField="3" baseItem="0"/>
    <dataField name="Average of KPI 2" fld="19" subtotal="average" baseField="3" baseItem="0"/>
    <dataField name="Average of KPI 3" fld="20" subtotal="average" baseField="3" baseItem="0"/>
    <dataField name="Average of Loss of  Working Time" fld="21" subtotal="average" baseField="3" baseItem="0"/>
    <dataField name="Average of General Productivity" fld="28" subtotal="average" baseField="3" baseItem="0"/>
    <dataField name="Average of Filling Vacancies" fld="22" subtotal="average" baseField="3" baseItem="0"/>
    <dataField name="Average of Adaptation" fld="23" subtotal="average" baseField="3" baseItem="0"/>
    <dataField name="Average of Education" fld="2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30F20846-4304-43FA-B185-547621904EC6}" sourceName="Day">
  <pivotTables>
    <pivotTable tabId="5" name="PivotTable3"/>
  </pivotTables>
  <data>
    <tabular pivotCacheId="2139292716">
      <items count="7">
        <i x="4" s="1"/>
        <i x="5" s="1"/>
        <i x="6" s="1"/>
        <i x="0" s="1"/>
        <i x="1"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FB64A168-77F4-4E90-AA17-287BC1FA1ED8}" sourceName="Week">
  <pivotTables>
    <pivotTable tabId="5" name="PivotTable3"/>
    <pivotTable tabId="5" name="PivotTable1"/>
  </pivotTables>
  <data>
    <tabular pivotCacheId="2139292716">
      <items count="6">
        <i x="0" s="1"/>
        <i x="1" s="1"/>
        <i x="2" s="1"/>
        <i x="3" s="1"/>
        <i x="4"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E356694-DE06-4BEC-8DF3-4AAD3D398D24}" sourceName="Month">
  <pivotTables>
    <pivotTable tabId="5" name="PivotTable1"/>
    <pivotTable tabId="5" name="PivotTable3"/>
  </pivotTables>
  <data>
    <tabular pivotCacheId="213929271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B1AF5E27-747F-4012-88B5-56E20B9057A0}" cache="Slicer_Day" caption="Day" style="SlicerStyleLight1 2" rowHeight="247650"/>
  <slicer name="Week" xr10:uid="{A3BA1A18-7CD8-48B5-866F-95FF01350832}" cache="Slicer_Week" caption="Week" columnCount="3" style="SlicerStyleLight1 2" rowHeight="247650"/>
  <slicer name="Month" xr10:uid="{851FFA78-CC4C-48F0-8582-A21162E6C043}" cache="Slicer_Month" caption="Month" columnCount="2"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7FC2-7F4D-43CC-8EA4-F2DAF980F68C}">
  <dimension ref="A1"/>
  <sheetViews>
    <sheetView showRowColHeaders="0" tabSelected="1" zoomScale="80" zoomScaleNormal="80" workbookViewId="0"/>
  </sheetViews>
  <sheetFormatPr defaultColWidth="8.85546875" defaultRowHeight="15" x14ac:dyDescent="0.25"/>
  <cols>
    <col min="1" max="16384" width="8.85546875" style="2"/>
  </cols>
  <sheetData>
    <row r="1" ht="56.4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B4AF-F5C0-486E-AA89-22C311FF2B18}">
  <dimension ref="A1:T100"/>
  <sheetViews>
    <sheetView zoomScale="115" zoomScaleNormal="115" workbookViewId="0"/>
  </sheetViews>
  <sheetFormatPr defaultRowHeight="15" x14ac:dyDescent="0.25"/>
  <cols>
    <col min="1" max="4" width="8.85546875" style="3"/>
  </cols>
  <sheetData>
    <row r="1" spans="1:20" x14ac:dyDescent="0.25">
      <c r="A1" s="3" t="str">
        <f>IF(ROW()&lt;=ROUND($D$2*100,0),"",$C$2)</f>
        <v/>
      </c>
      <c r="B1" s="3" t="str">
        <f>IF(ROW()&lt;=ROUND($D$2*100,0),$C$2,"")</f>
        <v>█</v>
      </c>
      <c r="C1" s="3" t="s">
        <v>1</v>
      </c>
      <c r="D1" s="15" t="s">
        <v>28</v>
      </c>
      <c r="E1" s="15" t="s">
        <v>27</v>
      </c>
      <c r="I1" t="s">
        <v>12</v>
      </c>
      <c r="K1" s="19" t="s">
        <v>44</v>
      </c>
      <c r="L1" s="3" t="s">
        <v>73</v>
      </c>
      <c r="M1" s="3" t="s">
        <v>72</v>
      </c>
      <c r="N1" s="3" t="s">
        <v>71</v>
      </c>
      <c r="O1" s="3" t="s">
        <v>114</v>
      </c>
      <c r="P1" s="3" t="s">
        <v>115</v>
      </c>
      <c r="Q1" s="3" t="s">
        <v>116</v>
      </c>
      <c r="R1" t="s">
        <v>3</v>
      </c>
      <c r="S1" s="3" t="s">
        <v>17</v>
      </c>
    </row>
    <row r="2" spans="1:20" x14ac:dyDescent="0.25">
      <c r="A2" s="3" t="str">
        <f t="shared" ref="A2:A65" si="0">IF(ROW()&lt;=ROUND($D$2*100,0),"",$C$2)</f>
        <v/>
      </c>
      <c r="B2" s="3" t="str">
        <f t="shared" ref="B2:B65" si="1">IF(ROW()&lt;=ROUND($D$2*100,0),$C$2,"")</f>
        <v>█</v>
      </c>
      <c r="C2" s="3" t="s">
        <v>0</v>
      </c>
      <c r="D2" s="4">
        <f>GETPIVOTDATA("Average of PRESENCE",Control!$A$3)</f>
        <v>0.64509589041095849</v>
      </c>
      <c r="E2" s="14">
        <f>100%-D2</f>
        <v>0.35490410958904151</v>
      </c>
      <c r="I2">
        <v>3</v>
      </c>
      <c r="J2">
        <v>1</v>
      </c>
      <c r="K2" s="3" t="s">
        <v>89</v>
      </c>
      <c r="L2" s="3">
        <f t="shared" ref="L2:N2" si="2">L3/1.5</f>
        <v>941.33333333333337</v>
      </c>
      <c r="M2" s="3">
        <f t="shared" si="2"/>
        <v>2235.3333333333335</v>
      </c>
      <c r="N2" s="3">
        <f t="shared" si="2"/>
        <v>3056.6666666666665</v>
      </c>
      <c r="O2" t="e">
        <v>#N/A</v>
      </c>
      <c r="P2" t="e">
        <v>#N/A</v>
      </c>
      <c r="Q2" t="e">
        <v>#N/A</v>
      </c>
      <c r="R2" t="e">
        <v>#N/A</v>
      </c>
      <c r="S2">
        <f>IF(COUNTIF(O3:O9,"&gt;0"),_xlfn.MAXIFS(O3:O9,O3:O9,"&gt;0"),NA())</f>
        <v>1544</v>
      </c>
      <c r="T2" cm="1">
        <f t="array" ref="T2">MATCH($S$2&amp;$S$3&amp;$S$4,$L$3:$L$9&amp;$M$3:$M$9&amp;$N$3:$N$9,0)+1</f>
        <v>5</v>
      </c>
    </row>
    <row r="3" spans="1:20" x14ac:dyDescent="0.25">
      <c r="A3" s="3" t="str">
        <f t="shared" si="0"/>
        <v/>
      </c>
      <c r="B3" s="3" t="str">
        <f t="shared" si="1"/>
        <v>█</v>
      </c>
      <c r="J3">
        <v>2</v>
      </c>
      <c r="K3" s="3" t="s">
        <v>65</v>
      </c>
      <c r="L3" s="3">
        <f>IFERROR(GETPIVOTDATA(""&amp;L$1,Control!$A$17,"Day",""&amp;$K3),0)</f>
        <v>1412</v>
      </c>
      <c r="M3" s="3">
        <f>IFERROR(GETPIVOTDATA(""&amp;M$1,Control!$A$17,"Day",""&amp;$K3),0)</f>
        <v>3353</v>
      </c>
      <c r="N3" s="3">
        <f>IFERROR(GETPIVOTDATA(""&amp;N$1,Control!$A$17,"Day",""&amp;$K3),0)</f>
        <v>4585</v>
      </c>
      <c r="O3">
        <f>IF(ISNUMBER(GETPIVOTDATA("Average of PRESENCE",Control!$A$3,"Day",$K3)),L3,NA())</f>
        <v>1412</v>
      </c>
      <c r="P3">
        <f>IF(ISNUMBER(GETPIVOTDATA("Average of PRESENCE",Control!$A$3,"Day",$K3)),M3,NA())</f>
        <v>3353</v>
      </c>
      <c r="Q3">
        <f>IF(ISNUMBER(GETPIVOTDATA("Average of PRESENCE",Control!$A$3,"Day",$K3)),N3,NA())</f>
        <v>4585</v>
      </c>
      <c r="R3">
        <f>IF(ISNA(Q3),Q3,ROW(R1))</f>
        <v>1</v>
      </c>
      <c r="S3">
        <f>IF(COUNTIF(P3:P9,"&gt;0"),_xlfn.MAXIFS(P3:P9,P3:P9,"&gt;0"),NA())</f>
        <v>3474</v>
      </c>
      <c r="T3" cm="1">
        <f t="array" ref="T3">MATCH($S$2&amp;$S$3&amp;$S$4,$L$3:$L$9&amp;$M$3:$M$9&amp;$N$3:$N$9,0)+1</f>
        <v>5</v>
      </c>
    </row>
    <row r="4" spans="1:20" x14ac:dyDescent="0.25">
      <c r="A4" s="3" t="str">
        <f t="shared" si="0"/>
        <v/>
      </c>
      <c r="B4" s="3" t="str">
        <f t="shared" si="1"/>
        <v>█</v>
      </c>
      <c r="C4" s="3" t="s">
        <v>2</v>
      </c>
      <c r="D4" s="15" t="s">
        <v>77</v>
      </c>
      <c r="J4">
        <v>3</v>
      </c>
      <c r="K4" s="3" t="s">
        <v>66</v>
      </c>
      <c r="L4" s="3">
        <f>IFERROR(GETPIVOTDATA(""&amp;L$1,Control!$A$17,"Day",""&amp;$K4),0)</f>
        <v>1489</v>
      </c>
      <c r="M4" s="3">
        <f>IFERROR(GETPIVOTDATA(""&amp;M$1,Control!$A$17,"Day",""&amp;$K4),0)</f>
        <v>3440</v>
      </c>
      <c r="N4" s="3">
        <f>IFERROR(GETPIVOTDATA(""&amp;N$1,Control!$A$17,"Day",""&amp;$K4),0)</f>
        <v>4651</v>
      </c>
      <c r="O4">
        <f>IF(ISNUMBER(GETPIVOTDATA("Average of PRESENCE",Control!$A$3,"Day",$K4)),L4,NA())</f>
        <v>1489</v>
      </c>
      <c r="P4">
        <f>IF(ISNUMBER(GETPIVOTDATA("Average of PRESENCE",Control!$A$3,"Day",$K4)),M4,NA())</f>
        <v>3440</v>
      </c>
      <c r="Q4">
        <f>IF(ISNUMBER(GETPIVOTDATA("Average of PRESENCE",Control!$A$3,"Day",$K4)),N4,NA())</f>
        <v>4651</v>
      </c>
      <c r="R4">
        <f t="shared" ref="R4:R9" si="3">IF(ISNA(Q4),Q4,ROW(R2))</f>
        <v>2</v>
      </c>
      <c r="S4">
        <f>IF(COUNTIF(Q3:Q9,"&gt;0"),_xlfn.MAXIFS(Q3:Q9,Q3:Q9,"&gt;0"),NA())</f>
        <v>4743</v>
      </c>
      <c r="T4" cm="1">
        <f t="array" ref="T4">MATCH($S$2&amp;$S$3&amp;$S$4,$L$3:$L$9&amp;$M$3:$M$9&amp;$N$3:$N$9,0)+1</f>
        <v>5</v>
      </c>
    </row>
    <row r="5" spans="1:20" x14ac:dyDescent="0.25">
      <c r="A5" s="3" t="str">
        <f t="shared" si="0"/>
        <v/>
      </c>
      <c r="B5" s="3" t="str">
        <f t="shared" si="1"/>
        <v>█</v>
      </c>
      <c r="C5" s="3">
        <v>1</v>
      </c>
      <c r="D5" s="4">
        <f>GETPIVOTDATA("Average of General Productivity",Control!$A$3)</f>
        <v>0.57129276712328758</v>
      </c>
      <c r="E5" s="5">
        <f>100%-D5</f>
        <v>0.42870723287671242</v>
      </c>
      <c r="F5" s="1">
        <v>0.5</v>
      </c>
      <c r="J5">
        <v>4</v>
      </c>
      <c r="K5" s="3" t="s">
        <v>67</v>
      </c>
      <c r="L5" s="3">
        <f>IFERROR(GETPIVOTDATA(""&amp;L$1,Control!$A$17,"Day",""&amp;$K5),0)</f>
        <v>1397</v>
      </c>
      <c r="M5" s="3">
        <f>IFERROR(GETPIVOTDATA(""&amp;M$1,Control!$A$17,"Day",""&amp;$K5),0)</f>
        <v>3422</v>
      </c>
      <c r="N5" s="3">
        <f>IFERROR(GETPIVOTDATA(""&amp;N$1,Control!$A$17,"Day",""&amp;$K5),0)</f>
        <v>4645</v>
      </c>
      <c r="O5">
        <f>IF(ISNUMBER(GETPIVOTDATA("Average of PRESENCE",Control!$A$3,"Day",$K5)),L5,NA())</f>
        <v>1397</v>
      </c>
      <c r="P5">
        <f>IF(ISNUMBER(GETPIVOTDATA("Average of PRESENCE",Control!$A$3,"Day",$K5)),M5,NA())</f>
        <v>3422</v>
      </c>
      <c r="Q5">
        <f>IF(ISNUMBER(GETPIVOTDATA("Average of PRESENCE",Control!$A$3,"Day",$K5)),N5,NA())</f>
        <v>4645</v>
      </c>
      <c r="R5">
        <f t="shared" si="3"/>
        <v>3</v>
      </c>
    </row>
    <row r="6" spans="1:20" x14ac:dyDescent="0.25">
      <c r="A6" s="3" t="str">
        <f t="shared" si="0"/>
        <v/>
      </c>
      <c r="B6" s="3" t="str">
        <f t="shared" si="1"/>
        <v>█</v>
      </c>
      <c r="C6" s="3">
        <v>1</v>
      </c>
      <c r="J6">
        <v>5</v>
      </c>
      <c r="K6" s="3" t="s">
        <v>68</v>
      </c>
      <c r="L6" s="3">
        <f>IFERROR(GETPIVOTDATA(""&amp;L$1,Control!$A$17,"Day",""&amp;$K6),0)</f>
        <v>1544</v>
      </c>
      <c r="M6" s="3">
        <f>IFERROR(GETPIVOTDATA(""&amp;M$1,Control!$A$17,"Day",""&amp;$K6),0)</f>
        <v>3474</v>
      </c>
      <c r="N6" s="3">
        <f>IFERROR(GETPIVOTDATA(""&amp;N$1,Control!$A$17,"Day",""&amp;$K6),0)</f>
        <v>4743</v>
      </c>
      <c r="O6">
        <f>IF(ISNUMBER(GETPIVOTDATA("Average of PRESENCE",Control!$A$3,"Day",$K6)),L6,NA())</f>
        <v>1544</v>
      </c>
      <c r="P6">
        <f>IF(ISNUMBER(GETPIVOTDATA("Average of PRESENCE",Control!$A$3,"Day",$K6)),M6,NA())</f>
        <v>3474</v>
      </c>
      <c r="Q6">
        <f>IF(ISNUMBER(GETPIVOTDATA("Average of PRESENCE",Control!$A$3,"Day",$K6)),N6,NA())</f>
        <v>4743</v>
      </c>
      <c r="R6">
        <f t="shared" si="3"/>
        <v>4</v>
      </c>
    </row>
    <row r="7" spans="1:20" x14ac:dyDescent="0.25">
      <c r="A7" s="3" t="str">
        <f t="shared" si="0"/>
        <v/>
      </c>
      <c r="B7" s="3" t="str">
        <f t="shared" si="1"/>
        <v>█</v>
      </c>
      <c r="C7" s="3">
        <v>1</v>
      </c>
      <c r="D7" s="15" t="s">
        <v>23</v>
      </c>
      <c r="J7">
        <v>6</v>
      </c>
      <c r="K7" s="3" t="s">
        <v>69</v>
      </c>
      <c r="L7" s="3">
        <f>IFERROR(GETPIVOTDATA(""&amp;L$1,Control!$A$17,"Day",""&amp;$K7),0)</f>
        <v>1528</v>
      </c>
      <c r="M7" s="3">
        <f>IFERROR(GETPIVOTDATA(""&amp;M$1,Control!$A$17,"Day",""&amp;$K7),0)</f>
        <v>3267</v>
      </c>
      <c r="N7" s="3">
        <f>IFERROR(GETPIVOTDATA(""&amp;N$1,Control!$A$17,"Day",""&amp;$K7),0)</f>
        <v>4571</v>
      </c>
      <c r="O7">
        <f>IF(ISNUMBER(GETPIVOTDATA("Average of PRESENCE",Control!$A$3,"Day",$K7)),L7,NA())</f>
        <v>1528</v>
      </c>
      <c r="P7">
        <f>IF(ISNUMBER(GETPIVOTDATA("Average of PRESENCE",Control!$A$3,"Day",$K7)),M7,NA())</f>
        <v>3267</v>
      </c>
      <c r="Q7">
        <f>IF(ISNUMBER(GETPIVOTDATA("Average of PRESENCE",Control!$A$3,"Day",$K7)),N7,NA())</f>
        <v>4571</v>
      </c>
      <c r="R7">
        <f t="shared" si="3"/>
        <v>5</v>
      </c>
    </row>
    <row r="8" spans="1:20" x14ac:dyDescent="0.25">
      <c r="A8" s="3" t="str">
        <f t="shared" si="0"/>
        <v/>
      </c>
      <c r="B8" s="3" t="str">
        <f t="shared" si="1"/>
        <v>█</v>
      </c>
      <c r="C8" s="3">
        <v>1</v>
      </c>
      <c r="D8" s="6" t="s">
        <v>25</v>
      </c>
      <c r="E8" s="7"/>
      <c r="F8" s="8" t="s">
        <v>3</v>
      </c>
      <c r="G8" s="8" t="s">
        <v>4</v>
      </c>
      <c r="J8">
        <v>7</v>
      </c>
      <c r="K8" s="3" t="s">
        <v>70</v>
      </c>
      <c r="L8" s="3">
        <f>IFERROR(GETPIVOTDATA(""&amp;L$1,Control!$A$17,"Day",""&amp;$K8),0)</f>
        <v>1486</v>
      </c>
      <c r="M8" s="3">
        <f>IFERROR(GETPIVOTDATA(""&amp;M$1,Control!$A$17,"Day",""&amp;$K8),0)</f>
        <v>3382</v>
      </c>
      <c r="N8" s="3">
        <f>IFERROR(GETPIVOTDATA(""&amp;N$1,Control!$A$17,"Day",""&amp;$K8),0)</f>
        <v>4614</v>
      </c>
      <c r="O8">
        <f>IF(ISNUMBER(GETPIVOTDATA("Average of PRESENCE",Control!$A$3,"Day",$K8)),L8,NA())</f>
        <v>1486</v>
      </c>
      <c r="P8">
        <f>IF(ISNUMBER(GETPIVOTDATA("Average of PRESENCE",Control!$A$3,"Day",$K8)),M8,NA())</f>
        <v>3382</v>
      </c>
      <c r="Q8">
        <f>IF(ISNUMBER(GETPIVOTDATA("Average of PRESENCE",Control!$A$3,"Day",$K8)),N8,NA())</f>
        <v>4614</v>
      </c>
      <c r="R8">
        <f t="shared" si="3"/>
        <v>6</v>
      </c>
    </row>
    <row r="9" spans="1:20" x14ac:dyDescent="0.25">
      <c r="A9" s="3" t="str">
        <f t="shared" si="0"/>
        <v/>
      </c>
      <c r="B9" s="3" t="str">
        <f t="shared" si="1"/>
        <v>█</v>
      </c>
      <c r="C9" s="3">
        <v>1</v>
      </c>
      <c r="D9" s="9">
        <f>100%-E9</f>
        <v>0.3678630136986295</v>
      </c>
      <c r="E9" s="1">
        <f>GETPIVOTDATA("Average of EER",Control!$A$3)</f>
        <v>0.6321369863013705</v>
      </c>
      <c r="F9" s="10">
        <f>SIN(D10*2*PI())</f>
        <v>0.30185936320917572</v>
      </c>
      <c r="G9" s="10">
        <f>COS(E10*2*PI())</f>
        <v>-0.95335246621748004</v>
      </c>
      <c r="J9">
        <v>8</v>
      </c>
      <c r="K9" s="3" t="s">
        <v>51</v>
      </c>
      <c r="L9" s="3">
        <f>IFERROR(GETPIVOTDATA(""&amp;L$1,Control!$A$17,"Day",""&amp;$K9),0)</f>
        <v>1405</v>
      </c>
      <c r="M9" s="3">
        <f>IFERROR(GETPIVOTDATA(""&amp;M$1,Control!$A$17,"Day",""&amp;$K9),0)</f>
        <v>3397</v>
      </c>
      <c r="N9" s="3">
        <f>IFERROR(GETPIVOTDATA(""&amp;N$1,Control!$A$17,"Day",""&amp;$K9),0)</f>
        <v>4686</v>
      </c>
      <c r="O9">
        <f>IF(ISNUMBER(GETPIVOTDATA("Average of PRESENCE",Control!$A$3,"Day",$K9)),L9,NA())</f>
        <v>1405</v>
      </c>
      <c r="P9">
        <f>IF(ISNUMBER(GETPIVOTDATA("Average of PRESENCE",Control!$A$3,"Day",$K9)),M9,NA())</f>
        <v>3397</v>
      </c>
      <c r="Q9">
        <f>IF(ISNUMBER(GETPIVOTDATA("Average of PRESENCE",Control!$A$3,"Day",$K9)),N9,NA())</f>
        <v>4686</v>
      </c>
      <c r="R9">
        <f t="shared" si="3"/>
        <v>7</v>
      </c>
    </row>
    <row r="10" spans="1:20" x14ac:dyDescent="0.25">
      <c r="A10" s="3" t="str">
        <f t="shared" si="0"/>
        <v/>
      </c>
      <c r="B10" s="3" t="str">
        <f t="shared" si="1"/>
        <v>█</v>
      </c>
      <c r="C10" s="3">
        <v>1</v>
      </c>
      <c r="D10" s="11">
        <f>D9+100%/12</f>
        <v>0.45119634703196282</v>
      </c>
      <c r="E10" s="12">
        <f>100%-D10</f>
        <v>0.54880365296803713</v>
      </c>
      <c r="F10" s="13">
        <v>0.5</v>
      </c>
      <c r="G10" s="13">
        <v>0.86599999999999999</v>
      </c>
      <c r="J10">
        <v>9</v>
      </c>
      <c r="K10" s="3" t="s">
        <v>90</v>
      </c>
      <c r="L10" s="3">
        <f t="shared" ref="L10:N10" si="4">L9/1.5</f>
        <v>936.66666666666663</v>
      </c>
      <c r="M10" s="3">
        <f t="shared" si="4"/>
        <v>2264.6666666666665</v>
      </c>
      <c r="N10" s="3">
        <f t="shared" si="4"/>
        <v>3124</v>
      </c>
      <c r="O10" t="e">
        <v>#N/A</v>
      </c>
      <c r="P10" t="e">
        <v>#N/A</v>
      </c>
      <c r="Q10" t="e">
        <v>#N/A</v>
      </c>
      <c r="R10" t="e">
        <v>#N/A</v>
      </c>
    </row>
    <row r="11" spans="1:20" x14ac:dyDescent="0.25">
      <c r="A11" s="3" t="str">
        <f t="shared" si="0"/>
        <v/>
      </c>
      <c r="B11" s="3" t="str">
        <f t="shared" si="1"/>
        <v>█</v>
      </c>
      <c r="C11" s="3">
        <v>1</v>
      </c>
      <c r="D11" s="15" t="s">
        <v>24</v>
      </c>
    </row>
    <row r="12" spans="1:20" x14ac:dyDescent="0.25">
      <c r="A12" s="3" t="str">
        <f t="shared" si="0"/>
        <v/>
      </c>
      <c r="B12" s="3" t="str">
        <f t="shared" si="1"/>
        <v>█</v>
      </c>
      <c r="C12" s="3">
        <v>1</v>
      </c>
      <c r="D12" s="6" t="s">
        <v>26</v>
      </c>
      <c r="E12" s="7"/>
      <c r="F12" s="8" t="s">
        <v>3</v>
      </c>
      <c r="G12" s="8" t="s">
        <v>4</v>
      </c>
    </row>
    <row r="13" spans="1:20" x14ac:dyDescent="0.25">
      <c r="A13" s="3" t="str">
        <f t="shared" si="0"/>
        <v/>
      </c>
      <c r="B13" s="3" t="str">
        <f t="shared" si="1"/>
        <v>█</v>
      </c>
      <c r="C13" s="3">
        <v>1</v>
      </c>
      <c r="D13" s="9">
        <f>100%-E13</f>
        <v>0.37035616438356134</v>
      </c>
      <c r="E13" s="1">
        <f>GETPIVOTDATA("Average of ESR",Control!$A$3)</f>
        <v>0.62964383561643866</v>
      </c>
      <c r="F13" s="10">
        <f>SIN(D14*2*PI())</f>
        <v>0.28688874060835079</v>
      </c>
      <c r="G13" s="10">
        <f>COS(E14*2*PI())</f>
        <v>-0.95796390877326598</v>
      </c>
    </row>
    <row r="14" spans="1:20" x14ac:dyDescent="0.25">
      <c r="A14" s="3" t="str">
        <f t="shared" si="0"/>
        <v/>
      </c>
      <c r="B14" s="3" t="str">
        <f t="shared" si="1"/>
        <v>█</v>
      </c>
      <c r="C14" s="3">
        <v>1</v>
      </c>
      <c r="D14" s="11">
        <f>D13+100%/12</f>
        <v>0.45368949771689465</v>
      </c>
      <c r="E14" s="12">
        <f>100%-D14</f>
        <v>0.5463105022831054</v>
      </c>
      <c r="F14" s="8">
        <v>0.5</v>
      </c>
      <c r="G14" s="8">
        <v>0.86599999999999999</v>
      </c>
    </row>
    <row r="15" spans="1:20" x14ac:dyDescent="0.25">
      <c r="A15" s="3" t="str">
        <f t="shared" si="0"/>
        <v/>
      </c>
      <c r="B15" s="3" t="str">
        <f t="shared" si="1"/>
        <v>█</v>
      </c>
      <c r="C15" s="3">
        <v>1</v>
      </c>
    </row>
    <row r="16" spans="1:20" x14ac:dyDescent="0.25">
      <c r="A16" s="3" t="str">
        <f t="shared" si="0"/>
        <v/>
      </c>
      <c r="B16" s="3" t="str">
        <f t="shared" si="1"/>
        <v>█</v>
      </c>
      <c r="C16" s="3">
        <v>1</v>
      </c>
      <c r="E16" s="15" t="s">
        <v>29</v>
      </c>
      <c r="I16" s="4">
        <v>0.2</v>
      </c>
      <c r="M16" s="4">
        <v>0.05</v>
      </c>
      <c r="N16" s="3">
        <v>85</v>
      </c>
      <c r="O16" s="14">
        <f>M16</f>
        <v>0.05</v>
      </c>
      <c r="P16" s="3"/>
    </row>
    <row r="17" spans="1:18" x14ac:dyDescent="0.25">
      <c r="A17" s="3" t="str">
        <f t="shared" si="0"/>
        <v/>
      </c>
      <c r="B17" s="3" t="str">
        <f t="shared" si="1"/>
        <v>█</v>
      </c>
      <c r="C17" s="3">
        <v>1</v>
      </c>
      <c r="D17" t="s">
        <v>75</v>
      </c>
      <c r="E17" s="23" t="s">
        <v>78</v>
      </c>
      <c r="F17" s="23" t="s">
        <v>79</v>
      </c>
      <c r="H17" s="15" t="s">
        <v>76</v>
      </c>
      <c r="I17" s="17" t="s">
        <v>74</v>
      </c>
      <c r="M17" s="17" t="s">
        <v>18</v>
      </c>
      <c r="N17" s="17" t="s">
        <v>19</v>
      </c>
      <c r="O17" s="17" t="s">
        <v>18</v>
      </c>
      <c r="P17" s="17" t="s">
        <v>20</v>
      </c>
      <c r="Q17" s="26" t="s">
        <v>48</v>
      </c>
      <c r="R17" s="26"/>
    </row>
    <row r="18" spans="1:18" x14ac:dyDescent="0.25">
      <c r="A18" s="3" t="str">
        <f t="shared" si="0"/>
        <v/>
      </c>
      <c r="B18" s="3" t="str">
        <f t="shared" si="1"/>
        <v>█</v>
      </c>
      <c r="C18" s="3">
        <v>1</v>
      </c>
      <c r="D18" s="3" t="s">
        <v>75</v>
      </c>
      <c r="E18" s="3">
        <f>E19/1.5</f>
        <v>836</v>
      </c>
      <c r="F18" s="3">
        <f>F19/1.5</f>
        <v>858.66666666666663</v>
      </c>
      <c r="H18" s="14">
        <f>SUM(E19:E25)/SUM(E19:F25)</f>
        <v>0.50411042944785278</v>
      </c>
      <c r="I18" s="4">
        <f>I16</f>
        <v>0.2</v>
      </c>
      <c r="J18" s="14">
        <f>100%-H18</f>
        <v>0.49588957055214722</v>
      </c>
      <c r="L18" t="s">
        <v>45</v>
      </c>
      <c r="M18" s="4">
        <f>M16</f>
        <v>0.05</v>
      </c>
      <c r="N18" s="4">
        <f>GETPIVOTDATA(""&amp;L18,Control!$A$3)</f>
        <v>0.59561643835616429</v>
      </c>
      <c r="O18" s="4">
        <f>M18</f>
        <v>0.05</v>
      </c>
      <c r="P18" s="16">
        <f>100%-N18</f>
        <v>0.40438356164383571</v>
      </c>
      <c r="Q18" s="3" t="str">
        <f t="shared" ref="Q18:Q20" si="5">IF(N18&gt;=44%,TEXT(N18,"0%"),"")</f>
        <v>60%</v>
      </c>
      <c r="R18" s="3" t="str">
        <f t="shared" ref="R18:R20" si="6">IF(N18&gt;=44%,"",TEXT(N18,"0%"))</f>
        <v/>
      </c>
    </row>
    <row r="19" spans="1:18" x14ac:dyDescent="0.25">
      <c r="A19" s="3" t="str">
        <f t="shared" si="0"/>
        <v/>
      </c>
      <c r="B19" s="3" t="str">
        <f t="shared" si="1"/>
        <v>█</v>
      </c>
      <c r="C19" s="3">
        <v>1</v>
      </c>
      <c r="D19" s="3" t="s">
        <v>65</v>
      </c>
      <c r="E19" s="3">
        <f>IFERROR(GETPIVOTDATA(""&amp;E$17,Control!$A$17,"Day",$D19),0)</f>
        <v>1254</v>
      </c>
      <c r="F19" s="3">
        <f>IFERROR(GETPIVOTDATA(""&amp;F$17,Control!$A$17,"Day",$D19),0)</f>
        <v>1288</v>
      </c>
      <c r="H19" s="14">
        <f>SUM(F19:F25)/SUM(E19:F25)</f>
        <v>0.49588957055214722</v>
      </c>
      <c r="I19" s="4">
        <f>I16</f>
        <v>0.2</v>
      </c>
      <c r="J19" s="14">
        <f>100%-H19</f>
        <v>0.50411042944785278</v>
      </c>
      <c r="L19" t="s">
        <v>46</v>
      </c>
      <c r="M19" s="4">
        <f>M16</f>
        <v>0.05</v>
      </c>
      <c r="N19" s="4">
        <f>GETPIVOTDATA(""&amp;L19,Control!$A$3)</f>
        <v>0.58850843835616429</v>
      </c>
      <c r="O19" s="4">
        <f>O16</f>
        <v>0.05</v>
      </c>
      <c r="P19" s="16">
        <f>100%-N19</f>
        <v>0.41149156164383571</v>
      </c>
      <c r="Q19" s="3" t="str">
        <f t="shared" si="5"/>
        <v>59%</v>
      </c>
      <c r="R19" s="3" t="str">
        <f t="shared" si="6"/>
        <v/>
      </c>
    </row>
    <row r="20" spans="1:18" x14ac:dyDescent="0.25">
      <c r="A20" s="3" t="str">
        <f t="shared" si="0"/>
        <v/>
      </c>
      <c r="B20" s="3" t="str">
        <f t="shared" si="1"/>
        <v>█</v>
      </c>
      <c r="D20" s="3" t="s">
        <v>66</v>
      </c>
      <c r="E20" s="3">
        <f>IFERROR(GETPIVOTDATA(""&amp;E$17,Control!$A$17,"Day",$D20),0)</f>
        <v>1219</v>
      </c>
      <c r="F20" s="3">
        <f>IFERROR(GETPIVOTDATA(""&amp;F$17,Control!$A$17,"Day",$D20),0)</f>
        <v>1179</v>
      </c>
      <c r="L20" t="s">
        <v>47</v>
      </c>
      <c r="M20" s="4">
        <f>M16</f>
        <v>0.05</v>
      </c>
      <c r="N20" s="4">
        <f>GETPIVOTDATA(""&amp;L20,Control!$A$3)</f>
        <v>0.52975342465753461</v>
      </c>
      <c r="O20" s="4">
        <f>O16</f>
        <v>0.05</v>
      </c>
      <c r="P20" s="16">
        <f>100%-N20</f>
        <v>0.47024657534246539</v>
      </c>
      <c r="Q20" s="3" t="str">
        <f t="shared" si="5"/>
        <v>53%</v>
      </c>
      <c r="R20" s="3" t="str">
        <f t="shared" si="6"/>
        <v/>
      </c>
    </row>
    <row r="21" spans="1:18" x14ac:dyDescent="0.25">
      <c r="A21" s="3" t="str">
        <f t="shared" si="0"/>
        <v/>
      </c>
      <c r="B21" s="3" t="str">
        <f t="shared" si="1"/>
        <v>█</v>
      </c>
      <c r="D21" s="3" t="s">
        <v>67</v>
      </c>
      <c r="E21" s="3">
        <f>IFERROR(GETPIVOTDATA(""&amp;E$17,Control!$A$17,"Day",$D21),0)</f>
        <v>1130</v>
      </c>
      <c r="F21" s="3">
        <f>IFERROR(GETPIVOTDATA(""&amp;F$17,Control!$A$17,"Day",$D21),0)</f>
        <v>1050</v>
      </c>
    </row>
    <row r="22" spans="1:18" x14ac:dyDescent="0.25">
      <c r="A22" s="3" t="str">
        <f t="shared" si="0"/>
        <v/>
      </c>
      <c r="B22" s="3" t="str">
        <f t="shared" si="1"/>
        <v>█</v>
      </c>
      <c r="D22" s="3" t="s">
        <v>68</v>
      </c>
      <c r="E22" s="3">
        <f>IFERROR(GETPIVOTDATA(""&amp;E$17,Control!$A$17,"Day",$D22),0)</f>
        <v>1072</v>
      </c>
      <c r="F22" s="3">
        <f>IFERROR(GETPIVOTDATA(""&amp;F$17,Control!$A$17,"Day",$D22),0)</f>
        <v>1096</v>
      </c>
    </row>
    <row r="23" spans="1:18" x14ac:dyDescent="0.25">
      <c r="A23" s="3" t="str">
        <f t="shared" si="0"/>
        <v/>
      </c>
      <c r="B23" s="3" t="str">
        <f t="shared" si="1"/>
        <v>█</v>
      </c>
      <c r="D23" s="3" t="s">
        <v>69</v>
      </c>
      <c r="E23" s="3">
        <f>IFERROR(GETPIVOTDATA(""&amp;E$17,Control!$A$17,"Day",$D23),0)</f>
        <v>1226</v>
      </c>
      <c r="F23" s="3">
        <f>IFERROR(GETPIVOTDATA(""&amp;F$17,Control!$A$17,"Day",$D23),0)</f>
        <v>1095</v>
      </c>
    </row>
    <row r="24" spans="1:18" x14ac:dyDescent="0.25">
      <c r="A24" s="3" t="str">
        <f t="shared" si="0"/>
        <v/>
      </c>
      <c r="B24" s="3" t="str">
        <f t="shared" si="1"/>
        <v>█</v>
      </c>
      <c r="D24" s="3" t="s">
        <v>70</v>
      </c>
      <c r="E24" s="3">
        <f>IFERROR(GETPIVOTDATA(""&amp;E$17,Control!$A$17,"Day",$D24),0)</f>
        <v>1108</v>
      </c>
      <c r="F24" s="3">
        <f>IFERROR(GETPIVOTDATA(""&amp;F$17,Control!$A$17,"Day",$D24),0)</f>
        <v>1240</v>
      </c>
    </row>
    <row r="25" spans="1:18" x14ac:dyDescent="0.25">
      <c r="A25" s="3" t="str">
        <f t="shared" si="0"/>
        <v/>
      </c>
      <c r="B25" s="3" t="str">
        <f t="shared" si="1"/>
        <v>█</v>
      </c>
      <c r="D25" s="3" t="s">
        <v>51</v>
      </c>
      <c r="E25" s="3">
        <f>IFERROR(GETPIVOTDATA(""&amp;E$17,Control!$A$17,"Day",$D25),0)</f>
        <v>1208</v>
      </c>
      <c r="F25" s="3">
        <f>IFERROR(GETPIVOTDATA(""&amp;F$17,Control!$A$17,"Day",$D25),0)</f>
        <v>1135</v>
      </c>
    </row>
    <row r="26" spans="1:18" x14ac:dyDescent="0.25">
      <c r="A26" s="3" t="str">
        <f t="shared" si="0"/>
        <v/>
      </c>
      <c r="B26" s="3" t="str">
        <f t="shared" si="1"/>
        <v>█</v>
      </c>
      <c r="D26" s="3" t="s">
        <v>90</v>
      </c>
      <c r="E26" s="3">
        <f>E25/1.5</f>
        <v>805.33333333333337</v>
      </c>
      <c r="F26" s="3">
        <f>F25/1.5</f>
        <v>756.66666666666663</v>
      </c>
    </row>
    <row r="27" spans="1:18" x14ac:dyDescent="0.25">
      <c r="A27" s="3" t="str">
        <f t="shared" si="0"/>
        <v/>
      </c>
      <c r="B27" s="3" t="str">
        <f t="shared" si="1"/>
        <v>█</v>
      </c>
    </row>
    <row r="28" spans="1:18" x14ac:dyDescent="0.25">
      <c r="A28" s="3" t="str">
        <f t="shared" si="0"/>
        <v/>
      </c>
      <c r="B28" s="3" t="str">
        <f t="shared" si="1"/>
        <v>█</v>
      </c>
      <c r="C28" s="3" t="s">
        <v>43</v>
      </c>
      <c r="D28" s="3" t="s">
        <v>65</v>
      </c>
      <c r="E28" t="s">
        <v>66</v>
      </c>
      <c r="F28" t="s">
        <v>67</v>
      </c>
      <c r="G28" t="s">
        <v>68</v>
      </c>
      <c r="H28" t="s">
        <v>69</v>
      </c>
      <c r="I28" t="s">
        <v>70</v>
      </c>
      <c r="J28" t="s">
        <v>51</v>
      </c>
    </row>
    <row r="29" spans="1:18" x14ac:dyDescent="0.25">
      <c r="A29" s="3" t="str">
        <f t="shared" si="0"/>
        <v/>
      </c>
      <c r="B29" s="3" t="str">
        <f t="shared" si="1"/>
        <v>█</v>
      </c>
      <c r="C29" s="3" t="s">
        <v>42</v>
      </c>
      <c r="D29" s="3" t="s">
        <v>5</v>
      </c>
      <c r="E29" s="3" t="s">
        <v>6</v>
      </c>
      <c r="F29" s="3" t="s">
        <v>7</v>
      </c>
      <c r="G29" s="3" t="s">
        <v>8</v>
      </c>
      <c r="H29" s="3" t="s">
        <v>9</v>
      </c>
      <c r="I29" s="3" t="s">
        <v>10</v>
      </c>
      <c r="J29" s="3" t="s">
        <v>11</v>
      </c>
      <c r="L29" t="s">
        <v>36</v>
      </c>
      <c r="M29" s="3" t="s">
        <v>3</v>
      </c>
      <c r="N29" s="3" t="s">
        <v>4</v>
      </c>
      <c r="O29" s="3" t="s">
        <v>35</v>
      </c>
    </row>
    <row r="30" spans="1:18" x14ac:dyDescent="0.25">
      <c r="A30" s="3" t="str">
        <f t="shared" si="0"/>
        <v/>
      </c>
      <c r="B30" s="3" t="str">
        <f t="shared" si="1"/>
        <v>█</v>
      </c>
      <c r="C30" s="3" t="s">
        <v>37</v>
      </c>
      <c r="D30" s="3">
        <f>GETPIVOTDATA(""&amp;$C30,Control!$A$17,"Day",D$28)</f>
        <v>197</v>
      </c>
      <c r="E30" s="3">
        <f>GETPIVOTDATA(""&amp;$C30,Control!$A$17,"Day",E$28)</f>
        <v>306</v>
      </c>
      <c r="F30" s="3">
        <f>GETPIVOTDATA(""&amp;$C30,Control!$A$17,"Day",F$28)</f>
        <v>331</v>
      </c>
      <c r="G30" s="3">
        <f>GETPIVOTDATA(""&amp;$C30,Control!$A$17,"Day",G$28)</f>
        <v>343</v>
      </c>
      <c r="H30" s="3">
        <f>GETPIVOTDATA(""&amp;$C30,Control!$A$17,"Day",H$28)</f>
        <v>345</v>
      </c>
      <c r="I30" s="3">
        <f>GETPIVOTDATA(""&amp;$C30,Control!$A$17,"Day",I$28)</f>
        <v>227</v>
      </c>
      <c r="J30" s="3">
        <f>GETPIVOTDATA(""&amp;$C30,Control!$A$17,"Day",J$28)</f>
        <v>209</v>
      </c>
      <c r="L30" s="3" t="s">
        <v>81</v>
      </c>
      <c r="M30" s="14">
        <v>0.35</v>
      </c>
      <c r="N30" s="14">
        <v>0.5</v>
      </c>
      <c r="O30" s="14">
        <f>GETPIVOTDATA("Average of KPI 1",Control!$A$3)</f>
        <v>0.67961643835616403</v>
      </c>
    </row>
    <row r="31" spans="1:18" x14ac:dyDescent="0.25">
      <c r="A31" s="3" t="str">
        <f t="shared" si="0"/>
        <v/>
      </c>
      <c r="B31" s="3" t="str">
        <f t="shared" si="1"/>
        <v>█</v>
      </c>
      <c r="C31" s="3" t="s">
        <v>38</v>
      </c>
      <c r="D31" s="3">
        <f>GETPIVOTDATA(""&amp;$C31,Control!$A$17,"Day",D$28)</f>
        <v>219</v>
      </c>
      <c r="E31" s="3">
        <f>GETPIVOTDATA(""&amp;$C31,Control!$A$17,"Day",E$28)</f>
        <v>358</v>
      </c>
      <c r="F31" s="3">
        <f>GETPIVOTDATA(""&amp;$C31,Control!$A$17,"Day",F$28)</f>
        <v>315</v>
      </c>
      <c r="G31" s="3">
        <f>GETPIVOTDATA(""&amp;$C31,Control!$A$17,"Day",G$28)</f>
        <v>360</v>
      </c>
      <c r="H31" s="3">
        <f>GETPIVOTDATA(""&amp;$C31,Control!$A$17,"Day",H$28)</f>
        <v>349</v>
      </c>
      <c r="I31" s="3">
        <f>GETPIVOTDATA(""&amp;$C31,Control!$A$17,"Day",I$28)</f>
        <v>221</v>
      </c>
      <c r="J31" s="3">
        <f>GETPIVOTDATA(""&amp;$C31,Control!$A$17,"Day",J$28)</f>
        <v>235</v>
      </c>
      <c r="L31" s="3" t="s">
        <v>82</v>
      </c>
      <c r="M31" s="14">
        <v>0.51</v>
      </c>
      <c r="N31" s="14">
        <v>0.6</v>
      </c>
      <c r="O31" s="14">
        <f>GETPIVOTDATA("Average of KPI 2",Control!$A$3)</f>
        <v>0.68178082191780787</v>
      </c>
    </row>
    <row r="32" spans="1:18" x14ac:dyDescent="0.25">
      <c r="A32" s="3" t="str">
        <f t="shared" si="0"/>
        <v/>
      </c>
      <c r="B32" s="3" t="str">
        <f t="shared" si="1"/>
        <v>█</v>
      </c>
      <c r="C32" s="3" t="s">
        <v>39</v>
      </c>
      <c r="D32" s="3">
        <f>GETPIVOTDATA(""&amp;$C32,Control!$A$17,"Day",D$28)</f>
        <v>229</v>
      </c>
      <c r="E32" s="3">
        <f>GETPIVOTDATA(""&amp;$C32,Control!$A$17,"Day",E$28)</f>
        <v>362</v>
      </c>
      <c r="F32" s="3">
        <f>GETPIVOTDATA(""&amp;$C32,Control!$A$17,"Day",F$28)</f>
        <v>373</v>
      </c>
      <c r="G32" s="3">
        <f>GETPIVOTDATA(""&amp;$C32,Control!$A$17,"Day",G$28)</f>
        <v>345</v>
      </c>
      <c r="H32" s="3">
        <f>GETPIVOTDATA(""&amp;$C32,Control!$A$17,"Day",H$28)</f>
        <v>338</v>
      </c>
      <c r="I32" s="3">
        <f>GETPIVOTDATA(""&amp;$C32,Control!$A$17,"Day",I$28)</f>
        <v>212</v>
      </c>
      <c r="J32" s="3">
        <f>GETPIVOTDATA(""&amp;$C32,Control!$A$17,"Day",J$28)</f>
        <v>222</v>
      </c>
      <c r="L32" s="3" t="s">
        <v>83</v>
      </c>
      <c r="M32" s="14">
        <v>0.5</v>
      </c>
      <c r="N32" s="14">
        <v>0.45</v>
      </c>
      <c r="O32" s="14">
        <f>GETPIVOTDATA("Average of KPI 3",Control!$A$3)</f>
        <v>0.65309589041095861</v>
      </c>
    </row>
    <row r="33" spans="1:14" x14ac:dyDescent="0.25">
      <c r="A33" s="3" t="str">
        <f t="shared" si="0"/>
        <v/>
      </c>
      <c r="B33" s="3" t="str">
        <f t="shared" si="1"/>
        <v>█</v>
      </c>
      <c r="C33" s="3" t="s">
        <v>40</v>
      </c>
      <c r="D33" s="3">
        <f>GETPIVOTDATA(""&amp;$C33,Control!$A$17,"Day",D$28)</f>
        <v>192</v>
      </c>
      <c r="E33" s="3">
        <f>GETPIVOTDATA(""&amp;$C33,Control!$A$17,"Day",E$28)</f>
        <v>320</v>
      </c>
      <c r="F33" s="3">
        <f>GETPIVOTDATA(""&amp;$C33,Control!$A$17,"Day",F$28)</f>
        <v>340</v>
      </c>
      <c r="G33" s="3">
        <f>GETPIVOTDATA(""&amp;$C33,Control!$A$17,"Day",G$28)</f>
        <v>336</v>
      </c>
      <c r="H33" s="3">
        <f>GETPIVOTDATA(""&amp;$C33,Control!$A$17,"Day",H$28)</f>
        <v>300</v>
      </c>
      <c r="I33" s="3">
        <f>GETPIVOTDATA(""&amp;$C33,Control!$A$17,"Day",I$28)</f>
        <v>205</v>
      </c>
      <c r="J33" s="3">
        <f>GETPIVOTDATA(""&amp;$C33,Control!$A$17,"Day",J$28)</f>
        <v>216</v>
      </c>
      <c r="L33" s="3"/>
      <c r="M33" s="18"/>
    </row>
    <row r="34" spans="1:14" x14ac:dyDescent="0.25">
      <c r="A34" s="3" t="str">
        <f t="shared" si="0"/>
        <v/>
      </c>
      <c r="B34" s="3" t="str">
        <f t="shared" si="1"/>
        <v>█</v>
      </c>
      <c r="C34" s="3" t="s">
        <v>41</v>
      </c>
      <c r="D34" s="3">
        <f>GETPIVOTDATA(""&amp;$C34,Control!$A$17,"Day",D$28)</f>
        <v>210</v>
      </c>
      <c r="E34" s="3">
        <f>GETPIVOTDATA(""&amp;$C34,Control!$A$17,"Day",E$28)</f>
        <v>309</v>
      </c>
      <c r="F34" s="3">
        <f>GETPIVOTDATA(""&amp;$C34,Control!$A$17,"Day",F$28)</f>
        <v>343</v>
      </c>
      <c r="G34" s="3">
        <f>GETPIVOTDATA(""&amp;$C34,Control!$A$17,"Day",G$28)</f>
        <v>343</v>
      </c>
      <c r="H34" s="3">
        <f>GETPIVOTDATA(""&amp;$C34,Control!$A$17,"Day",H$28)</f>
        <v>319</v>
      </c>
      <c r="I34" s="3">
        <f>GETPIVOTDATA(""&amp;$C34,Control!$A$17,"Day",I$28)</f>
        <v>216</v>
      </c>
      <c r="J34" s="3">
        <f>GETPIVOTDATA(""&amp;$C34,Control!$A$17,"Day",J$28)</f>
        <v>215</v>
      </c>
    </row>
    <row r="35" spans="1:14" x14ac:dyDescent="0.25">
      <c r="A35" s="3" t="str">
        <f t="shared" si="0"/>
        <v/>
      </c>
      <c r="B35" s="3" t="str">
        <f t="shared" si="1"/>
        <v>█</v>
      </c>
      <c r="C35" s="3" t="s">
        <v>14</v>
      </c>
      <c r="D35" s="3">
        <f>SUM(D30:D34)</f>
        <v>1047</v>
      </c>
      <c r="E35" s="3">
        <f t="shared" ref="E35:J35" si="7">SUM(E30:E34)</f>
        <v>1655</v>
      </c>
      <c r="F35" s="3">
        <f t="shared" si="7"/>
        <v>1702</v>
      </c>
      <c r="G35" s="3">
        <f t="shared" si="7"/>
        <v>1727</v>
      </c>
      <c r="H35" s="3">
        <f t="shared" si="7"/>
        <v>1651</v>
      </c>
      <c r="I35" s="3">
        <f t="shared" si="7"/>
        <v>1081</v>
      </c>
      <c r="J35" s="3">
        <f t="shared" si="7"/>
        <v>1097</v>
      </c>
    </row>
    <row r="36" spans="1:14" x14ac:dyDescent="0.25">
      <c r="A36" s="3" t="str">
        <f t="shared" si="0"/>
        <v/>
      </c>
      <c r="B36" s="3" t="str">
        <f t="shared" si="1"/>
        <v>█</v>
      </c>
      <c r="C36" s="3" t="s">
        <v>13</v>
      </c>
      <c r="D36" s="3">
        <v>0</v>
      </c>
      <c r="E36" s="3">
        <v>0</v>
      </c>
      <c r="F36" s="3">
        <v>0</v>
      </c>
      <c r="G36" s="3">
        <v>0</v>
      </c>
      <c r="H36" s="3">
        <v>0</v>
      </c>
      <c r="I36" s="3">
        <v>0</v>
      </c>
      <c r="J36" s="3">
        <v>0</v>
      </c>
    </row>
    <row r="37" spans="1:14" x14ac:dyDescent="0.25">
      <c r="A37" s="3" t="str">
        <f t="shared" si="0"/>
        <v/>
      </c>
      <c r="B37" s="3" t="str">
        <f t="shared" si="1"/>
        <v>█</v>
      </c>
      <c r="C37" s="3" t="s">
        <v>4</v>
      </c>
      <c r="D37" s="3">
        <f>IF(ISNUMBER(GETPIVOTDATA("Average of PRESENCE",Control!$A$3,"Day",D28)),D35,NA())</f>
        <v>1047</v>
      </c>
      <c r="E37" s="3">
        <f>IF(ISNUMBER(GETPIVOTDATA("Average of PRESENCE",Control!$A$3,"Day",E28)),E35,NA())</f>
        <v>1655</v>
      </c>
      <c r="F37" s="3">
        <f>IF(ISNUMBER(GETPIVOTDATA("Average of PRESENCE",Control!$A$3,"Day",F28)),F35,NA())</f>
        <v>1702</v>
      </c>
      <c r="G37" s="3">
        <f>IF(ISNUMBER(GETPIVOTDATA("Average of PRESENCE",Control!$A$3,"Day",G28)),G35,NA())</f>
        <v>1727</v>
      </c>
      <c r="H37" s="3">
        <f>IF(ISNUMBER(GETPIVOTDATA("Average of PRESENCE",Control!$A$3,"Day",H28)),H35,NA())</f>
        <v>1651</v>
      </c>
      <c r="I37" s="3">
        <f>IF(ISNUMBER(GETPIVOTDATA("Average of PRESENCE",Control!$A$3,"Day",I28)),I35,NA())</f>
        <v>1081</v>
      </c>
      <c r="J37" s="3">
        <f>IF(ISNUMBER(GETPIVOTDATA("Average of PRESENCE",Control!$A$3,"Day",J28)),J35,NA())</f>
        <v>1097</v>
      </c>
      <c r="L37" s="3"/>
    </row>
    <row r="38" spans="1:14" x14ac:dyDescent="0.25">
      <c r="A38" s="3" t="str">
        <f t="shared" si="0"/>
        <v/>
      </c>
      <c r="B38" s="3" t="str">
        <f t="shared" si="1"/>
        <v>█</v>
      </c>
      <c r="C38" s="15" t="s">
        <v>15</v>
      </c>
      <c r="D38" s="3">
        <v>1</v>
      </c>
      <c r="E38" s="3">
        <v>2</v>
      </c>
      <c r="F38" s="3">
        <v>3</v>
      </c>
      <c r="G38" s="3">
        <v>4</v>
      </c>
      <c r="H38" s="3">
        <v>5</v>
      </c>
      <c r="I38" s="3">
        <v>6</v>
      </c>
      <c r="J38" s="3">
        <v>7</v>
      </c>
    </row>
    <row r="39" spans="1:14" x14ac:dyDescent="0.25">
      <c r="A39" s="3" t="str">
        <f t="shared" si="0"/>
        <v/>
      </c>
      <c r="B39" s="3" t="str">
        <f t="shared" si="1"/>
        <v>█</v>
      </c>
      <c r="E39" s="3"/>
      <c r="F39" s="3"/>
      <c r="G39" s="3"/>
      <c r="H39" s="3"/>
      <c r="I39" s="3"/>
      <c r="J39" s="3"/>
    </row>
    <row r="40" spans="1:14" x14ac:dyDescent="0.25">
      <c r="A40" s="3" t="str">
        <f t="shared" si="0"/>
        <v/>
      </c>
      <c r="B40" s="3" t="str">
        <f t="shared" si="1"/>
        <v>█</v>
      </c>
      <c r="D40" s="3" t="s">
        <v>30</v>
      </c>
      <c r="L40" t="s">
        <v>21</v>
      </c>
    </row>
    <row r="41" spans="1:14" x14ac:dyDescent="0.25">
      <c r="A41" s="3" t="str">
        <f t="shared" si="0"/>
        <v/>
      </c>
      <c r="B41" s="3" t="str">
        <f t="shared" si="1"/>
        <v>█</v>
      </c>
      <c r="E41" t="s">
        <v>16</v>
      </c>
      <c r="F41" s="3">
        <v>0.9</v>
      </c>
      <c r="G41" s="3">
        <v>0.9</v>
      </c>
      <c r="L41" s="5">
        <f>GETPIVOTDATA("Average of Loss of  Working Time",Control!$A$3)</f>
        <v>5.6821917808219116E-2</v>
      </c>
      <c r="M41" s="1">
        <v>5.0000000000000001E-4</v>
      </c>
      <c r="N41" s="5">
        <f>N43-L41</f>
        <v>9.3178082191780878E-2</v>
      </c>
    </row>
    <row r="42" spans="1:14" x14ac:dyDescent="0.25">
      <c r="A42" s="3" t="str">
        <f t="shared" si="0"/>
        <v/>
      </c>
      <c r="B42" s="3" t="str">
        <f t="shared" si="1"/>
        <v>█</v>
      </c>
      <c r="C42" s="3" t="s">
        <v>33</v>
      </c>
      <c r="D42" s="4">
        <f>IFERROR(GETPIVOTDATA(""&amp;C42,Control!$A$3)/Processing!$D$50,0)</f>
        <v>0.42068872226945969</v>
      </c>
      <c r="E42" s="14">
        <f>100%-D42</f>
        <v>0.57931127773054025</v>
      </c>
      <c r="F42" s="10">
        <f>SIN(D42*2*PI())*F41</f>
        <v>0.43016136509453118</v>
      </c>
      <c r="G42" s="10">
        <f>COS(E42*2*PI())*G41</f>
        <v>-0.79054487537394713</v>
      </c>
      <c r="L42" s="4">
        <f>$L$41</f>
        <v>5.6821917808219116E-2</v>
      </c>
      <c r="M42" s="14">
        <f>$N$43-L42</f>
        <v>9.3178082191780878E-2</v>
      </c>
      <c r="N42" t="s">
        <v>22</v>
      </c>
    </row>
    <row r="43" spans="1:14" x14ac:dyDescent="0.25">
      <c r="A43" s="3" t="str">
        <f t="shared" si="0"/>
        <v/>
      </c>
      <c r="B43" s="3" t="str">
        <f t="shared" si="1"/>
        <v>█</v>
      </c>
      <c r="F43" s="3"/>
      <c r="G43" s="3"/>
      <c r="L43" s="3"/>
      <c r="N43" s="1">
        <v>0.15</v>
      </c>
    </row>
    <row r="44" spans="1:14" x14ac:dyDescent="0.25">
      <c r="A44" s="3" t="str">
        <f t="shared" si="0"/>
        <v/>
      </c>
      <c r="B44" s="3" t="str">
        <f t="shared" si="1"/>
        <v>█</v>
      </c>
      <c r="C44" s="3" t="s">
        <v>34</v>
      </c>
      <c r="D44" s="4">
        <f>IFERROR(GETPIVOTDATA(""&amp;C44,Control!$A$3)/Processing!$D$50,0)</f>
        <v>0.50577585392457469</v>
      </c>
      <c r="E44" s="14">
        <f>100%-D44</f>
        <v>0.49422414607542531</v>
      </c>
      <c r="F44" s="10">
        <f>SIN(D44*2*PI())</f>
        <v>-3.6282795101190507E-2</v>
      </c>
      <c r="G44" s="10">
        <f>COS(E44*2*PI())</f>
        <v>-0.99934156261993079</v>
      </c>
      <c r="L44" s="4">
        <f>$L$41</f>
        <v>5.6821917808219116E-2</v>
      </c>
      <c r="M44" s="14">
        <f>$N$43-L44</f>
        <v>9.3178082191780878E-2</v>
      </c>
    </row>
    <row r="45" spans="1:14" x14ac:dyDescent="0.25">
      <c r="A45" s="3" t="str">
        <f t="shared" si="0"/>
        <v/>
      </c>
      <c r="B45" s="3" t="str">
        <f t="shared" si="1"/>
        <v>█</v>
      </c>
      <c r="F45" s="3"/>
      <c r="G45" s="3"/>
      <c r="L45" s="3"/>
    </row>
    <row r="46" spans="1:14" x14ac:dyDescent="0.25">
      <c r="A46" s="3" t="str">
        <f t="shared" si="0"/>
        <v/>
      </c>
      <c r="B46" s="3" t="str">
        <f t="shared" si="1"/>
        <v>█</v>
      </c>
      <c r="C46" s="3" t="s">
        <v>32</v>
      </c>
      <c r="D46" s="4">
        <f>IFERROR(GETPIVOTDATA(""&amp;C46,Control!$A$3)/Processing!$D$50,0)</f>
        <v>0.57161801207561436</v>
      </c>
      <c r="E46" s="14">
        <f>100%-D46</f>
        <v>0.42838198792438564</v>
      </c>
      <c r="F46" s="10">
        <f>SIN(D46*2*PI())*F47</f>
        <v>-0.48715054792139934</v>
      </c>
      <c r="G46" s="10">
        <f>COS(E46*2*PI())*G47</f>
        <v>-1.0085059958472633</v>
      </c>
      <c r="L46" s="4">
        <f>$L$41</f>
        <v>5.6821917808219116E-2</v>
      </c>
      <c r="M46" s="14">
        <f>$N$43-L46</f>
        <v>9.3178082191780878E-2</v>
      </c>
    </row>
    <row r="47" spans="1:14" x14ac:dyDescent="0.25">
      <c r="A47" s="3" t="str">
        <f t="shared" si="0"/>
        <v/>
      </c>
      <c r="B47" s="3" t="str">
        <f t="shared" si="1"/>
        <v>█</v>
      </c>
      <c r="D47" s="3" t="s">
        <v>31</v>
      </c>
      <c r="E47" t="s">
        <v>16</v>
      </c>
      <c r="F47" s="3">
        <v>1.1200000000000001</v>
      </c>
      <c r="G47" s="3">
        <v>1.1200000000000001</v>
      </c>
    </row>
    <row r="48" spans="1:14" x14ac:dyDescent="0.25">
      <c r="A48" s="3" t="str">
        <f t="shared" si="0"/>
        <v/>
      </c>
      <c r="B48" s="3" t="str">
        <f t="shared" si="1"/>
        <v>█</v>
      </c>
      <c r="D48" s="4">
        <f>AVERAGE(D42,D44,D46)</f>
        <v>0.49936086275654956</v>
      </c>
    </row>
    <row r="49" spans="1:4" x14ac:dyDescent="0.25">
      <c r="A49" s="3" t="str">
        <f t="shared" si="0"/>
        <v/>
      </c>
      <c r="B49" s="3" t="str">
        <f t="shared" si="1"/>
        <v>█</v>
      </c>
      <c r="D49" s="3" t="s">
        <v>101</v>
      </c>
    </row>
    <row r="50" spans="1:4" x14ac:dyDescent="0.25">
      <c r="A50" s="3" t="str">
        <f t="shared" si="0"/>
        <v/>
      </c>
      <c r="B50" s="3" t="str">
        <f t="shared" si="1"/>
        <v>█</v>
      </c>
      <c r="D50" s="3">
        <f>GETPIVOTDATA("Sum of Sales Plan",Control!$A$3)</f>
        <v>1164330</v>
      </c>
    </row>
    <row r="51" spans="1:4" x14ac:dyDescent="0.25">
      <c r="A51" s="3" t="str">
        <f t="shared" si="0"/>
        <v/>
      </c>
      <c r="B51" s="3" t="str">
        <f t="shared" si="1"/>
        <v>█</v>
      </c>
    </row>
    <row r="52" spans="1:4" x14ac:dyDescent="0.25">
      <c r="A52" s="3" t="str">
        <f t="shared" si="0"/>
        <v/>
      </c>
      <c r="B52" s="3" t="str">
        <f t="shared" si="1"/>
        <v>█</v>
      </c>
    </row>
    <row r="53" spans="1:4" x14ac:dyDescent="0.25">
      <c r="A53" s="3" t="str">
        <f t="shared" si="0"/>
        <v/>
      </c>
      <c r="B53" s="3" t="str">
        <f t="shared" si="1"/>
        <v>█</v>
      </c>
    </row>
    <row r="54" spans="1:4" x14ac:dyDescent="0.25">
      <c r="A54" s="3" t="str">
        <f t="shared" si="0"/>
        <v/>
      </c>
      <c r="B54" s="3" t="str">
        <f t="shared" si="1"/>
        <v>█</v>
      </c>
    </row>
    <row r="55" spans="1:4" x14ac:dyDescent="0.25">
      <c r="A55" s="3" t="str">
        <f t="shared" si="0"/>
        <v/>
      </c>
      <c r="B55" s="3" t="str">
        <f t="shared" si="1"/>
        <v>█</v>
      </c>
    </row>
    <row r="56" spans="1:4" x14ac:dyDescent="0.25">
      <c r="A56" s="3" t="str">
        <f t="shared" si="0"/>
        <v/>
      </c>
      <c r="B56" s="3" t="str">
        <f t="shared" si="1"/>
        <v>█</v>
      </c>
    </row>
    <row r="57" spans="1:4" x14ac:dyDescent="0.25">
      <c r="A57" s="3" t="str">
        <f t="shared" si="0"/>
        <v/>
      </c>
      <c r="B57" s="3" t="str">
        <f t="shared" si="1"/>
        <v>█</v>
      </c>
    </row>
    <row r="58" spans="1:4" x14ac:dyDescent="0.25">
      <c r="A58" s="3" t="str">
        <f t="shared" si="0"/>
        <v/>
      </c>
      <c r="B58" s="3" t="str">
        <f t="shared" si="1"/>
        <v>█</v>
      </c>
    </row>
    <row r="59" spans="1:4" x14ac:dyDescent="0.25">
      <c r="A59" s="3" t="str">
        <f t="shared" si="0"/>
        <v/>
      </c>
      <c r="B59" s="3" t="str">
        <f t="shared" si="1"/>
        <v>█</v>
      </c>
    </row>
    <row r="60" spans="1:4" x14ac:dyDescent="0.25">
      <c r="A60" s="3" t="str">
        <f t="shared" si="0"/>
        <v/>
      </c>
      <c r="B60" s="3" t="str">
        <f t="shared" si="1"/>
        <v>█</v>
      </c>
    </row>
    <row r="61" spans="1:4" x14ac:dyDescent="0.25">
      <c r="A61" s="3" t="str">
        <f t="shared" si="0"/>
        <v/>
      </c>
      <c r="B61" s="3" t="str">
        <f t="shared" si="1"/>
        <v>█</v>
      </c>
    </row>
    <row r="62" spans="1:4" x14ac:dyDescent="0.25">
      <c r="A62" s="3" t="str">
        <f t="shared" si="0"/>
        <v/>
      </c>
      <c r="B62" s="3" t="str">
        <f t="shared" si="1"/>
        <v>█</v>
      </c>
    </row>
    <row r="63" spans="1:4" x14ac:dyDescent="0.25">
      <c r="A63" s="3" t="str">
        <f t="shared" si="0"/>
        <v/>
      </c>
      <c r="B63" s="3" t="str">
        <f t="shared" si="1"/>
        <v>█</v>
      </c>
    </row>
    <row r="64" spans="1:4" x14ac:dyDescent="0.25">
      <c r="A64" s="3" t="str">
        <f t="shared" si="0"/>
        <v/>
      </c>
      <c r="B64" s="3" t="str">
        <f t="shared" si="1"/>
        <v>█</v>
      </c>
    </row>
    <row r="65" spans="1:2" x14ac:dyDescent="0.25">
      <c r="A65" s="3" t="str">
        <f t="shared" si="0"/>
        <v/>
      </c>
      <c r="B65" s="3" t="str">
        <f t="shared" si="1"/>
        <v>█</v>
      </c>
    </row>
    <row r="66" spans="1:2" x14ac:dyDescent="0.25">
      <c r="A66" s="3" t="str">
        <f t="shared" ref="A66:A100" si="8">IF(ROW()&lt;=ROUND($D$2*100,0),"",$C$2)</f>
        <v>█</v>
      </c>
      <c r="B66" s="3" t="str">
        <f t="shared" ref="B66:B100" si="9">IF(ROW()&lt;=ROUND($D$2*100,0),$C$2,"")</f>
        <v/>
      </c>
    </row>
    <row r="67" spans="1:2" x14ac:dyDescent="0.25">
      <c r="A67" s="3" t="str">
        <f t="shared" si="8"/>
        <v>█</v>
      </c>
      <c r="B67" s="3" t="str">
        <f t="shared" si="9"/>
        <v/>
      </c>
    </row>
    <row r="68" spans="1:2" x14ac:dyDescent="0.25">
      <c r="A68" s="3" t="str">
        <f t="shared" si="8"/>
        <v>█</v>
      </c>
      <c r="B68" s="3" t="str">
        <f t="shared" si="9"/>
        <v/>
      </c>
    </row>
    <row r="69" spans="1:2" x14ac:dyDescent="0.25">
      <c r="A69" s="3" t="str">
        <f t="shared" si="8"/>
        <v>█</v>
      </c>
      <c r="B69" s="3" t="str">
        <f t="shared" si="9"/>
        <v/>
      </c>
    </row>
    <row r="70" spans="1:2" x14ac:dyDescent="0.25">
      <c r="A70" s="3" t="str">
        <f t="shared" si="8"/>
        <v>█</v>
      </c>
      <c r="B70" s="3" t="str">
        <f t="shared" si="9"/>
        <v/>
      </c>
    </row>
    <row r="71" spans="1:2" x14ac:dyDescent="0.25">
      <c r="A71" s="3" t="str">
        <f t="shared" si="8"/>
        <v>█</v>
      </c>
      <c r="B71" s="3" t="str">
        <f t="shared" si="9"/>
        <v/>
      </c>
    </row>
    <row r="72" spans="1:2" x14ac:dyDescent="0.25">
      <c r="A72" s="3" t="str">
        <f t="shared" si="8"/>
        <v>█</v>
      </c>
      <c r="B72" s="3" t="str">
        <f t="shared" si="9"/>
        <v/>
      </c>
    </row>
    <row r="73" spans="1:2" x14ac:dyDescent="0.25">
      <c r="A73" s="3" t="str">
        <f t="shared" si="8"/>
        <v>█</v>
      </c>
      <c r="B73" s="3" t="str">
        <f t="shared" si="9"/>
        <v/>
      </c>
    </row>
    <row r="74" spans="1:2" x14ac:dyDescent="0.25">
      <c r="A74" s="3" t="str">
        <f t="shared" si="8"/>
        <v>█</v>
      </c>
      <c r="B74" s="3" t="str">
        <f t="shared" si="9"/>
        <v/>
      </c>
    </row>
    <row r="75" spans="1:2" x14ac:dyDescent="0.25">
      <c r="A75" s="3" t="str">
        <f t="shared" si="8"/>
        <v>█</v>
      </c>
      <c r="B75" s="3" t="str">
        <f t="shared" si="9"/>
        <v/>
      </c>
    </row>
    <row r="76" spans="1:2" x14ac:dyDescent="0.25">
      <c r="A76" s="3" t="str">
        <f t="shared" si="8"/>
        <v>█</v>
      </c>
      <c r="B76" s="3" t="str">
        <f t="shared" si="9"/>
        <v/>
      </c>
    </row>
    <row r="77" spans="1:2" x14ac:dyDescent="0.25">
      <c r="A77" s="3" t="str">
        <f t="shared" si="8"/>
        <v>█</v>
      </c>
      <c r="B77" s="3" t="str">
        <f t="shared" si="9"/>
        <v/>
      </c>
    </row>
    <row r="78" spans="1:2" x14ac:dyDescent="0.25">
      <c r="A78" s="3" t="str">
        <f t="shared" si="8"/>
        <v>█</v>
      </c>
      <c r="B78" s="3" t="str">
        <f t="shared" si="9"/>
        <v/>
      </c>
    </row>
    <row r="79" spans="1:2" x14ac:dyDescent="0.25">
      <c r="A79" s="3" t="str">
        <f t="shared" si="8"/>
        <v>█</v>
      </c>
      <c r="B79" s="3" t="str">
        <f t="shared" si="9"/>
        <v/>
      </c>
    </row>
    <row r="80" spans="1:2" x14ac:dyDescent="0.25">
      <c r="A80" s="3" t="str">
        <f t="shared" si="8"/>
        <v>█</v>
      </c>
      <c r="B80" s="3" t="str">
        <f t="shared" si="9"/>
        <v/>
      </c>
    </row>
    <row r="81" spans="1:2" x14ac:dyDescent="0.25">
      <c r="A81" s="3" t="str">
        <f t="shared" si="8"/>
        <v>█</v>
      </c>
      <c r="B81" s="3" t="str">
        <f t="shared" si="9"/>
        <v/>
      </c>
    </row>
    <row r="82" spans="1:2" x14ac:dyDescent="0.25">
      <c r="A82" s="3" t="str">
        <f t="shared" si="8"/>
        <v>█</v>
      </c>
      <c r="B82" s="3" t="str">
        <f t="shared" si="9"/>
        <v/>
      </c>
    </row>
    <row r="83" spans="1:2" x14ac:dyDescent="0.25">
      <c r="A83" s="3" t="str">
        <f t="shared" si="8"/>
        <v>█</v>
      </c>
      <c r="B83" s="3" t="str">
        <f t="shared" si="9"/>
        <v/>
      </c>
    </row>
    <row r="84" spans="1:2" x14ac:dyDescent="0.25">
      <c r="A84" s="3" t="str">
        <f t="shared" si="8"/>
        <v>█</v>
      </c>
      <c r="B84" s="3" t="str">
        <f t="shared" si="9"/>
        <v/>
      </c>
    </row>
    <row r="85" spans="1:2" x14ac:dyDescent="0.25">
      <c r="A85" s="3" t="str">
        <f t="shared" si="8"/>
        <v>█</v>
      </c>
      <c r="B85" s="3" t="str">
        <f t="shared" si="9"/>
        <v/>
      </c>
    </row>
    <row r="86" spans="1:2" x14ac:dyDescent="0.25">
      <c r="A86" s="3" t="str">
        <f t="shared" si="8"/>
        <v>█</v>
      </c>
      <c r="B86" s="3" t="str">
        <f t="shared" si="9"/>
        <v/>
      </c>
    </row>
    <row r="87" spans="1:2" x14ac:dyDescent="0.25">
      <c r="A87" s="3" t="str">
        <f t="shared" si="8"/>
        <v>█</v>
      </c>
      <c r="B87" s="3" t="str">
        <f t="shared" si="9"/>
        <v/>
      </c>
    </row>
    <row r="88" spans="1:2" x14ac:dyDescent="0.25">
      <c r="A88" s="3" t="str">
        <f t="shared" si="8"/>
        <v>█</v>
      </c>
      <c r="B88" s="3" t="str">
        <f t="shared" si="9"/>
        <v/>
      </c>
    </row>
    <row r="89" spans="1:2" x14ac:dyDescent="0.25">
      <c r="A89" s="3" t="str">
        <f t="shared" si="8"/>
        <v>█</v>
      </c>
      <c r="B89" s="3" t="str">
        <f t="shared" si="9"/>
        <v/>
      </c>
    </row>
    <row r="90" spans="1:2" x14ac:dyDescent="0.25">
      <c r="A90" s="3" t="str">
        <f t="shared" si="8"/>
        <v>█</v>
      </c>
      <c r="B90" s="3" t="str">
        <f t="shared" si="9"/>
        <v/>
      </c>
    </row>
    <row r="91" spans="1:2" x14ac:dyDescent="0.25">
      <c r="A91" s="3" t="str">
        <f t="shared" si="8"/>
        <v>█</v>
      </c>
      <c r="B91" s="3" t="str">
        <f t="shared" si="9"/>
        <v/>
      </c>
    </row>
    <row r="92" spans="1:2" x14ac:dyDescent="0.25">
      <c r="A92" s="3" t="str">
        <f t="shared" si="8"/>
        <v>█</v>
      </c>
      <c r="B92" s="3" t="str">
        <f t="shared" si="9"/>
        <v/>
      </c>
    </row>
    <row r="93" spans="1:2" x14ac:dyDescent="0.25">
      <c r="A93" s="3" t="str">
        <f t="shared" si="8"/>
        <v>█</v>
      </c>
      <c r="B93" s="3" t="str">
        <f t="shared" si="9"/>
        <v/>
      </c>
    </row>
    <row r="94" spans="1:2" x14ac:dyDescent="0.25">
      <c r="A94" s="3" t="str">
        <f t="shared" si="8"/>
        <v>█</v>
      </c>
      <c r="B94" s="3" t="str">
        <f t="shared" si="9"/>
        <v/>
      </c>
    </row>
    <row r="95" spans="1:2" x14ac:dyDescent="0.25">
      <c r="A95" s="3" t="str">
        <f t="shared" si="8"/>
        <v>█</v>
      </c>
      <c r="B95" s="3" t="str">
        <f t="shared" si="9"/>
        <v/>
      </c>
    </row>
    <row r="96" spans="1:2" x14ac:dyDescent="0.25">
      <c r="A96" s="3" t="str">
        <f t="shared" si="8"/>
        <v>█</v>
      </c>
      <c r="B96" s="3" t="str">
        <f t="shared" si="9"/>
        <v/>
      </c>
    </row>
    <row r="97" spans="1:2" x14ac:dyDescent="0.25">
      <c r="A97" s="3" t="str">
        <f t="shared" si="8"/>
        <v>█</v>
      </c>
      <c r="B97" s="3" t="str">
        <f t="shared" si="9"/>
        <v/>
      </c>
    </row>
    <row r="98" spans="1:2" x14ac:dyDescent="0.25">
      <c r="A98" s="3" t="str">
        <f t="shared" si="8"/>
        <v>█</v>
      </c>
      <c r="B98" s="3" t="str">
        <f t="shared" si="9"/>
        <v/>
      </c>
    </row>
    <row r="99" spans="1:2" x14ac:dyDescent="0.25">
      <c r="A99" s="3" t="str">
        <f t="shared" si="8"/>
        <v>█</v>
      </c>
      <c r="B99" s="3" t="str">
        <f t="shared" si="9"/>
        <v/>
      </c>
    </row>
    <row r="100" spans="1:2" x14ac:dyDescent="0.25">
      <c r="A100" s="3" t="str">
        <f t="shared" si="8"/>
        <v>█</v>
      </c>
      <c r="B100" s="3" t="str">
        <f t="shared" si="9"/>
        <v/>
      </c>
    </row>
  </sheetData>
  <mergeCells count="1">
    <mergeCell ref="Q17:R17"/>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7176-F898-4BFC-8BC0-4842B2CEBD05}">
  <dimension ref="A1:P25"/>
  <sheetViews>
    <sheetView workbookViewId="0"/>
  </sheetViews>
  <sheetFormatPr defaultRowHeight="15" x14ac:dyDescent="0.25"/>
  <cols>
    <col min="1" max="1" width="13.42578125" bestFit="1" customWidth="1"/>
    <col min="2" max="2" width="21" bestFit="1" customWidth="1"/>
    <col min="3" max="4" width="14.5703125" bestFit="1" customWidth="1"/>
    <col min="5" max="7" width="12.7109375" bestFit="1" customWidth="1"/>
    <col min="8" max="8" width="17" bestFit="1" customWidth="1"/>
    <col min="9" max="11" width="15.28515625" bestFit="1" customWidth="1"/>
    <col min="12" max="12" width="31.140625" bestFit="1" customWidth="1"/>
    <col min="13" max="13" width="30" bestFit="1" customWidth="1"/>
    <col min="14" max="14" width="26.28515625" bestFit="1" customWidth="1"/>
    <col min="15" max="15" width="20.85546875" bestFit="1" customWidth="1"/>
    <col min="16" max="16" width="20.140625" bestFit="1" customWidth="1"/>
  </cols>
  <sheetData>
    <row r="1" spans="1:16" x14ac:dyDescent="0.25">
      <c r="A1" s="24" t="s">
        <v>50</v>
      </c>
      <c r="B1" t="s">
        <v>117</v>
      </c>
    </row>
    <row r="3" spans="1:16" x14ac:dyDescent="0.25">
      <c r="A3" s="24" t="s">
        <v>84</v>
      </c>
      <c r="B3" t="s">
        <v>86</v>
      </c>
      <c r="C3" t="s">
        <v>87</v>
      </c>
      <c r="D3" t="s">
        <v>88</v>
      </c>
      <c r="E3" t="s">
        <v>98</v>
      </c>
      <c r="F3" t="s">
        <v>99</v>
      </c>
      <c r="G3" t="s">
        <v>100</v>
      </c>
      <c r="H3" t="s">
        <v>102</v>
      </c>
      <c r="I3" t="s">
        <v>103</v>
      </c>
      <c r="J3" t="s">
        <v>104</v>
      </c>
      <c r="K3" t="s">
        <v>105</v>
      </c>
      <c r="L3" t="s">
        <v>106</v>
      </c>
      <c r="M3" t="s">
        <v>107</v>
      </c>
      <c r="N3" t="s">
        <v>108</v>
      </c>
      <c r="O3" t="s">
        <v>109</v>
      </c>
      <c r="P3" t="s">
        <v>110</v>
      </c>
    </row>
    <row r="4" spans="1:16" x14ac:dyDescent="0.25">
      <c r="A4" s="15" t="s">
        <v>65</v>
      </c>
      <c r="B4" s="27">
        <v>0.29557692307692307</v>
      </c>
      <c r="C4" s="27">
        <v>0.60807692307692318</v>
      </c>
      <c r="D4" s="27">
        <v>0.6330769230769232</v>
      </c>
      <c r="E4" s="27">
        <v>99676</v>
      </c>
      <c r="F4" s="27">
        <v>90789</v>
      </c>
      <c r="G4" s="27">
        <v>76297.5</v>
      </c>
      <c r="H4" s="27">
        <v>176808</v>
      </c>
      <c r="I4" s="27">
        <v>0.626346153846154</v>
      </c>
      <c r="J4" s="27">
        <v>0.7317307692307693</v>
      </c>
      <c r="K4" s="27">
        <v>0.6415384615384615</v>
      </c>
      <c r="L4" s="27">
        <v>5.4230769230769235E-2</v>
      </c>
      <c r="M4" s="27">
        <v>0.3059734615384615</v>
      </c>
      <c r="N4" s="27">
        <v>0.30695192307692309</v>
      </c>
      <c r="O4" s="27">
        <v>0.32201653846153849</v>
      </c>
      <c r="P4" s="27">
        <v>0.28895192307692313</v>
      </c>
    </row>
    <row r="5" spans="1:16" x14ac:dyDescent="0.25">
      <c r="A5" s="15" t="s">
        <v>66</v>
      </c>
      <c r="B5" s="27">
        <v>0.79115384615384621</v>
      </c>
      <c r="C5" s="27">
        <v>0.64846153846153842</v>
      </c>
      <c r="D5" s="27">
        <v>0.60769230769230753</v>
      </c>
      <c r="E5" s="27">
        <v>96904</v>
      </c>
      <c r="F5" s="27">
        <v>87683</v>
      </c>
      <c r="G5" s="27">
        <v>74446.5</v>
      </c>
      <c r="H5" s="27">
        <v>171883</v>
      </c>
      <c r="I5" s="27">
        <v>0.72038461538461551</v>
      </c>
      <c r="J5" s="27">
        <v>0.66961538461538472</v>
      </c>
      <c r="K5" s="27">
        <v>0.71615384615384636</v>
      </c>
      <c r="L5" s="27">
        <v>5.8269230769230775E-2</v>
      </c>
      <c r="M5" s="27">
        <v>0.66732307692307713</v>
      </c>
      <c r="N5" s="27">
        <v>0.7217307692307694</v>
      </c>
      <c r="O5" s="27">
        <v>0.64908461538461537</v>
      </c>
      <c r="P5" s="27">
        <v>0.63115384615384629</v>
      </c>
    </row>
    <row r="6" spans="1:16" x14ac:dyDescent="0.25">
      <c r="A6" s="15" t="s">
        <v>67</v>
      </c>
      <c r="B6" s="27">
        <v>0.79346153846153844</v>
      </c>
      <c r="C6" s="27">
        <v>0.62115384615384606</v>
      </c>
      <c r="D6" s="27">
        <v>0.6284615384615384</v>
      </c>
      <c r="E6" s="27">
        <v>88466</v>
      </c>
      <c r="F6" s="27">
        <v>80601</v>
      </c>
      <c r="G6" s="27">
        <v>70033.5</v>
      </c>
      <c r="H6" s="27">
        <v>149131</v>
      </c>
      <c r="I6" s="27">
        <v>0.66807692307692312</v>
      </c>
      <c r="J6" s="27">
        <v>0.68557692307692308</v>
      </c>
      <c r="K6" s="27">
        <v>0.58634615384615385</v>
      </c>
      <c r="L6" s="27">
        <v>6.2499999999999993E-2</v>
      </c>
      <c r="M6" s="27">
        <v>0.68167692307692307</v>
      </c>
      <c r="N6" s="27">
        <v>0.70961538461538454</v>
      </c>
      <c r="O6" s="27">
        <v>0.68868461538461534</v>
      </c>
      <c r="P6" s="27">
        <v>0.64673076923076933</v>
      </c>
    </row>
    <row r="7" spans="1:16" x14ac:dyDescent="0.25">
      <c r="A7" s="15" t="s">
        <v>68</v>
      </c>
      <c r="B7" s="27">
        <v>0.80113207547169818</v>
      </c>
      <c r="C7" s="27">
        <v>0.63962264150943382</v>
      </c>
      <c r="D7" s="27">
        <v>0.65358490566037719</v>
      </c>
      <c r="E7" s="27">
        <v>94923</v>
      </c>
      <c r="F7" s="27">
        <v>83472</v>
      </c>
      <c r="G7" s="27">
        <v>71179.5</v>
      </c>
      <c r="H7" s="27">
        <v>165475</v>
      </c>
      <c r="I7" s="27">
        <v>0.7056603773584903</v>
      </c>
      <c r="J7" s="27">
        <v>0.68452830188679248</v>
      </c>
      <c r="K7" s="27">
        <v>0.67566037735849049</v>
      </c>
      <c r="L7" s="27">
        <v>5.9056603773584904E-2</v>
      </c>
      <c r="M7" s="27">
        <v>0.66174088050314461</v>
      </c>
      <c r="N7" s="27">
        <v>0.68698113207547151</v>
      </c>
      <c r="O7" s="27">
        <v>0.6971094339622641</v>
      </c>
      <c r="P7" s="27">
        <v>0.60113207547169811</v>
      </c>
    </row>
    <row r="8" spans="1:16" x14ac:dyDescent="0.25">
      <c r="A8" s="15" t="s">
        <v>69</v>
      </c>
      <c r="B8" s="27">
        <v>0.77961538461538471</v>
      </c>
      <c r="C8" s="27">
        <v>0.66403846153846158</v>
      </c>
      <c r="D8" s="27">
        <v>0.62538461538461532</v>
      </c>
      <c r="E8" s="27">
        <v>96987</v>
      </c>
      <c r="F8" s="27">
        <v>72178</v>
      </c>
      <c r="G8" s="27">
        <v>66891</v>
      </c>
      <c r="H8" s="27">
        <v>159320</v>
      </c>
      <c r="I8" s="27">
        <v>0.73153846153846169</v>
      </c>
      <c r="J8" s="27">
        <v>0.61865384615384589</v>
      </c>
      <c r="K8" s="27">
        <v>0.64942307692307688</v>
      </c>
      <c r="L8" s="27">
        <v>5.4615384615384614E-2</v>
      </c>
      <c r="M8" s="27">
        <v>0.68208717948717934</v>
      </c>
      <c r="N8" s="27">
        <v>0.69288461538461543</v>
      </c>
      <c r="O8" s="27">
        <v>0.73183846153846133</v>
      </c>
      <c r="P8" s="27">
        <v>0.62153846153846171</v>
      </c>
    </row>
    <row r="9" spans="1:16" x14ac:dyDescent="0.25">
      <c r="A9" s="15" t="s">
        <v>70</v>
      </c>
      <c r="B9" s="27">
        <v>0.78711538461538444</v>
      </c>
      <c r="C9" s="27">
        <v>0.5940384615384614</v>
      </c>
      <c r="D9" s="27">
        <v>0.62576923076923063</v>
      </c>
      <c r="E9" s="27">
        <v>91258</v>
      </c>
      <c r="F9" s="27">
        <v>90802</v>
      </c>
      <c r="G9" s="27">
        <v>61090.5</v>
      </c>
      <c r="H9" s="27">
        <v>165573</v>
      </c>
      <c r="I9" s="27">
        <v>0.63500000000000023</v>
      </c>
      <c r="J9" s="27">
        <v>0.67423076923076952</v>
      </c>
      <c r="K9" s="27">
        <v>0.69865384615384607</v>
      </c>
      <c r="L9" s="27">
        <v>5.5E-2</v>
      </c>
      <c r="M9" s="27">
        <v>0.68903076923076922</v>
      </c>
      <c r="N9" s="27">
        <v>0.72980769230769238</v>
      </c>
      <c r="O9" s="27">
        <v>0.71940000000000015</v>
      </c>
      <c r="P9" s="27">
        <v>0.61788461538461548</v>
      </c>
    </row>
    <row r="10" spans="1:16" x14ac:dyDescent="0.25">
      <c r="A10" s="15" t="s">
        <v>51</v>
      </c>
      <c r="B10" s="27">
        <v>0.26461538461538453</v>
      </c>
      <c r="C10" s="27">
        <v>0.64942307692307699</v>
      </c>
      <c r="D10" s="27">
        <v>0.63307692307692298</v>
      </c>
      <c r="E10" s="27">
        <v>97338</v>
      </c>
      <c r="F10" s="27">
        <v>83365</v>
      </c>
      <c r="G10" s="27">
        <v>69882</v>
      </c>
      <c r="H10" s="27">
        <v>176140</v>
      </c>
      <c r="I10" s="27">
        <v>0.66980769230769233</v>
      </c>
      <c r="J10" s="27">
        <v>0.70807692307692305</v>
      </c>
      <c r="K10" s="27">
        <v>0.60346153846153838</v>
      </c>
      <c r="L10" s="27">
        <v>5.4038461538461542E-2</v>
      </c>
      <c r="M10" s="27">
        <v>0.3094776923076924</v>
      </c>
      <c r="N10" s="27">
        <v>0.31958653846153851</v>
      </c>
      <c r="O10" s="27">
        <v>0.30933692307692312</v>
      </c>
      <c r="P10" s="27">
        <v>0.2995096153846154</v>
      </c>
    </row>
    <row r="11" spans="1:16" x14ac:dyDescent="0.25">
      <c r="A11" s="15" t="s">
        <v>85</v>
      </c>
      <c r="B11" s="27">
        <v>0.64509589041095849</v>
      </c>
      <c r="C11" s="27">
        <v>0.6321369863013705</v>
      </c>
      <c r="D11" s="27">
        <v>0.62964383561643866</v>
      </c>
      <c r="E11" s="27">
        <v>665552</v>
      </c>
      <c r="F11" s="27">
        <v>588890</v>
      </c>
      <c r="G11" s="27">
        <v>489820.5</v>
      </c>
      <c r="H11" s="27">
        <v>1164330</v>
      </c>
      <c r="I11" s="27">
        <v>0.67961643835616403</v>
      </c>
      <c r="J11" s="27">
        <v>0.68178082191780787</v>
      </c>
      <c r="K11" s="27">
        <v>0.65309589041095861</v>
      </c>
      <c r="L11" s="27">
        <v>5.6821917808219116E-2</v>
      </c>
      <c r="M11" s="27">
        <v>0.57129276712328758</v>
      </c>
      <c r="N11" s="27">
        <v>0.59561643835616429</v>
      </c>
      <c r="O11" s="27">
        <v>0.58850843835616429</v>
      </c>
      <c r="P11" s="27">
        <v>0.52975342465753461</v>
      </c>
    </row>
    <row r="15" spans="1:16" x14ac:dyDescent="0.25">
      <c r="A15" s="24" t="s">
        <v>50</v>
      </c>
      <c r="B15" t="s">
        <v>117</v>
      </c>
    </row>
    <row r="17" spans="1:11" x14ac:dyDescent="0.25">
      <c r="A17" s="24" t="s">
        <v>84</v>
      </c>
      <c r="B17" t="s">
        <v>91</v>
      </c>
      <c r="C17" t="s">
        <v>92</v>
      </c>
      <c r="D17" t="s">
        <v>93</v>
      </c>
      <c r="E17" t="s">
        <v>94</v>
      </c>
      <c r="F17" t="s">
        <v>95</v>
      </c>
      <c r="G17" t="s">
        <v>96</v>
      </c>
      <c r="H17" t="s">
        <v>97</v>
      </c>
      <c r="I17" t="s">
        <v>111</v>
      </c>
      <c r="J17" t="s">
        <v>112</v>
      </c>
      <c r="K17" t="s">
        <v>113</v>
      </c>
    </row>
    <row r="18" spans="1:11" x14ac:dyDescent="0.25">
      <c r="A18" s="15" t="s">
        <v>65</v>
      </c>
      <c r="B18" s="27">
        <v>1254</v>
      </c>
      <c r="C18" s="27">
        <v>1288</v>
      </c>
      <c r="D18" s="27">
        <v>197</v>
      </c>
      <c r="E18" s="27">
        <v>219</v>
      </c>
      <c r="F18" s="27">
        <v>229</v>
      </c>
      <c r="G18" s="27">
        <v>192</v>
      </c>
      <c r="H18" s="27">
        <v>210</v>
      </c>
      <c r="I18" s="27">
        <v>4585</v>
      </c>
      <c r="J18" s="27">
        <v>3353</v>
      </c>
      <c r="K18" s="27">
        <v>1412</v>
      </c>
    </row>
    <row r="19" spans="1:11" x14ac:dyDescent="0.25">
      <c r="A19" s="15" t="s">
        <v>66</v>
      </c>
      <c r="B19" s="27">
        <v>1219</v>
      </c>
      <c r="C19" s="27">
        <v>1179</v>
      </c>
      <c r="D19" s="27">
        <v>306</v>
      </c>
      <c r="E19" s="27">
        <v>358</v>
      </c>
      <c r="F19" s="27">
        <v>362</v>
      </c>
      <c r="G19" s="27">
        <v>320</v>
      </c>
      <c r="H19" s="27">
        <v>309</v>
      </c>
      <c r="I19" s="27">
        <v>4651</v>
      </c>
      <c r="J19" s="27">
        <v>3440</v>
      </c>
      <c r="K19" s="27">
        <v>1489</v>
      </c>
    </row>
    <row r="20" spans="1:11" x14ac:dyDescent="0.25">
      <c r="A20" s="15" t="s">
        <v>67</v>
      </c>
      <c r="B20" s="27">
        <v>1130</v>
      </c>
      <c r="C20" s="27">
        <v>1050</v>
      </c>
      <c r="D20" s="27">
        <v>331</v>
      </c>
      <c r="E20" s="27">
        <v>315</v>
      </c>
      <c r="F20" s="27">
        <v>373</v>
      </c>
      <c r="G20" s="27">
        <v>340</v>
      </c>
      <c r="H20" s="27">
        <v>343</v>
      </c>
      <c r="I20" s="27">
        <v>4645</v>
      </c>
      <c r="J20" s="27">
        <v>3422</v>
      </c>
      <c r="K20" s="27">
        <v>1397</v>
      </c>
    </row>
    <row r="21" spans="1:11" x14ac:dyDescent="0.25">
      <c r="A21" s="15" t="s">
        <v>68</v>
      </c>
      <c r="B21" s="27">
        <v>1072</v>
      </c>
      <c r="C21" s="27">
        <v>1096</v>
      </c>
      <c r="D21" s="27">
        <v>343</v>
      </c>
      <c r="E21" s="27">
        <v>360</v>
      </c>
      <c r="F21" s="27">
        <v>345</v>
      </c>
      <c r="G21" s="27">
        <v>336</v>
      </c>
      <c r="H21" s="27">
        <v>343</v>
      </c>
      <c r="I21" s="27">
        <v>4743</v>
      </c>
      <c r="J21" s="27">
        <v>3474</v>
      </c>
      <c r="K21" s="27">
        <v>1544</v>
      </c>
    </row>
    <row r="22" spans="1:11" x14ac:dyDescent="0.25">
      <c r="A22" s="15" t="s">
        <v>69</v>
      </c>
      <c r="B22" s="27">
        <v>1226</v>
      </c>
      <c r="C22" s="27">
        <v>1095</v>
      </c>
      <c r="D22" s="27">
        <v>345</v>
      </c>
      <c r="E22" s="27">
        <v>349</v>
      </c>
      <c r="F22" s="27">
        <v>338</v>
      </c>
      <c r="G22" s="27">
        <v>300</v>
      </c>
      <c r="H22" s="27">
        <v>319</v>
      </c>
      <c r="I22" s="27">
        <v>4571</v>
      </c>
      <c r="J22" s="27">
        <v>3267</v>
      </c>
      <c r="K22" s="27">
        <v>1528</v>
      </c>
    </row>
    <row r="23" spans="1:11" x14ac:dyDescent="0.25">
      <c r="A23" s="15" t="s">
        <v>70</v>
      </c>
      <c r="B23" s="27">
        <v>1108</v>
      </c>
      <c r="C23" s="27">
        <v>1240</v>
      </c>
      <c r="D23" s="27">
        <v>227</v>
      </c>
      <c r="E23" s="27">
        <v>221</v>
      </c>
      <c r="F23" s="27">
        <v>212</v>
      </c>
      <c r="G23" s="27">
        <v>205</v>
      </c>
      <c r="H23" s="27">
        <v>216</v>
      </c>
      <c r="I23" s="27">
        <v>4614</v>
      </c>
      <c r="J23" s="27">
        <v>3382</v>
      </c>
      <c r="K23" s="27">
        <v>1486</v>
      </c>
    </row>
    <row r="24" spans="1:11" x14ac:dyDescent="0.25">
      <c r="A24" s="15" t="s">
        <v>51</v>
      </c>
      <c r="B24" s="27">
        <v>1208</v>
      </c>
      <c r="C24" s="27">
        <v>1135</v>
      </c>
      <c r="D24" s="27">
        <v>209</v>
      </c>
      <c r="E24" s="27">
        <v>235</v>
      </c>
      <c r="F24" s="27">
        <v>222</v>
      </c>
      <c r="G24" s="27">
        <v>216</v>
      </c>
      <c r="H24" s="27">
        <v>215</v>
      </c>
      <c r="I24" s="27">
        <v>4686</v>
      </c>
      <c r="J24" s="27">
        <v>3397</v>
      </c>
      <c r="K24" s="27">
        <v>1405</v>
      </c>
    </row>
    <row r="25" spans="1:11" x14ac:dyDescent="0.25">
      <c r="A25" s="15" t="s">
        <v>85</v>
      </c>
      <c r="B25" s="27">
        <v>8217</v>
      </c>
      <c r="C25" s="27">
        <v>8083</v>
      </c>
      <c r="D25" s="27">
        <v>1958</v>
      </c>
      <c r="E25" s="27">
        <v>2057</v>
      </c>
      <c r="F25" s="27">
        <v>2081</v>
      </c>
      <c r="G25" s="27">
        <v>1909</v>
      </c>
      <c r="H25" s="27">
        <v>1955</v>
      </c>
      <c r="I25" s="27">
        <v>32495</v>
      </c>
      <c r="J25" s="27">
        <v>23735</v>
      </c>
      <c r="K25" s="27">
        <v>10261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9A8A7-E101-4FA1-8CAE-0F31AA3744C3}">
  <dimension ref="A1:AF367"/>
  <sheetViews>
    <sheetView workbookViewId="0"/>
  </sheetViews>
  <sheetFormatPr defaultRowHeight="15" x14ac:dyDescent="0.25"/>
  <cols>
    <col min="1" max="1" width="10.28515625" bestFit="1" customWidth="1"/>
    <col min="2" max="2" width="6.7109375" customWidth="1"/>
    <col min="3" max="3" width="7.28515625" customWidth="1"/>
    <col min="4" max="4" width="11.42578125" customWidth="1"/>
    <col min="5" max="5" width="10.7109375" customWidth="1"/>
    <col min="6" max="6" width="8.85546875" customWidth="1"/>
    <col min="7" max="7" width="9.140625" customWidth="1"/>
    <col min="8" max="8" width="10.28515625" customWidth="1"/>
    <col min="9" max="14" width="11.140625" customWidth="1"/>
    <col min="15" max="17" width="6.5703125" customWidth="1"/>
    <col min="18" max="18" width="6.7109375" customWidth="1"/>
    <col min="19" max="21" width="6.28515625" customWidth="1"/>
    <col min="22" max="22" width="13" customWidth="1"/>
    <col min="23" max="23" width="11.42578125" customWidth="1"/>
    <col min="24" max="24" width="11.7109375" customWidth="1"/>
    <col min="25" max="25" width="9.85546875" customWidth="1"/>
    <col min="29" max="29" width="12.140625" style="3" customWidth="1"/>
  </cols>
  <sheetData>
    <row r="1" spans="1:32" ht="28.15" customHeight="1" x14ac:dyDescent="0.25">
      <c r="A1" s="22" t="s">
        <v>49</v>
      </c>
      <c r="B1" s="21" t="s">
        <v>50</v>
      </c>
      <c r="C1" s="23" t="s">
        <v>52</v>
      </c>
      <c r="D1" s="23" t="s">
        <v>12</v>
      </c>
      <c r="E1" s="21" t="s">
        <v>28</v>
      </c>
      <c r="F1" s="21" t="s">
        <v>25</v>
      </c>
      <c r="G1" s="21" t="s">
        <v>26</v>
      </c>
      <c r="H1" s="21" t="s">
        <v>78</v>
      </c>
      <c r="I1" s="21" t="s">
        <v>79</v>
      </c>
      <c r="J1" s="21" t="s">
        <v>37</v>
      </c>
      <c r="K1" s="21" t="s">
        <v>38</v>
      </c>
      <c r="L1" s="21" t="s">
        <v>39</v>
      </c>
      <c r="M1" s="21" t="s">
        <v>40</v>
      </c>
      <c r="N1" s="21" t="s">
        <v>41</v>
      </c>
      <c r="O1" s="21" t="s">
        <v>32</v>
      </c>
      <c r="P1" s="21" t="s">
        <v>34</v>
      </c>
      <c r="Q1" s="21" t="s">
        <v>33</v>
      </c>
      <c r="R1" s="21" t="s">
        <v>101</v>
      </c>
      <c r="S1" s="21" t="s">
        <v>81</v>
      </c>
      <c r="T1" s="21" t="s">
        <v>82</v>
      </c>
      <c r="U1" s="21" t="s">
        <v>83</v>
      </c>
      <c r="V1" s="21" t="s">
        <v>80</v>
      </c>
      <c r="W1" s="21" t="s">
        <v>45</v>
      </c>
      <c r="X1" s="21" t="s">
        <v>46</v>
      </c>
      <c r="Y1" s="21" t="s">
        <v>47</v>
      </c>
      <c r="Z1" s="21" t="s">
        <v>71</v>
      </c>
      <c r="AA1" s="21" t="s">
        <v>72</v>
      </c>
      <c r="AB1" s="21" t="s">
        <v>73</v>
      </c>
      <c r="AC1" s="21" t="s">
        <v>77</v>
      </c>
      <c r="AD1" s="21"/>
    </row>
    <row r="2" spans="1:32" x14ac:dyDescent="0.25">
      <c r="A2" s="20">
        <v>45658</v>
      </c>
      <c r="B2" s="3" t="s">
        <v>53</v>
      </c>
      <c r="C2" s="3">
        <f>WEEKNUM(A2, 2)-WEEKNUM(DATE(YEAR(A2),MONTH(A2),1),2) +1</f>
        <v>1</v>
      </c>
      <c r="D2" t="s">
        <v>68</v>
      </c>
      <c r="E2" s="14">
        <v>0.84</v>
      </c>
      <c r="F2" s="14">
        <v>0.66</v>
      </c>
      <c r="G2" s="14">
        <v>0.86</v>
      </c>
      <c r="H2" s="3">
        <v>28</v>
      </c>
      <c r="I2" s="3">
        <v>15</v>
      </c>
      <c r="J2" s="3">
        <v>1</v>
      </c>
      <c r="K2" s="3">
        <v>4</v>
      </c>
      <c r="L2" s="3">
        <v>5</v>
      </c>
      <c r="M2" s="3">
        <v>9</v>
      </c>
      <c r="N2" s="3">
        <v>7</v>
      </c>
      <c r="O2" s="3">
        <v>3305</v>
      </c>
      <c r="P2" s="3">
        <v>133</v>
      </c>
      <c r="Q2" s="3">
        <v>2067</v>
      </c>
      <c r="R2" s="3">
        <v>4891</v>
      </c>
      <c r="S2" s="14">
        <v>0.53</v>
      </c>
      <c r="T2" s="14">
        <v>0.3</v>
      </c>
      <c r="U2" s="14">
        <v>0.67</v>
      </c>
      <c r="V2" s="14">
        <v>0.03</v>
      </c>
      <c r="W2" s="14">
        <v>0.91</v>
      </c>
      <c r="X2" s="14">
        <v>0.77880000000000005</v>
      </c>
      <c r="Y2" s="14">
        <v>0.6</v>
      </c>
      <c r="Z2">
        <v>98</v>
      </c>
      <c r="AA2">
        <v>66</v>
      </c>
      <c r="AB2">
        <v>23</v>
      </c>
      <c r="AC2" s="4">
        <f>AVERAGE(W2:Y2)</f>
        <v>0.76293333333333335</v>
      </c>
      <c r="AD2" s="25"/>
      <c r="AE2" s="3"/>
      <c r="AF2" s="3"/>
    </row>
    <row r="3" spans="1:32" x14ac:dyDescent="0.25">
      <c r="A3" s="20">
        <v>45659</v>
      </c>
      <c r="B3" s="3" t="s">
        <v>53</v>
      </c>
      <c r="C3" s="3">
        <f t="shared" ref="C3:C66" si="0">WEEKNUM(A3, 2)-WEEKNUM(DATE(YEAR(A3),MONTH(A3),1),2) +1</f>
        <v>1</v>
      </c>
      <c r="D3" t="s">
        <v>69</v>
      </c>
      <c r="E3" s="14">
        <v>0.92</v>
      </c>
      <c r="F3" s="14">
        <v>0.75</v>
      </c>
      <c r="G3" s="14">
        <v>0.8</v>
      </c>
      <c r="H3" s="3">
        <v>9</v>
      </c>
      <c r="I3" s="3">
        <v>8</v>
      </c>
      <c r="J3" s="3">
        <v>11</v>
      </c>
      <c r="K3" s="3">
        <v>6</v>
      </c>
      <c r="L3" s="3">
        <v>12</v>
      </c>
      <c r="M3" s="3">
        <v>2</v>
      </c>
      <c r="N3" s="3">
        <v>7</v>
      </c>
      <c r="O3" s="3">
        <v>2880</v>
      </c>
      <c r="P3" s="3">
        <v>423</v>
      </c>
      <c r="Q3" s="3">
        <v>715.5</v>
      </c>
      <c r="R3" s="3">
        <v>4224</v>
      </c>
      <c r="S3" s="14">
        <v>0.63</v>
      </c>
      <c r="T3" s="14">
        <v>0.44</v>
      </c>
      <c r="U3" s="14">
        <v>0.59</v>
      </c>
      <c r="V3" s="14">
        <v>0.01</v>
      </c>
      <c r="W3" s="14">
        <v>0.83</v>
      </c>
      <c r="X3" s="14">
        <v>0.91080000000000005</v>
      </c>
      <c r="Y3" s="14">
        <v>0.68</v>
      </c>
      <c r="Z3">
        <v>89</v>
      </c>
      <c r="AA3">
        <v>64</v>
      </c>
      <c r="AB3">
        <v>10</v>
      </c>
      <c r="AC3" s="4">
        <f t="shared" ref="AC3:AC66" si="1">AVERAGE(W3:Y3)</f>
        <v>0.80693333333333339</v>
      </c>
      <c r="AD3" s="25"/>
      <c r="AE3" s="3"/>
      <c r="AF3" s="3"/>
    </row>
    <row r="4" spans="1:32" x14ac:dyDescent="0.25">
      <c r="A4" s="20">
        <v>45660</v>
      </c>
      <c r="B4" s="3" t="s">
        <v>53</v>
      </c>
      <c r="C4" s="3">
        <f t="shared" si="0"/>
        <v>1</v>
      </c>
      <c r="D4" t="s">
        <v>70</v>
      </c>
      <c r="E4" s="14">
        <v>0.86</v>
      </c>
      <c r="F4" s="14">
        <v>0.44</v>
      </c>
      <c r="G4" s="14">
        <v>0.68</v>
      </c>
      <c r="H4" s="3">
        <v>11</v>
      </c>
      <c r="I4" s="3">
        <v>12</v>
      </c>
      <c r="J4" s="3">
        <v>2</v>
      </c>
      <c r="K4" s="3">
        <v>4</v>
      </c>
      <c r="L4" s="3">
        <v>2</v>
      </c>
      <c r="M4" s="3">
        <v>2</v>
      </c>
      <c r="N4" s="3">
        <v>2</v>
      </c>
      <c r="O4" s="3">
        <v>1812</v>
      </c>
      <c r="P4" s="3">
        <v>664</v>
      </c>
      <c r="Q4" s="3">
        <v>378</v>
      </c>
      <c r="R4" s="3">
        <v>2512</v>
      </c>
      <c r="S4" s="14">
        <v>0.54</v>
      </c>
      <c r="T4" s="14">
        <v>1.04</v>
      </c>
      <c r="U4" s="14">
        <v>1</v>
      </c>
      <c r="V4" s="14">
        <v>0.1</v>
      </c>
      <c r="W4" s="14">
        <v>0.89</v>
      </c>
      <c r="X4" s="14">
        <v>0.81840000000000002</v>
      </c>
      <c r="Y4" s="14">
        <v>0.54</v>
      </c>
      <c r="Z4">
        <v>80</v>
      </c>
      <c r="AA4">
        <v>56</v>
      </c>
      <c r="AB4">
        <v>29</v>
      </c>
      <c r="AC4" s="4">
        <f t="shared" si="1"/>
        <v>0.74946666666666673</v>
      </c>
      <c r="AD4" s="25"/>
      <c r="AE4" s="3"/>
      <c r="AF4" s="3"/>
    </row>
    <row r="5" spans="1:32" x14ac:dyDescent="0.25">
      <c r="A5" s="20">
        <v>45661</v>
      </c>
      <c r="B5" s="3" t="s">
        <v>53</v>
      </c>
      <c r="C5" s="3">
        <f t="shared" si="0"/>
        <v>1</v>
      </c>
      <c r="D5" t="s">
        <v>51</v>
      </c>
      <c r="E5" s="14">
        <v>0.27</v>
      </c>
      <c r="F5" s="14">
        <v>0.56000000000000005</v>
      </c>
      <c r="G5" s="14">
        <v>0.47</v>
      </c>
      <c r="H5" s="3">
        <v>9</v>
      </c>
      <c r="I5" s="3">
        <v>18</v>
      </c>
      <c r="J5" s="3">
        <v>2</v>
      </c>
      <c r="K5" s="3">
        <v>2</v>
      </c>
      <c r="L5" s="3">
        <v>4</v>
      </c>
      <c r="M5" s="3">
        <v>4</v>
      </c>
      <c r="N5" s="3">
        <v>2</v>
      </c>
      <c r="O5" s="3">
        <v>3385</v>
      </c>
      <c r="P5" s="3">
        <v>2054</v>
      </c>
      <c r="Q5" s="3">
        <v>252</v>
      </c>
      <c r="R5" s="3">
        <v>4468</v>
      </c>
      <c r="S5" s="14">
        <v>0.37</v>
      </c>
      <c r="T5" s="14">
        <v>0.53</v>
      </c>
      <c r="U5" s="14">
        <v>1.02</v>
      </c>
      <c r="V5" s="14">
        <v>0.09</v>
      </c>
      <c r="W5" s="14">
        <v>0.42299999999999999</v>
      </c>
      <c r="X5" s="14">
        <v>0.43956000000000006</v>
      </c>
      <c r="Y5" s="14">
        <v>0.26100000000000001</v>
      </c>
      <c r="Z5">
        <v>85</v>
      </c>
      <c r="AA5">
        <v>57</v>
      </c>
      <c r="AB5">
        <v>11</v>
      </c>
      <c r="AC5" s="4">
        <f t="shared" si="1"/>
        <v>0.37451999999999996</v>
      </c>
      <c r="AD5" s="25"/>
      <c r="AE5" s="3"/>
      <c r="AF5" s="3"/>
    </row>
    <row r="6" spans="1:32" x14ac:dyDescent="0.25">
      <c r="A6" s="20">
        <v>45662</v>
      </c>
      <c r="B6" s="3" t="s">
        <v>53</v>
      </c>
      <c r="C6" s="3">
        <f t="shared" si="0"/>
        <v>1</v>
      </c>
      <c r="D6" t="s">
        <v>65</v>
      </c>
      <c r="E6" s="14">
        <v>0.38</v>
      </c>
      <c r="F6" s="14">
        <v>0.63</v>
      </c>
      <c r="G6" s="14">
        <v>0.89</v>
      </c>
      <c r="H6" s="3">
        <v>40</v>
      </c>
      <c r="I6" s="3">
        <v>40</v>
      </c>
      <c r="J6" s="3">
        <v>5</v>
      </c>
      <c r="K6" s="3">
        <v>2</v>
      </c>
      <c r="L6" s="3">
        <v>2</v>
      </c>
      <c r="M6" s="3">
        <v>2</v>
      </c>
      <c r="N6" s="3">
        <v>2</v>
      </c>
      <c r="O6" s="3">
        <v>1330</v>
      </c>
      <c r="P6" s="3">
        <v>124</v>
      </c>
      <c r="Q6" s="3">
        <v>141</v>
      </c>
      <c r="R6" s="3">
        <v>2394</v>
      </c>
      <c r="S6" s="14">
        <v>1</v>
      </c>
      <c r="T6" s="14">
        <v>1.2</v>
      </c>
      <c r="U6" s="14">
        <v>0.43</v>
      </c>
      <c r="V6" s="14">
        <v>0.09</v>
      </c>
      <c r="W6" s="14">
        <v>0.35100000000000003</v>
      </c>
      <c r="X6" s="14">
        <v>0.19602000000000006</v>
      </c>
      <c r="Y6" s="14">
        <v>0.30150000000000005</v>
      </c>
      <c r="Z6">
        <v>85</v>
      </c>
      <c r="AA6">
        <v>57</v>
      </c>
      <c r="AB6">
        <v>34</v>
      </c>
      <c r="AC6" s="4">
        <f t="shared" si="1"/>
        <v>0.28284000000000004</v>
      </c>
      <c r="AD6" s="25"/>
      <c r="AE6" s="3"/>
      <c r="AF6" s="3"/>
    </row>
    <row r="7" spans="1:32" x14ac:dyDescent="0.25">
      <c r="A7" s="20">
        <v>45663</v>
      </c>
      <c r="B7" s="3" t="s">
        <v>53</v>
      </c>
      <c r="C7" s="3">
        <f t="shared" si="0"/>
        <v>2</v>
      </c>
      <c r="D7" t="s">
        <v>66</v>
      </c>
      <c r="E7" s="14">
        <v>0.72</v>
      </c>
      <c r="F7" s="14">
        <v>0.67</v>
      </c>
      <c r="G7" s="14">
        <v>0.42</v>
      </c>
      <c r="H7" s="3">
        <v>6</v>
      </c>
      <c r="I7" s="3">
        <v>18</v>
      </c>
      <c r="J7" s="3">
        <v>7</v>
      </c>
      <c r="K7" s="3">
        <v>5</v>
      </c>
      <c r="L7" s="3">
        <v>2</v>
      </c>
      <c r="M7" s="3">
        <v>2</v>
      </c>
      <c r="N7" s="3">
        <v>5</v>
      </c>
      <c r="O7" s="3">
        <v>2485</v>
      </c>
      <c r="P7" s="3">
        <v>2595</v>
      </c>
      <c r="Q7" s="3">
        <v>1383</v>
      </c>
      <c r="R7" s="3">
        <v>3844</v>
      </c>
      <c r="S7" s="14">
        <v>1.06</v>
      </c>
      <c r="T7" s="14">
        <v>0.62</v>
      </c>
      <c r="U7" s="14">
        <v>0.26</v>
      </c>
      <c r="V7" s="14">
        <v>0.04</v>
      </c>
      <c r="W7" s="14">
        <v>0.93</v>
      </c>
      <c r="X7" s="14">
        <v>0.48840000000000006</v>
      </c>
      <c r="Y7" s="14">
        <v>0.71</v>
      </c>
      <c r="Z7">
        <v>100</v>
      </c>
      <c r="AA7">
        <v>72</v>
      </c>
      <c r="AB7">
        <v>28</v>
      </c>
      <c r="AC7" s="4">
        <f t="shared" si="1"/>
        <v>0.70946666666666669</v>
      </c>
      <c r="AD7" s="25"/>
      <c r="AE7" s="3"/>
      <c r="AF7" s="3"/>
    </row>
    <row r="8" spans="1:32" x14ac:dyDescent="0.25">
      <c r="A8" s="20">
        <v>45664</v>
      </c>
      <c r="B8" s="3" t="s">
        <v>53</v>
      </c>
      <c r="C8" s="3">
        <f t="shared" si="0"/>
        <v>2</v>
      </c>
      <c r="D8" t="s">
        <v>67</v>
      </c>
      <c r="E8" s="14">
        <v>0.91</v>
      </c>
      <c r="F8" s="14">
        <v>0.54</v>
      </c>
      <c r="G8" s="14">
        <v>0.38</v>
      </c>
      <c r="H8" s="3">
        <v>37</v>
      </c>
      <c r="I8" s="3">
        <v>20</v>
      </c>
      <c r="J8" s="3">
        <v>2</v>
      </c>
      <c r="K8" s="3">
        <v>2</v>
      </c>
      <c r="L8" s="3">
        <v>12</v>
      </c>
      <c r="M8" s="3">
        <v>6</v>
      </c>
      <c r="N8" s="3">
        <v>1</v>
      </c>
      <c r="O8" s="3">
        <v>49</v>
      </c>
      <c r="P8" s="3">
        <v>2661</v>
      </c>
      <c r="Q8" s="3">
        <v>2313</v>
      </c>
      <c r="R8" s="3">
        <v>2927</v>
      </c>
      <c r="S8" s="14">
        <v>0.83</v>
      </c>
      <c r="T8" s="14">
        <v>1.1299999999999999</v>
      </c>
      <c r="U8" s="14">
        <v>0.35</v>
      </c>
      <c r="V8" s="14">
        <v>0.1</v>
      </c>
      <c r="W8" s="14">
        <v>0.94</v>
      </c>
      <c r="X8" s="14">
        <v>0.48840000000000006</v>
      </c>
      <c r="Y8" s="14">
        <v>0.79</v>
      </c>
      <c r="Z8">
        <v>97</v>
      </c>
      <c r="AA8">
        <v>65</v>
      </c>
      <c r="AB8">
        <v>22</v>
      </c>
      <c r="AC8" s="4">
        <f t="shared" si="1"/>
        <v>0.73946666666666661</v>
      </c>
      <c r="AD8" s="25"/>
      <c r="AE8" s="3"/>
      <c r="AF8" s="3"/>
    </row>
    <row r="9" spans="1:32" x14ac:dyDescent="0.25">
      <c r="A9" s="20">
        <v>45665</v>
      </c>
      <c r="B9" s="3" t="s">
        <v>53</v>
      </c>
      <c r="C9" s="3">
        <f t="shared" si="0"/>
        <v>2</v>
      </c>
      <c r="D9" t="s">
        <v>68</v>
      </c>
      <c r="E9" s="14">
        <v>0.98</v>
      </c>
      <c r="F9" s="14">
        <v>0.69</v>
      </c>
      <c r="G9" s="14">
        <v>0.83</v>
      </c>
      <c r="H9" s="3">
        <v>32</v>
      </c>
      <c r="I9" s="3">
        <v>32</v>
      </c>
      <c r="J9" s="3">
        <v>5</v>
      </c>
      <c r="K9" s="3">
        <v>4</v>
      </c>
      <c r="L9" s="3">
        <v>3</v>
      </c>
      <c r="M9" s="3">
        <v>11</v>
      </c>
      <c r="N9" s="3">
        <v>8</v>
      </c>
      <c r="O9" s="3">
        <v>2251</v>
      </c>
      <c r="P9" s="3">
        <v>2871</v>
      </c>
      <c r="Q9" s="3">
        <v>1828.5</v>
      </c>
      <c r="R9" s="3">
        <v>3158</v>
      </c>
      <c r="S9" s="14">
        <v>0.61</v>
      </c>
      <c r="T9" s="14">
        <v>0.67</v>
      </c>
      <c r="U9" s="14">
        <v>0.84</v>
      </c>
      <c r="V9" s="14">
        <v>0.03</v>
      </c>
      <c r="W9" s="14">
        <v>0.67</v>
      </c>
      <c r="X9" s="14">
        <v>0.43560000000000004</v>
      </c>
      <c r="Y9" s="14">
        <v>0.86</v>
      </c>
      <c r="Z9">
        <v>82</v>
      </c>
      <c r="AA9">
        <v>62</v>
      </c>
      <c r="AB9">
        <v>36</v>
      </c>
      <c r="AC9" s="4">
        <f t="shared" si="1"/>
        <v>0.65520000000000012</v>
      </c>
      <c r="AD9" s="25"/>
      <c r="AE9" s="3"/>
      <c r="AF9" s="3"/>
    </row>
    <row r="10" spans="1:32" x14ac:dyDescent="0.25">
      <c r="A10" s="20">
        <v>45666</v>
      </c>
      <c r="B10" s="3" t="s">
        <v>53</v>
      </c>
      <c r="C10" s="3">
        <f t="shared" si="0"/>
        <v>2</v>
      </c>
      <c r="D10" t="s">
        <v>69</v>
      </c>
      <c r="E10" s="14">
        <v>0.76</v>
      </c>
      <c r="F10" s="14">
        <v>0.83</v>
      </c>
      <c r="G10" s="14">
        <v>0.82</v>
      </c>
      <c r="H10" s="3">
        <v>7</v>
      </c>
      <c r="I10" s="3">
        <v>33</v>
      </c>
      <c r="J10" s="3">
        <v>2</v>
      </c>
      <c r="K10" s="3">
        <v>2</v>
      </c>
      <c r="L10" s="3">
        <v>11</v>
      </c>
      <c r="M10" s="3">
        <v>9</v>
      </c>
      <c r="N10" s="3">
        <v>2</v>
      </c>
      <c r="O10" s="3">
        <v>2354</v>
      </c>
      <c r="P10" s="3">
        <v>131</v>
      </c>
      <c r="Q10" s="3">
        <v>1192.5</v>
      </c>
      <c r="R10" s="3">
        <v>3295</v>
      </c>
      <c r="S10" s="14">
        <v>0.49</v>
      </c>
      <c r="T10" s="14">
        <v>0.69</v>
      </c>
      <c r="U10" s="14">
        <v>0.42</v>
      </c>
      <c r="V10" s="14">
        <v>0.02</v>
      </c>
      <c r="W10" s="14">
        <v>0.67</v>
      </c>
      <c r="X10" s="14">
        <v>0.68640000000000001</v>
      </c>
      <c r="Y10" s="14">
        <v>0.87</v>
      </c>
      <c r="Z10">
        <v>78</v>
      </c>
      <c r="AA10">
        <v>65</v>
      </c>
      <c r="AB10">
        <v>14</v>
      </c>
      <c r="AC10" s="4">
        <f t="shared" si="1"/>
        <v>0.74213333333333331</v>
      </c>
      <c r="AD10" s="25"/>
      <c r="AE10" s="3"/>
      <c r="AF10" s="3"/>
    </row>
    <row r="11" spans="1:32" x14ac:dyDescent="0.25">
      <c r="A11" s="20">
        <v>45667</v>
      </c>
      <c r="B11" s="3" t="s">
        <v>53</v>
      </c>
      <c r="C11" s="3">
        <f t="shared" si="0"/>
        <v>2</v>
      </c>
      <c r="D11" t="s">
        <v>70</v>
      </c>
      <c r="E11" s="14">
        <v>0.77</v>
      </c>
      <c r="F11" s="14">
        <v>0.69</v>
      </c>
      <c r="G11" s="14">
        <v>0.8</v>
      </c>
      <c r="H11" s="3">
        <v>20</v>
      </c>
      <c r="I11" s="3">
        <v>10</v>
      </c>
      <c r="J11" s="3">
        <v>2</v>
      </c>
      <c r="K11" s="3">
        <v>6</v>
      </c>
      <c r="L11" s="3">
        <v>7</v>
      </c>
      <c r="M11" s="3">
        <v>3</v>
      </c>
      <c r="N11" s="3">
        <v>4</v>
      </c>
      <c r="O11" s="3">
        <v>135</v>
      </c>
      <c r="P11" s="3">
        <v>168</v>
      </c>
      <c r="Q11" s="3">
        <v>414</v>
      </c>
      <c r="R11" s="3">
        <v>455</v>
      </c>
      <c r="S11" s="14">
        <v>0.91</v>
      </c>
      <c r="T11" s="14">
        <v>0.63</v>
      </c>
      <c r="U11" s="14">
        <v>0.71</v>
      </c>
      <c r="V11" s="14">
        <v>0.08</v>
      </c>
      <c r="W11" s="14">
        <v>0.49</v>
      </c>
      <c r="X11" s="14">
        <v>0.68640000000000001</v>
      </c>
      <c r="Y11" s="14">
        <v>0.89</v>
      </c>
      <c r="Z11">
        <v>95</v>
      </c>
      <c r="AA11">
        <v>80</v>
      </c>
      <c r="AB11">
        <v>36</v>
      </c>
      <c r="AC11" s="4">
        <f t="shared" si="1"/>
        <v>0.68880000000000008</v>
      </c>
      <c r="AD11" s="25"/>
      <c r="AE11" s="3"/>
      <c r="AF11" s="3"/>
    </row>
    <row r="12" spans="1:32" x14ac:dyDescent="0.25">
      <c r="A12" s="20">
        <v>45668</v>
      </c>
      <c r="B12" s="3" t="s">
        <v>53</v>
      </c>
      <c r="C12" s="3">
        <f t="shared" si="0"/>
        <v>2</v>
      </c>
      <c r="D12" t="s">
        <v>51</v>
      </c>
      <c r="E12" s="14">
        <v>0.39</v>
      </c>
      <c r="F12" s="14">
        <v>0.54</v>
      </c>
      <c r="G12" s="14">
        <v>0.87</v>
      </c>
      <c r="H12" s="3">
        <v>19</v>
      </c>
      <c r="I12" s="3">
        <v>22</v>
      </c>
      <c r="J12" s="3">
        <v>7</v>
      </c>
      <c r="K12" s="3">
        <v>2</v>
      </c>
      <c r="L12" s="3">
        <v>8</v>
      </c>
      <c r="M12" s="3">
        <v>3</v>
      </c>
      <c r="N12" s="3">
        <v>2</v>
      </c>
      <c r="O12" s="3">
        <v>2811</v>
      </c>
      <c r="P12" s="3">
        <v>684</v>
      </c>
      <c r="Q12" s="3">
        <v>240</v>
      </c>
      <c r="R12" s="3">
        <v>4986</v>
      </c>
      <c r="S12" s="14">
        <v>0.15</v>
      </c>
      <c r="T12" s="14">
        <v>0.18</v>
      </c>
      <c r="U12" s="14">
        <v>0.8</v>
      </c>
      <c r="V12" s="14">
        <v>0.01</v>
      </c>
      <c r="W12" s="14">
        <v>0.38700000000000001</v>
      </c>
      <c r="X12" s="14">
        <v>0.32076000000000005</v>
      </c>
      <c r="Y12" s="14">
        <v>0.3105</v>
      </c>
      <c r="Z12">
        <v>79</v>
      </c>
      <c r="AA12">
        <v>78</v>
      </c>
      <c r="AB12">
        <v>23</v>
      </c>
      <c r="AC12" s="4">
        <f t="shared" si="1"/>
        <v>0.33942000000000005</v>
      </c>
      <c r="AD12" s="25"/>
      <c r="AE12" s="3"/>
      <c r="AF12" s="3"/>
    </row>
    <row r="13" spans="1:32" x14ac:dyDescent="0.25">
      <c r="A13" s="20">
        <v>45669</v>
      </c>
      <c r="B13" s="3" t="s">
        <v>53</v>
      </c>
      <c r="C13" s="3">
        <f t="shared" si="0"/>
        <v>2</v>
      </c>
      <c r="D13" t="s">
        <v>65</v>
      </c>
      <c r="E13" s="14">
        <v>0.37</v>
      </c>
      <c r="F13" s="14">
        <v>0.8</v>
      </c>
      <c r="G13" s="14">
        <v>0.82</v>
      </c>
      <c r="H13" s="3">
        <v>35</v>
      </c>
      <c r="I13" s="3">
        <v>35</v>
      </c>
      <c r="J13" s="3">
        <v>1</v>
      </c>
      <c r="K13" s="3">
        <v>1</v>
      </c>
      <c r="L13" s="3">
        <v>7</v>
      </c>
      <c r="M13" s="3">
        <v>7</v>
      </c>
      <c r="N13" s="3">
        <v>6</v>
      </c>
      <c r="O13" s="3">
        <v>2554</v>
      </c>
      <c r="P13" s="3">
        <v>1719</v>
      </c>
      <c r="Q13" s="3">
        <v>2637</v>
      </c>
      <c r="R13" s="3">
        <v>3406</v>
      </c>
      <c r="S13" s="14">
        <v>0.43</v>
      </c>
      <c r="T13" s="14">
        <v>0.85</v>
      </c>
      <c r="U13" s="14">
        <v>0.87</v>
      </c>
      <c r="V13" s="14">
        <v>0.08</v>
      </c>
      <c r="W13" s="14">
        <v>0.35550000000000004</v>
      </c>
      <c r="X13" s="14">
        <v>0.29700000000000004</v>
      </c>
      <c r="Y13" s="14">
        <v>0.32850000000000001</v>
      </c>
      <c r="Z13">
        <v>89</v>
      </c>
      <c r="AA13">
        <v>51</v>
      </c>
      <c r="AB13">
        <v>33</v>
      </c>
      <c r="AC13" s="4">
        <f t="shared" si="1"/>
        <v>0.32700000000000001</v>
      </c>
      <c r="AD13" s="25"/>
      <c r="AE13" s="3"/>
      <c r="AF13" s="3"/>
    </row>
    <row r="14" spans="1:32" x14ac:dyDescent="0.25">
      <c r="A14" s="20">
        <v>45670</v>
      </c>
      <c r="B14" s="3" t="s">
        <v>53</v>
      </c>
      <c r="C14" s="3">
        <f t="shared" si="0"/>
        <v>3</v>
      </c>
      <c r="D14" t="s">
        <v>66</v>
      </c>
      <c r="E14" s="14">
        <v>0.95</v>
      </c>
      <c r="F14" s="14">
        <v>0.87</v>
      </c>
      <c r="G14" s="14">
        <v>0.89</v>
      </c>
      <c r="H14" s="3">
        <v>32</v>
      </c>
      <c r="I14" s="3">
        <v>26</v>
      </c>
      <c r="J14" s="3">
        <v>2</v>
      </c>
      <c r="K14" s="3">
        <v>8</v>
      </c>
      <c r="L14" s="3">
        <v>12</v>
      </c>
      <c r="M14" s="3">
        <v>11</v>
      </c>
      <c r="N14" s="3">
        <v>2</v>
      </c>
      <c r="O14" s="3">
        <v>2841</v>
      </c>
      <c r="P14" s="3">
        <v>675</v>
      </c>
      <c r="Q14" s="3">
        <v>2398.5</v>
      </c>
      <c r="R14" s="3">
        <v>4280</v>
      </c>
      <c r="S14" s="14">
        <v>0.5</v>
      </c>
      <c r="T14" s="14">
        <v>0.42</v>
      </c>
      <c r="U14" s="14">
        <v>0.48</v>
      </c>
      <c r="V14" s="14">
        <v>0.04</v>
      </c>
      <c r="W14" s="14">
        <v>0.93</v>
      </c>
      <c r="X14" s="14">
        <v>0.72600000000000009</v>
      </c>
      <c r="Y14" s="14">
        <v>0.81</v>
      </c>
      <c r="Z14">
        <v>78</v>
      </c>
      <c r="AA14">
        <v>56</v>
      </c>
      <c r="AB14">
        <v>48</v>
      </c>
      <c r="AC14" s="4">
        <f t="shared" si="1"/>
        <v>0.82200000000000006</v>
      </c>
      <c r="AD14" s="25"/>
      <c r="AE14" s="3"/>
      <c r="AF14" s="3"/>
    </row>
    <row r="15" spans="1:32" x14ac:dyDescent="0.25">
      <c r="A15" s="20">
        <v>45671</v>
      </c>
      <c r="B15" s="3" t="s">
        <v>53</v>
      </c>
      <c r="C15" s="3">
        <f t="shared" si="0"/>
        <v>3</v>
      </c>
      <c r="D15" t="s">
        <v>67</v>
      </c>
      <c r="E15" s="14">
        <v>0.95</v>
      </c>
      <c r="F15" s="14">
        <v>0.47</v>
      </c>
      <c r="G15" s="14">
        <v>0.67</v>
      </c>
      <c r="H15" s="3">
        <v>29</v>
      </c>
      <c r="I15" s="3">
        <v>11</v>
      </c>
      <c r="J15" s="3">
        <v>6</v>
      </c>
      <c r="K15" s="3">
        <v>3</v>
      </c>
      <c r="L15" s="3">
        <v>12</v>
      </c>
      <c r="M15" s="3">
        <v>12</v>
      </c>
      <c r="N15" s="3">
        <v>7</v>
      </c>
      <c r="O15" s="3">
        <v>853</v>
      </c>
      <c r="P15" s="3">
        <v>697</v>
      </c>
      <c r="Q15" s="3">
        <v>2380.5</v>
      </c>
      <c r="R15" s="3">
        <v>2618</v>
      </c>
      <c r="S15" s="14">
        <v>1.2</v>
      </c>
      <c r="T15" s="14">
        <v>0.45</v>
      </c>
      <c r="U15" s="14">
        <v>0.93</v>
      </c>
      <c r="V15" s="14">
        <v>0.1</v>
      </c>
      <c r="W15" s="14">
        <v>0.46</v>
      </c>
      <c r="X15" s="14">
        <v>0.51480000000000004</v>
      </c>
      <c r="Y15" s="14">
        <v>0.85</v>
      </c>
      <c r="Z15">
        <v>100</v>
      </c>
      <c r="AA15">
        <v>66</v>
      </c>
      <c r="AB15">
        <v>35</v>
      </c>
      <c r="AC15" s="4">
        <f t="shared" si="1"/>
        <v>0.60826666666666673</v>
      </c>
      <c r="AD15" s="25"/>
      <c r="AE15" s="3"/>
      <c r="AF15" s="3"/>
    </row>
    <row r="16" spans="1:32" x14ac:dyDescent="0.25">
      <c r="A16" s="20">
        <v>45672</v>
      </c>
      <c r="B16" s="3" t="s">
        <v>53</v>
      </c>
      <c r="C16" s="3">
        <f t="shared" si="0"/>
        <v>3</v>
      </c>
      <c r="D16" t="s">
        <v>68</v>
      </c>
      <c r="E16" s="14">
        <v>0.74</v>
      </c>
      <c r="F16" s="14">
        <v>0.69</v>
      </c>
      <c r="G16" s="14">
        <v>0.67</v>
      </c>
      <c r="H16" s="3">
        <v>13</v>
      </c>
      <c r="I16" s="3">
        <v>32</v>
      </c>
      <c r="J16" s="3">
        <v>2</v>
      </c>
      <c r="K16" s="3">
        <v>12</v>
      </c>
      <c r="L16" s="3">
        <v>8</v>
      </c>
      <c r="M16" s="3">
        <v>5</v>
      </c>
      <c r="N16" s="3">
        <v>11</v>
      </c>
      <c r="O16" s="3">
        <v>3380</v>
      </c>
      <c r="P16" s="3">
        <v>3018</v>
      </c>
      <c r="Q16" s="3">
        <v>1629</v>
      </c>
      <c r="R16" s="3">
        <v>4281</v>
      </c>
      <c r="S16" s="14">
        <v>0.44</v>
      </c>
      <c r="T16" s="14">
        <v>1.1399999999999999</v>
      </c>
      <c r="U16" s="14">
        <v>0.63</v>
      </c>
      <c r="V16" s="14">
        <v>0.06</v>
      </c>
      <c r="W16" s="14">
        <v>0.47</v>
      </c>
      <c r="X16" s="14">
        <v>0.68640000000000001</v>
      </c>
      <c r="Y16" s="14">
        <v>0.65</v>
      </c>
      <c r="Z16">
        <v>95</v>
      </c>
      <c r="AA16">
        <v>69</v>
      </c>
      <c r="AB16">
        <v>43</v>
      </c>
      <c r="AC16" s="4">
        <f t="shared" si="1"/>
        <v>0.6021333333333333</v>
      </c>
      <c r="AD16" s="25"/>
      <c r="AE16" s="3"/>
      <c r="AF16" s="3"/>
    </row>
    <row r="17" spans="1:32" x14ac:dyDescent="0.25">
      <c r="A17" s="20">
        <v>45673</v>
      </c>
      <c r="B17" s="3" t="s">
        <v>53</v>
      </c>
      <c r="C17" s="3">
        <f t="shared" si="0"/>
        <v>3</v>
      </c>
      <c r="D17" t="s">
        <v>69</v>
      </c>
      <c r="E17" s="14">
        <v>0.73</v>
      </c>
      <c r="F17" s="14">
        <v>0.87</v>
      </c>
      <c r="G17" s="14">
        <v>0.54</v>
      </c>
      <c r="H17" s="3">
        <v>35</v>
      </c>
      <c r="I17" s="3">
        <v>39</v>
      </c>
      <c r="J17" s="3">
        <v>2</v>
      </c>
      <c r="K17" s="3">
        <v>2</v>
      </c>
      <c r="L17" s="3">
        <v>12</v>
      </c>
      <c r="M17" s="3">
        <v>2</v>
      </c>
      <c r="N17" s="3">
        <v>4</v>
      </c>
      <c r="O17" s="3">
        <v>34</v>
      </c>
      <c r="P17" s="3">
        <v>486</v>
      </c>
      <c r="Q17" s="3">
        <v>1503</v>
      </c>
      <c r="R17" s="3">
        <v>1653</v>
      </c>
      <c r="S17" s="14">
        <v>1.03</v>
      </c>
      <c r="T17" s="14">
        <v>0.23</v>
      </c>
      <c r="U17" s="14">
        <v>0.33</v>
      </c>
      <c r="V17" s="14">
        <v>0.1</v>
      </c>
      <c r="W17" s="14">
        <v>0.56000000000000005</v>
      </c>
      <c r="X17" s="14">
        <v>0.79200000000000004</v>
      </c>
      <c r="Y17" s="14">
        <v>0.8</v>
      </c>
      <c r="Z17">
        <v>94</v>
      </c>
      <c r="AA17">
        <v>53</v>
      </c>
      <c r="AB17">
        <v>32</v>
      </c>
      <c r="AC17" s="4">
        <f t="shared" si="1"/>
        <v>0.71733333333333338</v>
      </c>
      <c r="AD17" s="25"/>
      <c r="AE17" s="3"/>
      <c r="AF17" s="3"/>
    </row>
    <row r="18" spans="1:32" x14ac:dyDescent="0.25">
      <c r="A18" s="20">
        <v>45674</v>
      </c>
      <c r="B18" s="3" t="s">
        <v>53</v>
      </c>
      <c r="C18" s="3">
        <f t="shared" si="0"/>
        <v>3</v>
      </c>
      <c r="D18" t="s">
        <v>70</v>
      </c>
      <c r="E18" s="14">
        <v>0.84</v>
      </c>
      <c r="F18" s="14">
        <v>0.64</v>
      </c>
      <c r="G18" s="14">
        <v>0.67</v>
      </c>
      <c r="H18" s="3">
        <v>34</v>
      </c>
      <c r="I18" s="3">
        <v>26</v>
      </c>
      <c r="J18" s="3">
        <v>4</v>
      </c>
      <c r="K18" s="3">
        <v>2</v>
      </c>
      <c r="L18" s="3">
        <v>1</v>
      </c>
      <c r="M18" s="3">
        <v>2</v>
      </c>
      <c r="N18" s="3">
        <v>7</v>
      </c>
      <c r="O18" s="3">
        <v>1491</v>
      </c>
      <c r="P18" s="3">
        <v>916</v>
      </c>
      <c r="Q18" s="3">
        <v>1126.5</v>
      </c>
      <c r="R18" s="3">
        <v>2485</v>
      </c>
      <c r="S18" s="14">
        <v>0.33</v>
      </c>
      <c r="T18" s="14">
        <v>0.48</v>
      </c>
      <c r="U18" s="14">
        <v>1.08</v>
      </c>
      <c r="V18" s="14">
        <v>7.0000000000000007E-2</v>
      </c>
      <c r="W18" s="14">
        <v>0.88</v>
      </c>
      <c r="X18" s="14">
        <v>0.83160000000000012</v>
      </c>
      <c r="Y18" s="14">
        <v>0.78</v>
      </c>
      <c r="Z18">
        <v>91</v>
      </c>
      <c r="AA18">
        <v>69</v>
      </c>
      <c r="AB18">
        <v>34</v>
      </c>
      <c r="AC18" s="4">
        <f t="shared" si="1"/>
        <v>0.83053333333333335</v>
      </c>
      <c r="AD18" s="25"/>
      <c r="AE18" s="3"/>
      <c r="AF18" s="3"/>
    </row>
    <row r="19" spans="1:32" x14ac:dyDescent="0.25">
      <c r="A19" s="20">
        <v>45675</v>
      </c>
      <c r="B19" s="3" t="s">
        <v>53</v>
      </c>
      <c r="C19" s="3">
        <f t="shared" si="0"/>
        <v>3</v>
      </c>
      <c r="D19" t="s">
        <v>51</v>
      </c>
      <c r="E19" s="14">
        <v>0.38</v>
      </c>
      <c r="F19" s="14">
        <v>0.68</v>
      </c>
      <c r="G19" s="14">
        <v>0.55000000000000004</v>
      </c>
      <c r="H19" s="3">
        <v>9</v>
      </c>
      <c r="I19" s="3">
        <v>30</v>
      </c>
      <c r="J19" s="3">
        <v>2</v>
      </c>
      <c r="K19" s="3">
        <v>4</v>
      </c>
      <c r="L19" s="3">
        <v>4</v>
      </c>
      <c r="M19" s="3">
        <v>7</v>
      </c>
      <c r="N19" s="3">
        <v>7</v>
      </c>
      <c r="O19" s="3">
        <v>1726</v>
      </c>
      <c r="P19" s="3">
        <v>747</v>
      </c>
      <c r="Q19" s="3">
        <v>1414.5</v>
      </c>
      <c r="R19" s="3">
        <v>1726</v>
      </c>
      <c r="S19" s="14">
        <v>0.26</v>
      </c>
      <c r="T19" s="14">
        <v>0.64</v>
      </c>
      <c r="U19" s="14">
        <v>0.56000000000000005</v>
      </c>
      <c r="V19" s="14">
        <v>7.0000000000000007E-2</v>
      </c>
      <c r="W19" s="14">
        <v>0.39600000000000002</v>
      </c>
      <c r="X19" s="14">
        <v>0.21384</v>
      </c>
      <c r="Y19" s="14">
        <v>0.35550000000000004</v>
      </c>
      <c r="Z19">
        <v>98</v>
      </c>
      <c r="AA19">
        <v>79</v>
      </c>
      <c r="AB19">
        <v>10</v>
      </c>
      <c r="AC19" s="4">
        <f t="shared" si="1"/>
        <v>0.32178000000000001</v>
      </c>
      <c r="AD19" s="25"/>
      <c r="AE19" s="3"/>
      <c r="AF19" s="3"/>
    </row>
    <row r="20" spans="1:32" x14ac:dyDescent="0.25">
      <c r="A20" s="20">
        <v>45676</v>
      </c>
      <c r="B20" s="3" t="s">
        <v>53</v>
      </c>
      <c r="C20" s="3">
        <f t="shared" si="0"/>
        <v>3</v>
      </c>
      <c r="D20" t="s">
        <v>65</v>
      </c>
      <c r="E20" s="14">
        <v>0.15</v>
      </c>
      <c r="F20" s="14">
        <v>0.39</v>
      </c>
      <c r="G20" s="14">
        <v>0.56999999999999995</v>
      </c>
      <c r="H20" s="3">
        <v>16</v>
      </c>
      <c r="I20" s="3">
        <v>18</v>
      </c>
      <c r="J20" s="3">
        <v>2</v>
      </c>
      <c r="K20" s="3">
        <v>2</v>
      </c>
      <c r="L20" s="3">
        <v>2</v>
      </c>
      <c r="M20" s="3">
        <v>2</v>
      </c>
      <c r="N20" s="3">
        <v>3</v>
      </c>
      <c r="O20" s="3">
        <v>387</v>
      </c>
      <c r="P20" s="3">
        <v>1021</v>
      </c>
      <c r="Q20" s="3">
        <v>1468.5</v>
      </c>
      <c r="R20" s="3">
        <v>1615</v>
      </c>
      <c r="S20" s="14">
        <v>1.23</v>
      </c>
      <c r="T20" s="14">
        <v>0.51</v>
      </c>
      <c r="U20" s="14">
        <v>0.67</v>
      </c>
      <c r="V20" s="14">
        <v>0.03</v>
      </c>
      <c r="W20" s="14">
        <v>0.27</v>
      </c>
      <c r="X20" s="14">
        <v>0.44550000000000006</v>
      </c>
      <c r="Y20" s="14">
        <v>0.26550000000000001</v>
      </c>
      <c r="Z20">
        <v>99</v>
      </c>
      <c r="AA20">
        <v>61</v>
      </c>
      <c r="AB20">
        <v>45</v>
      </c>
      <c r="AC20" s="4">
        <f t="shared" si="1"/>
        <v>0.32700000000000001</v>
      </c>
      <c r="AD20" s="25"/>
      <c r="AE20" s="3"/>
      <c r="AF20" s="3"/>
    </row>
    <row r="21" spans="1:32" x14ac:dyDescent="0.25">
      <c r="A21" s="20">
        <v>45677</v>
      </c>
      <c r="B21" s="3" t="s">
        <v>53</v>
      </c>
      <c r="C21" s="3">
        <f t="shared" si="0"/>
        <v>4</v>
      </c>
      <c r="D21" t="s">
        <v>66</v>
      </c>
      <c r="E21" s="14">
        <v>0.84</v>
      </c>
      <c r="F21" s="14">
        <v>0.45</v>
      </c>
      <c r="G21" s="14">
        <v>0.51</v>
      </c>
      <c r="H21" s="3">
        <v>37</v>
      </c>
      <c r="I21" s="3">
        <v>6</v>
      </c>
      <c r="J21" s="3">
        <v>9</v>
      </c>
      <c r="K21" s="3">
        <v>9</v>
      </c>
      <c r="L21" s="3">
        <v>4</v>
      </c>
      <c r="M21" s="3">
        <v>7</v>
      </c>
      <c r="N21" s="3">
        <v>7</v>
      </c>
      <c r="O21" s="3">
        <v>3258</v>
      </c>
      <c r="P21" s="3">
        <v>1050</v>
      </c>
      <c r="Q21" s="3">
        <v>1621.5</v>
      </c>
      <c r="R21" s="3">
        <v>4778</v>
      </c>
      <c r="S21" s="14">
        <v>0.48</v>
      </c>
      <c r="T21" s="14">
        <v>0.17</v>
      </c>
      <c r="U21" s="14">
        <v>0.3</v>
      </c>
      <c r="V21" s="14">
        <v>0.06</v>
      </c>
      <c r="W21" s="14">
        <v>0.77</v>
      </c>
      <c r="X21" s="14">
        <v>0.47520000000000001</v>
      </c>
      <c r="Y21" s="14">
        <v>0.55000000000000004</v>
      </c>
      <c r="Z21">
        <v>81</v>
      </c>
      <c r="AA21">
        <v>72</v>
      </c>
      <c r="AB21">
        <v>34</v>
      </c>
      <c r="AC21" s="4">
        <f t="shared" si="1"/>
        <v>0.59840000000000004</v>
      </c>
      <c r="AD21" s="25"/>
      <c r="AE21" s="3"/>
      <c r="AF21" s="3"/>
    </row>
    <row r="22" spans="1:32" x14ac:dyDescent="0.25">
      <c r="A22" s="20">
        <v>45678</v>
      </c>
      <c r="B22" s="3" t="s">
        <v>53</v>
      </c>
      <c r="C22" s="3">
        <f t="shared" si="0"/>
        <v>4</v>
      </c>
      <c r="D22" t="s">
        <v>67</v>
      </c>
      <c r="E22" s="14">
        <v>0.66</v>
      </c>
      <c r="F22" s="14">
        <v>0.5</v>
      </c>
      <c r="G22" s="14">
        <v>0.89</v>
      </c>
      <c r="H22" s="3">
        <v>18</v>
      </c>
      <c r="I22" s="3">
        <v>10</v>
      </c>
      <c r="J22" s="3">
        <v>4</v>
      </c>
      <c r="K22" s="3">
        <v>5</v>
      </c>
      <c r="L22" s="3">
        <v>4</v>
      </c>
      <c r="M22" s="3">
        <v>7</v>
      </c>
      <c r="N22" s="3">
        <v>12</v>
      </c>
      <c r="O22" s="3">
        <v>1962</v>
      </c>
      <c r="P22" s="3">
        <v>767</v>
      </c>
      <c r="Q22" s="3">
        <v>2301</v>
      </c>
      <c r="R22" s="3">
        <v>2354</v>
      </c>
      <c r="S22" s="14">
        <v>0.2</v>
      </c>
      <c r="T22" s="14">
        <v>0.81</v>
      </c>
      <c r="U22" s="14">
        <v>1.1100000000000001</v>
      </c>
      <c r="V22" s="14">
        <v>0.05</v>
      </c>
      <c r="W22" s="14">
        <v>0.47</v>
      </c>
      <c r="X22" s="14">
        <v>0.97680000000000011</v>
      </c>
      <c r="Y22" s="14">
        <v>0.49</v>
      </c>
      <c r="Z22">
        <v>86</v>
      </c>
      <c r="AA22">
        <v>59</v>
      </c>
      <c r="AB22">
        <v>33</v>
      </c>
      <c r="AC22" s="4">
        <f t="shared" si="1"/>
        <v>0.64560000000000006</v>
      </c>
      <c r="AD22" s="25"/>
      <c r="AE22" s="3"/>
      <c r="AF22" s="3"/>
    </row>
    <row r="23" spans="1:32" x14ac:dyDescent="0.25">
      <c r="A23" s="20">
        <v>45679</v>
      </c>
      <c r="B23" s="3" t="s">
        <v>53</v>
      </c>
      <c r="C23" s="3">
        <f t="shared" si="0"/>
        <v>4</v>
      </c>
      <c r="D23" t="s">
        <v>68</v>
      </c>
      <c r="E23" s="14">
        <v>0.76</v>
      </c>
      <c r="F23" s="14">
        <v>0.52</v>
      </c>
      <c r="G23" s="14">
        <v>0.4</v>
      </c>
      <c r="H23" s="3">
        <v>5</v>
      </c>
      <c r="I23" s="3">
        <v>7</v>
      </c>
      <c r="J23" s="3">
        <v>11</v>
      </c>
      <c r="K23" s="3">
        <v>6</v>
      </c>
      <c r="L23" s="3">
        <v>5</v>
      </c>
      <c r="M23" s="3">
        <v>2</v>
      </c>
      <c r="N23" s="3">
        <v>6</v>
      </c>
      <c r="O23" s="3">
        <v>240</v>
      </c>
      <c r="P23" s="3">
        <v>3051</v>
      </c>
      <c r="Q23" s="3">
        <v>1786.5</v>
      </c>
      <c r="R23" s="3">
        <v>3356</v>
      </c>
      <c r="S23" s="14">
        <v>0.48</v>
      </c>
      <c r="T23" s="14">
        <v>0.97</v>
      </c>
      <c r="U23" s="14">
        <v>0.68</v>
      </c>
      <c r="V23" s="14">
        <v>0.05</v>
      </c>
      <c r="W23" s="14">
        <v>0.74</v>
      </c>
      <c r="X23" s="14">
        <v>0.5676000000000001</v>
      </c>
      <c r="Y23" s="14">
        <v>0.53</v>
      </c>
      <c r="Z23">
        <v>87</v>
      </c>
      <c r="AA23">
        <v>73</v>
      </c>
      <c r="AB23">
        <v>35</v>
      </c>
      <c r="AC23" s="4">
        <f t="shared" si="1"/>
        <v>0.61253333333333337</v>
      </c>
      <c r="AD23" s="25"/>
      <c r="AE23" s="3"/>
      <c r="AF23" s="3"/>
    </row>
    <row r="24" spans="1:32" x14ac:dyDescent="0.25">
      <c r="A24" s="20">
        <v>45680</v>
      </c>
      <c r="B24" s="3" t="s">
        <v>53</v>
      </c>
      <c r="C24" s="3">
        <f t="shared" si="0"/>
        <v>4</v>
      </c>
      <c r="D24" t="s">
        <v>69</v>
      </c>
      <c r="E24" s="14">
        <v>0.98</v>
      </c>
      <c r="F24" s="14">
        <v>0.65</v>
      </c>
      <c r="G24" s="14">
        <v>0.8</v>
      </c>
      <c r="H24" s="3">
        <v>30</v>
      </c>
      <c r="I24" s="3">
        <v>18</v>
      </c>
      <c r="J24" s="3">
        <v>12</v>
      </c>
      <c r="K24" s="3">
        <v>12</v>
      </c>
      <c r="L24" s="3">
        <v>3</v>
      </c>
      <c r="M24" s="3">
        <v>3</v>
      </c>
      <c r="N24" s="3">
        <v>3</v>
      </c>
      <c r="O24" s="3">
        <v>909</v>
      </c>
      <c r="P24" s="3">
        <v>1878</v>
      </c>
      <c r="Q24" s="3">
        <v>1485</v>
      </c>
      <c r="R24" s="3">
        <v>2065</v>
      </c>
      <c r="S24" s="14">
        <v>0.94</v>
      </c>
      <c r="T24" s="14">
        <v>0.79</v>
      </c>
      <c r="U24" s="14">
        <v>0.23</v>
      </c>
      <c r="V24" s="14">
        <v>0.05</v>
      </c>
      <c r="W24" s="14">
        <v>0.65</v>
      </c>
      <c r="X24" s="14">
        <v>0.92400000000000004</v>
      </c>
      <c r="Y24" s="14">
        <v>0.57999999999999996</v>
      </c>
      <c r="Z24">
        <v>93</v>
      </c>
      <c r="AA24">
        <v>67</v>
      </c>
      <c r="AB24">
        <v>14</v>
      </c>
      <c r="AC24" s="4">
        <f t="shared" si="1"/>
        <v>0.71799999999999997</v>
      </c>
      <c r="AD24" s="25"/>
      <c r="AE24" s="3"/>
      <c r="AF24" s="3"/>
    </row>
    <row r="25" spans="1:32" x14ac:dyDescent="0.25">
      <c r="A25" s="20">
        <v>45681</v>
      </c>
      <c r="B25" s="3" t="s">
        <v>53</v>
      </c>
      <c r="C25" s="3">
        <f t="shared" si="0"/>
        <v>4</v>
      </c>
      <c r="D25" t="s">
        <v>70</v>
      </c>
      <c r="E25" s="14">
        <v>0.98</v>
      </c>
      <c r="F25" s="14">
        <v>0.54</v>
      </c>
      <c r="G25" s="14">
        <v>0.53</v>
      </c>
      <c r="H25" s="3">
        <v>5</v>
      </c>
      <c r="I25" s="3">
        <v>8</v>
      </c>
      <c r="J25" s="3">
        <v>4</v>
      </c>
      <c r="K25" s="3">
        <v>2</v>
      </c>
      <c r="L25" s="3">
        <v>3</v>
      </c>
      <c r="M25" s="3">
        <v>6</v>
      </c>
      <c r="N25" s="3">
        <v>7</v>
      </c>
      <c r="O25" s="3">
        <v>3245</v>
      </c>
      <c r="P25" s="3">
        <v>1147</v>
      </c>
      <c r="Q25" s="3">
        <v>360</v>
      </c>
      <c r="R25" s="3">
        <v>5754</v>
      </c>
      <c r="S25" s="14">
        <v>0.56999999999999995</v>
      </c>
      <c r="T25" s="14">
        <v>1.1299999999999999</v>
      </c>
      <c r="U25" s="14">
        <v>0.28999999999999998</v>
      </c>
      <c r="V25" s="14">
        <v>0.08</v>
      </c>
      <c r="W25" s="14">
        <v>0.91</v>
      </c>
      <c r="X25" s="14">
        <v>0.62039999999999995</v>
      </c>
      <c r="Y25" s="14">
        <v>0.38</v>
      </c>
      <c r="Z25">
        <v>97</v>
      </c>
      <c r="AA25">
        <v>65</v>
      </c>
      <c r="AB25">
        <v>43</v>
      </c>
      <c r="AC25" s="4">
        <f t="shared" si="1"/>
        <v>0.63680000000000003</v>
      </c>
      <c r="AD25" s="25"/>
      <c r="AE25" s="3"/>
      <c r="AF25" s="3"/>
    </row>
    <row r="26" spans="1:32" x14ac:dyDescent="0.25">
      <c r="A26" s="20">
        <v>45682</v>
      </c>
      <c r="B26" s="3" t="s">
        <v>53</v>
      </c>
      <c r="C26" s="3">
        <f t="shared" si="0"/>
        <v>4</v>
      </c>
      <c r="D26" t="s">
        <v>51</v>
      </c>
      <c r="E26" s="14">
        <v>0.32</v>
      </c>
      <c r="F26" s="14">
        <v>0.69</v>
      </c>
      <c r="G26" s="14">
        <v>0.35</v>
      </c>
      <c r="H26" s="3">
        <v>14</v>
      </c>
      <c r="I26" s="3">
        <v>38</v>
      </c>
      <c r="J26" s="3">
        <v>1</v>
      </c>
      <c r="K26" s="3">
        <v>8</v>
      </c>
      <c r="L26" s="3">
        <v>5</v>
      </c>
      <c r="M26" s="3">
        <v>2</v>
      </c>
      <c r="N26" s="3">
        <v>7</v>
      </c>
      <c r="O26" s="3">
        <v>2447</v>
      </c>
      <c r="P26" s="3">
        <v>1365</v>
      </c>
      <c r="Q26" s="3">
        <v>1725</v>
      </c>
      <c r="R26" s="3">
        <v>3001</v>
      </c>
      <c r="S26" s="14">
        <v>0.22</v>
      </c>
      <c r="T26" s="14">
        <v>0.64</v>
      </c>
      <c r="U26" s="14">
        <v>0.15</v>
      </c>
      <c r="V26" s="14">
        <v>0.04</v>
      </c>
      <c r="W26" s="14">
        <v>0.20250000000000001</v>
      </c>
      <c r="X26" s="14">
        <v>0.35640000000000005</v>
      </c>
      <c r="Y26" s="14">
        <v>0.27450000000000002</v>
      </c>
      <c r="Z26">
        <v>85</v>
      </c>
      <c r="AA26">
        <v>75</v>
      </c>
      <c r="AB26">
        <v>29</v>
      </c>
      <c r="AC26" s="4">
        <f t="shared" si="1"/>
        <v>0.27780000000000005</v>
      </c>
      <c r="AD26" s="25"/>
      <c r="AE26" s="3"/>
      <c r="AF26" s="3"/>
    </row>
    <row r="27" spans="1:32" x14ac:dyDescent="0.25">
      <c r="A27" s="20">
        <v>45683</v>
      </c>
      <c r="B27" s="3" t="s">
        <v>53</v>
      </c>
      <c r="C27" s="3">
        <f t="shared" si="0"/>
        <v>4</v>
      </c>
      <c r="D27" t="s">
        <v>65</v>
      </c>
      <c r="E27" s="14">
        <v>0.23</v>
      </c>
      <c r="F27" s="14">
        <v>0.86</v>
      </c>
      <c r="G27" s="14">
        <v>0.71</v>
      </c>
      <c r="H27" s="3">
        <v>33</v>
      </c>
      <c r="I27" s="3">
        <v>13</v>
      </c>
      <c r="J27" s="3">
        <v>4</v>
      </c>
      <c r="K27" s="3">
        <v>2</v>
      </c>
      <c r="L27" s="3">
        <v>3</v>
      </c>
      <c r="M27" s="3">
        <v>2</v>
      </c>
      <c r="N27" s="3">
        <v>4</v>
      </c>
      <c r="O27" s="3">
        <v>3457</v>
      </c>
      <c r="P27" s="3">
        <v>2928</v>
      </c>
      <c r="Q27" s="3">
        <v>1059</v>
      </c>
      <c r="R27" s="3">
        <v>6177</v>
      </c>
      <c r="S27" s="14">
        <v>0.47</v>
      </c>
      <c r="T27" s="14">
        <v>0.26</v>
      </c>
      <c r="U27" s="14">
        <v>0.36</v>
      </c>
      <c r="V27" s="14">
        <v>0.03</v>
      </c>
      <c r="W27" s="14">
        <v>0.23400000000000001</v>
      </c>
      <c r="X27" s="14">
        <v>0.23166000000000003</v>
      </c>
      <c r="Y27" s="14">
        <v>0.33750000000000002</v>
      </c>
      <c r="Z27">
        <v>82</v>
      </c>
      <c r="AA27">
        <v>60</v>
      </c>
      <c r="AB27">
        <v>14</v>
      </c>
      <c r="AC27" s="4">
        <f t="shared" si="1"/>
        <v>0.26772000000000001</v>
      </c>
      <c r="AD27" s="25"/>
      <c r="AE27" s="3"/>
      <c r="AF27" s="3"/>
    </row>
    <row r="28" spans="1:32" x14ac:dyDescent="0.25">
      <c r="A28" s="20">
        <v>45684</v>
      </c>
      <c r="B28" s="3" t="s">
        <v>53</v>
      </c>
      <c r="C28" s="3">
        <f t="shared" si="0"/>
        <v>5</v>
      </c>
      <c r="D28" t="s">
        <v>66</v>
      </c>
      <c r="E28" s="14">
        <v>0.69</v>
      </c>
      <c r="F28" s="14">
        <v>0.9</v>
      </c>
      <c r="G28" s="14">
        <v>0.43</v>
      </c>
      <c r="H28" s="3">
        <v>29</v>
      </c>
      <c r="I28" s="3">
        <v>27</v>
      </c>
      <c r="J28" s="3">
        <v>2</v>
      </c>
      <c r="K28" s="3">
        <v>11</v>
      </c>
      <c r="L28" s="3">
        <v>8</v>
      </c>
      <c r="M28" s="3">
        <v>6</v>
      </c>
      <c r="N28" s="3">
        <v>11</v>
      </c>
      <c r="O28" s="3">
        <v>898</v>
      </c>
      <c r="P28" s="3">
        <v>2655</v>
      </c>
      <c r="Q28" s="3">
        <v>1129.5</v>
      </c>
      <c r="R28" s="3">
        <v>2920</v>
      </c>
      <c r="S28" s="14">
        <v>0.77</v>
      </c>
      <c r="T28" s="14">
        <v>0.86</v>
      </c>
      <c r="U28" s="14">
        <v>0.7</v>
      </c>
      <c r="V28" s="14">
        <v>0.04</v>
      </c>
      <c r="W28" s="14">
        <v>0.78</v>
      </c>
      <c r="X28" s="14">
        <v>0.5544</v>
      </c>
      <c r="Y28" s="14">
        <v>0.5</v>
      </c>
      <c r="Z28">
        <v>87</v>
      </c>
      <c r="AA28">
        <v>69</v>
      </c>
      <c r="AB28">
        <v>22</v>
      </c>
      <c r="AC28" s="4">
        <f t="shared" si="1"/>
        <v>0.61146666666666671</v>
      </c>
      <c r="AD28" s="25"/>
      <c r="AE28" s="3"/>
      <c r="AF28" s="3"/>
    </row>
    <row r="29" spans="1:32" x14ac:dyDescent="0.25">
      <c r="A29" s="20">
        <v>45685</v>
      </c>
      <c r="B29" s="3" t="s">
        <v>53</v>
      </c>
      <c r="C29" s="3">
        <f t="shared" si="0"/>
        <v>5</v>
      </c>
      <c r="D29" t="s">
        <v>67</v>
      </c>
      <c r="E29" s="14">
        <v>0.68</v>
      </c>
      <c r="F29" s="14">
        <v>0.7</v>
      </c>
      <c r="G29" s="14">
        <v>0.77</v>
      </c>
      <c r="H29" s="3">
        <v>26</v>
      </c>
      <c r="I29" s="3">
        <v>39</v>
      </c>
      <c r="J29" s="3">
        <v>2</v>
      </c>
      <c r="K29" s="3">
        <v>8</v>
      </c>
      <c r="L29" s="3">
        <v>5</v>
      </c>
      <c r="M29" s="3">
        <v>8</v>
      </c>
      <c r="N29" s="3">
        <v>8</v>
      </c>
      <c r="O29" s="3">
        <v>1008</v>
      </c>
      <c r="P29" s="3">
        <v>1814</v>
      </c>
      <c r="Q29" s="3">
        <v>450</v>
      </c>
      <c r="R29" s="3">
        <v>1995</v>
      </c>
      <c r="S29" s="14">
        <v>0.21</v>
      </c>
      <c r="T29" s="14">
        <v>0.52</v>
      </c>
      <c r="U29" s="14">
        <v>0.31</v>
      </c>
      <c r="V29" s="14">
        <v>0.08</v>
      </c>
      <c r="W29" s="14">
        <v>0.61</v>
      </c>
      <c r="X29" s="14">
        <v>0.75239999999999996</v>
      </c>
      <c r="Y29" s="14">
        <v>0.65</v>
      </c>
      <c r="Z29">
        <v>99</v>
      </c>
      <c r="AA29">
        <v>74</v>
      </c>
      <c r="AB29">
        <v>16</v>
      </c>
      <c r="AC29" s="4">
        <f t="shared" si="1"/>
        <v>0.67079999999999995</v>
      </c>
      <c r="AD29" s="25"/>
      <c r="AE29" s="3"/>
      <c r="AF29" s="3"/>
    </row>
    <row r="30" spans="1:32" x14ac:dyDescent="0.25">
      <c r="A30" s="20">
        <v>45686</v>
      </c>
      <c r="B30" s="3" t="s">
        <v>53</v>
      </c>
      <c r="C30" s="3">
        <f t="shared" si="0"/>
        <v>5</v>
      </c>
      <c r="D30" t="s">
        <v>68</v>
      </c>
      <c r="E30" s="14">
        <v>0.8</v>
      </c>
      <c r="F30" s="14">
        <v>0.59</v>
      </c>
      <c r="G30" s="14">
        <v>0.41</v>
      </c>
      <c r="H30" s="3">
        <v>11</v>
      </c>
      <c r="I30" s="3">
        <v>19</v>
      </c>
      <c r="J30" s="3">
        <v>9</v>
      </c>
      <c r="K30" s="3">
        <v>1</v>
      </c>
      <c r="L30" s="3">
        <v>9</v>
      </c>
      <c r="M30" s="3">
        <v>12</v>
      </c>
      <c r="N30" s="3">
        <v>1</v>
      </c>
      <c r="O30" s="3">
        <v>1561</v>
      </c>
      <c r="P30" s="3">
        <v>2425</v>
      </c>
      <c r="Q30" s="3">
        <v>553.5</v>
      </c>
      <c r="R30" s="3">
        <v>2456</v>
      </c>
      <c r="S30" s="14">
        <v>1.04</v>
      </c>
      <c r="T30" s="14">
        <v>0.62</v>
      </c>
      <c r="U30" s="14">
        <v>0.88</v>
      </c>
      <c r="V30" s="14">
        <v>0.01</v>
      </c>
      <c r="W30" s="14">
        <v>0.47</v>
      </c>
      <c r="X30" s="14">
        <v>0.87120000000000009</v>
      </c>
      <c r="Y30" s="14">
        <v>0.57999999999999996</v>
      </c>
      <c r="Z30">
        <v>82</v>
      </c>
      <c r="AA30">
        <v>62</v>
      </c>
      <c r="AB30">
        <v>44</v>
      </c>
      <c r="AC30" s="4">
        <f t="shared" si="1"/>
        <v>0.64040000000000008</v>
      </c>
      <c r="AD30" s="25"/>
      <c r="AE30" s="3"/>
      <c r="AF30" s="3"/>
    </row>
    <row r="31" spans="1:32" x14ac:dyDescent="0.25">
      <c r="A31" s="20">
        <v>45687</v>
      </c>
      <c r="B31" s="3" t="s">
        <v>53</v>
      </c>
      <c r="C31" s="3">
        <f t="shared" si="0"/>
        <v>5</v>
      </c>
      <c r="D31" t="s">
        <v>69</v>
      </c>
      <c r="E31" s="14">
        <v>0.69</v>
      </c>
      <c r="F31" s="14">
        <v>0.82</v>
      </c>
      <c r="G31" s="14">
        <v>0.4</v>
      </c>
      <c r="H31" s="3">
        <v>24</v>
      </c>
      <c r="I31" s="3">
        <v>24</v>
      </c>
      <c r="J31" s="3">
        <v>5</v>
      </c>
      <c r="K31" s="3">
        <v>9</v>
      </c>
      <c r="L31" s="3">
        <v>1</v>
      </c>
      <c r="M31" s="3">
        <v>7</v>
      </c>
      <c r="N31" s="3">
        <v>7</v>
      </c>
      <c r="O31" s="3">
        <v>249</v>
      </c>
      <c r="P31" s="3">
        <v>3156</v>
      </c>
      <c r="Q31" s="3">
        <v>1527</v>
      </c>
      <c r="R31" s="3">
        <v>3471</v>
      </c>
      <c r="S31" s="14">
        <v>1.22</v>
      </c>
      <c r="T31" s="14">
        <v>0.28000000000000003</v>
      </c>
      <c r="U31" s="14">
        <v>0.99</v>
      </c>
      <c r="V31" s="14">
        <v>0.05</v>
      </c>
      <c r="W31" s="14">
        <v>0.69</v>
      </c>
      <c r="X31" s="14">
        <v>0.39600000000000002</v>
      </c>
      <c r="Y31" s="14">
        <v>0.76</v>
      </c>
      <c r="Z31">
        <v>88</v>
      </c>
      <c r="AA31">
        <v>67</v>
      </c>
      <c r="AB31">
        <v>28</v>
      </c>
      <c r="AC31" s="4">
        <f t="shared" si="1"/>
        <v>0.61533333333333329</v>
      </c>
      <c r="AD31" s="25"/>
      <c r="AE31" s="3"/>
      <c r="AF31" s="3"/>
    </row>
    <row r="32" spans="1:32" x14ac:dyDescent="0.25">
      <c r="A32" s="20">
        <v>45688</v>
      </c>
      <c r="B32" s="3" t="s">
        <v>53</v>
      </c>
      <c r="C32" s="3">
        <f t="shared" si="0"/>
        <v>5</v>
      </c>
      <c r="D32" t="s">
        <v>70</v>
      </c>
      <c r="E32" s="14">
        <v>0.93</v>
      </c>
      <c r="F32" s="14">
        <v>0.66</v>
      </c>
      <c r="G32" s="14">
        <v>0.63</v>
      </c>
      <c r="H32" s="3">
        <v>8</v>
      </c>
      <c r="I32" s="3">
        <v>28</v>
      </c>
      <c r="J32" s="3">
        <v>6</v>
      </c>
      <c r="K32" s="3">
        <v>2</v>
      </c>
      <c r="L32" s="3">
        <v>2</v>
      </c>
      <c r="M32" s="3">
        <v>7</v>
      </c>
      <c r="N32" s="3">
        <v>1</v>
      </c>
      <c r="O32" s="3">
        <v>1404</v>
      </c>
      <c r="P32" s="3">
        <v>2796</v>
      </c>
      <c r="Q32" s="3">
        <v>843</v>
      </c>
      <c r="R32" s="3">
        <v>3075</v>
      </c>
      <c r="S32" s="14">
        <v>0.86</v>
      </c>
      <c r="T32" s="14">
        <v>1.1200000000000001</v>
      </c>
      <c r="U32" s="14">
        <v>0.28000000000000003</v>
      </c>
      <c r="V32" s="14">
        <v>7.0000000000000007E-2</v>
      </c>
      <c r="W32" s="14">
        <v>0.84</v>
      </c>
      <c r="X32" s="14">
        <v>0.88440000000000007</v>
      </c>
      <c r="Y32" s="14">
        <v>0.84</v>
      </c>
      <c r="Z32">
        <v>99</v>
      </c>
      <c r="AA32">
        <v>80</v>
      </c>
      <c r="AB32">
        <v>32</v>
      </c>
      <c r="AC32" s="4">
        <f t="shared" si="1"/>
        <v>0.8548</v>
      </c>
      <c r="AD32" s="25"/>
      <c r="AE32" s="3"/>
      <c r="AF32" s="3"/>
    </row>
    <row r="33" spans="1:32" x14ac:dyDescent="0.25">
      <c r="A33" s="20">
        <v>45689</v>
      </c>
      <c r="B33" s="3" t="s">
        <v>54</v>
      </c>
      <c r="C33" s="3">
        <f t="shared" si="0"/>
        <v>1</v>
      </c>
      <c r="D33" t="s">
        <v>51</v>
      </c>
      <c r="E33" s="14">
        <v>0.19</v>
      </c>
      <c r="F33" s="14">
        <v>0.86</v>
      </c>
      <c r="G33" s="14">
        <v>0.56999999999999995</v>
      </c>
      <c r="H33" s="3">
        <v>36</v>
      </c>
      <c r="I33" s="3">
        <v>34</v>
      </c>
      <c r="J33" s="3">
        <v>4</v>
      </c>
      <c r="K33" s="3">
        <v>6</v>
      </c>
      <c r="L33" s="3">
        <v>1</v>
      </c>
      <c r="M33" s="3">
        <v>2</v>
      </c>
      <c r="N33" s="3">
        <v>3</v>
      </c>
      <c r="O33" s="3">
        <v>437</v>
      </c>
      <c r="P33" s="3">
        <v>1312</v>
      </c>
      <c r="Q33" s="3">
        <v>2178</v>
      </c>
      <c r="R33" s="3">
        <v>2395</v>
      </c>
      <c r="S33" s="14">
        <v>0.27</v>
      </c>
      <c r="T33" s="14">
        <v>1.04</v>
      </c>
      <c r="U33" s="14">
        <v>0.54</v>
      </c>
      <c r="V33" s="14">
        <v>0.03</v>
      </c>
      <c r="W33" s="14">
        <v>0.26550000000000001</v>
      </c>
      <c r="X33" s="14">
        <v>0.39204000000000011</v>
      </c>
      <c r="Y33" s="14">
        <v>0.19800000000000001</v>
      </c>
      <c r="Z33">
        <v>97</v>
      </c>
      <c r="AA33">
        <v>76</v>
      </c>
      <c r="AB33">
        <v>33</v>
      </c>
      <c r="AC33" s="4">
        <f t="shared" si="1"/>
        <v>0.28518000000000004</v>
      </c>
      <c r="AD33" s="25"/>
      <c r="AE33" s="3"/>
      <c r="AF33" s="3"/>
    </row>
    <row r="34" spans="1:32" x14ac:dyDescent="0.25">
      <c r="A34" s="20">
        <v>45690</v>
      </c>
      <c r="B34" s="3" t="s">
        <v>54</v>
      </c>
      <c r="C34" s="3">
        <f t="shared" si="0"/>
        <v>1</v>
      </c>
      <c r="D34" t="s">
        <v>65</v>
      </c>
      <c r="E34" s="14">
        <v>0.12</v>
      </c>
      <c r="F34" s="14">
        <v>0.69</v>
      </c>
      <c r="G34" s="14">
        <v>0.67</v>
      </c>
      <c r="H34" s="3">
        <v>19</v>
      </c>
      <c r="I34" s="3">
        <v>19</v>
      </c>
      <c r="J34" s="3">
        <v>2</v>
      </c>
      <c r="K34" s="3">
        <v>7</v>
      </c>
      <c r="L34" s="3">
        <v>4</v>
      </c>
      <c r="M34" s="3">
        <v>4</v>
      </c>
      <c r="N34" s="3">
        <v>7</v>
      </c>
      <c r="O34" s="3">
        <v>3189</v>
      </c>
      <c r="P34" s="3">
        <v>3123</v>
      </c>
      <c r="Q34" s="3">
        <v>2628</v>
      </c>
      <c r="R34" s="3">
        <v>5528</v>
      </c>
      <c r="S34" s="14">
        <v>1.1299999999999999</v>
      </c>
      <c r="T34" s="14">
        <v>0.76</v>
      </c>
      <c r="U34" s="14">
        <v>1.1200000000000001</v>
      </c>
      <c r="V34" s="14">
        <v>0.06</v>
      </c>
      <c r="W34" s="14">
        <v>0.24300000000000002</v>
      </c>
      <c r="X34" s="14">
        <v>0.31482000000000004</v>
      </c>
      <c r="Y34" s="14">
        <v>0.30150000000000005</v>
      </c>
      <c r="Z34">
        <v>95</v>
      </c>
      <c r="AA34">
        <v>52</v>
      </c>
      <c r="AB34">
        <v>45</v>
      </c>
      <c r="AC34" s="4">
        <f t="shared" si="1"/>
        <v>0.28644000000000003</v>
      </c>
      <c r="AD34" s="25"/>
      <c r="AE34" s="3"/>
      <c r="AF34" s="3"/>
    </row>
    <row r="35" spans="1:32" x14ac:dyDescent="0.25">
      <c r="A35" s="20">
        <v>45691</v>
      </c>
      <c r="B35" s="3" t="s">
        <v>54</v>
      </c>
      <c r="C35" s="3">
        <f t="shared" si="0"/>
        <v>2</v>
      </c>
      <c r="D35" t="s">
        <v>66</v>
      </c>
      <c r="E35" s="14">
        <v>0.85</v>
      </c>
      <c r="F35" s="14">
        <v>0.54</v>
      </c>
      <c r="G35" s="14">
        <v>0.43</v>
      </c>
      <c r="H35" s="3">
        <v>34</v>
      </c>
      <c r="I35" s="3">
        <v>40</v>
      </c>
      <c r="J35" s="3">
        <v>2</v>
      </c>
      <c r="K35" s="3">
        <v>12</v>
      </c>
      <c r="L35" s="3">
        <v>9</v>
      </c>
      <c r="M35" s="3">
        <v>9</v>
      </c>
      <c r="N35" s="3">
        <v>9</v>
      </c>
      <c r="O35" s="3">
        <v>77</v>
      </c>
      <c r="P35" s="3">
        <v>3019</v>
      </c>
      <c r="Q35" s="3">
        <v>1579.5</v>
      </c>
      <c r="R35" s="3">
        <v>3320</v>
      </c>
      <c r="S35" s="14">
        <v>1.08</v>
      </c>
      <c r="T35" s="14">
        <v>1.18</v>
      </c>
      <c r="U35" s="14">
        <v>1.0900000000000001</v>
      </c>
      <c r="V35" s="14">
        <v>0.08</v>
      </c>
      <c r="W35" s="14">
        <v>0.83</v>
      </c>
      <c r="X35" s="14">
        <v>0.44880000000000009</v>
      </c>
      <c r="Y35" s="14">
        <v>0.66</v>
      </c>
      <c r="Z35">
        <v>86</v>
      </c>
      <c r="AA35">
        <v>75</v>
      </c>
      <c r="AB35">
        <v>20</v>
      </c>
      <c r="AC35" s="4">
        <f t="shared" si="1"/>
        <v>0.64626666666666666</v>
      </c>
      <c r="AD35" s="25"/>
      <c r="AE35" s="3"/>
      <c r="AF35" s="3"/>
    </row>
    <row r="36" spans="1:32" x14ac:dyDescent="0.25">
      <c r="A36" s="20">
        <v>45692</v>
      </c>
      <c r="B36" s="3" t="s">
        <v>54</v>
      </c>
      <c r="C36" s="3">
        <f t="shared" si="0"/>
        <v>2</v>
      </c>
      <c r="D36" t="s">
        <v>67</v>
      </c>
      <c r="E36" s="14">
        <v>0.84</v>
      </c>
      <c r="F36" s="14">
        <v>0.67</v>
      </c>
      <c r="G36" s="14">
        <v>0.75</v>
      </c>
      <c r="H36" s="3">
        <v>25</v>
      </c>
      <c r="I36" s="3">
        <v>24</v>
      </c>
      <c r="J36" s="3">
        <v>11</v>
      </c>
      <c r="K36" s="3">
        <v>5</v>
      </c>
      <c r="L36" s="3">
        <v>6</v>
      </c>
      <c r="M36" s="3">
        <v>4</v>
      </c>
      <c r="N36" s="3">
        <v>3</v>
      </c>
      <c r="O36" s="3">
        <v>2089</v>
      </c>
      <c r="P36" s="3">
        <v>1701</v>
      </c>
      <c r="Q36" s="3">
        <v>1891.5</v>
      </c>
      <c r="R36" s="3">
        <v>3148</v>
      </c>
      <c r="S36" s="14">
        <v>0.67</v>
      </c>
      <c r="T36" s="14">
        <v>0.82</v>
      </c>
      <c r="U36" s="14">
        <v>0.56000000000000005</v>
      </c>
      <c r="V36" s="14">
        <v>0.06</v>
      </c>
      <c r="W36" s="14">
        <v>0.79</v>
      </c>
      <c r="X36" s="14">
        <v>0.47520000000000001</v>
      </c>
      <c r="Y36" s="14">
        <v>0.66</v>
      </c>
      <c r="Z36">
        <v>85</v>
      </c>
      <c r="AA36">
        <v>53</v>
      </c>
      <c r="AB36">
        <v>44</v>
      </c>
      <c r="AC36" s="4">
        <f t="shared" si="1"/>
        <v>0.64173333333333338</v>
      </c>
      <c r="AD36" s="25"/>
      <c r="AE36" s="3"/>
      <c r="AF36" s="3"/>
    </row>
    <row r="37" spans="1:32" x14ac:dyDescent="0.25">
      <c r="A37" s="20">
        <v>45693</v>
      </c>
      <c r="B37" s="3" t="s">
        <v>54</v>
      </c>
      <c r="C37" s="3">
        <f t="shared" si="0"/>
        <v>2</v>
      </c>
      <c r="D37" t="s">
        <v>68</v>
      </c>
      <c r="E37" s="14">
        <v>0.69</v>
      </c>
      <c r="F37" s="14">
        <v>0.47</v>
      </c>
      <c r="G37" s="14">
        <v>0.89</v>
      </c>
      <c r="H37" s="3">
        <v>9</v>
      </c>
      <c r="I37" s="3">
        <v>35</v>
      </c>
      <c r="J37" s="3">
        <v>7</v>
      </c>
      <c r="K37" s="3">
        <v>12</v>
      </c>
      <c r="L37" s="3">
        <v>7</v>
      </c>
      <c r="M37" s="3">
        <v>2</v>
      </c>
      <c r="N37" s="3">
        <v>12</v>
      </c>
      <c r="O37" s="3">
        <v>1507</v>
      </c>
      <c r="P37" s="3">
        <v>2957</v>
      </c>
      <c r="Q37" s="3">
        <v>2166</v>
      </c>
      <c r="R37" s="3">
        <v>3252</v>
      </c>
      <c r="S37" s="14">
        <v>0.51</v>
      </c>
      <c r="T37" s="14">
        <v>0.23</v>
      </c>
      <c r="U37" s="14">
        <v>0.79</v>
      </c>
      <c r="V37" s="14">
        <v>0.04</v>
      </c>
      <c r="W37" s="14">
        <v>0.57999999999999996</v>
      </c>
      <c r="X37" s="14">
        <v>0.39600000000000002</v>
      </c>
      <c r="Y37" s="14">
        <v>0.5</v>
      </c>
      <c r="Z37">
        <v>89</v>
      </c>
      <c r="AA37">
        <v>63</v>
      </c>
      <c r="AB37">
        <v>34</v>
      </c>
      <c r="AC37" s="4">
        <f t="shared" si="1"/>
        <v>0.49199999999999999</v>
      </c>
      <c r="AD37" s="25"/>
      <c r="AE37" s="3"/>
      <c r="AF37" s="3"/>
    </row>
    <row r="38" spans="1:32" x14ac:dyDescent="0.25">
      <c r="A38" s="20">
        <v>45694</v>
      </c>
      <c r="B38" s="3" t="s">
        <v>54</v>
      </c>
      <c r="C38" s="3">
        <f t="shared" si="0"/>
        <v>2</v>
      </c>
      <c r="D38" t="s">
        <v>69</v>
      </c>
      <c r="E38" s="14">
        <v>0.66</v>
      </c>
      <c r="F38" s="14">
        <v>0.82</v>
      </c>
      <c r="G38" s="14">
        <v>0.41</v>
      </c>
      <c r="H38" s="3">
        <v>40</v>
      </c>
      <c r="I38" s="3">
        <v>12</v>
      </c>
      <c r="J38" s="3">
        <v>4</v>
      </c>
      <c r="K38" s="3">
        <v>5</v>
      </c>
      <c r="L38" s="3">
        <v>9</v>
      </c>
      <c r="M38" s="3">
        <v>11</v>
      </c>
      <c r="N38" s="3">
        <v>8</v>
      </c>
      <c r="O38" s="3">
        <v>2076</v>
      </c>
      <c r="P38" s="3">
        <v>391</v>
      </c>
      <c r="Q38" s="3">
        <v>402</v>
      </c>
      <c r="R38" s="3">
        <v>3072</v>
      </c>
      <c r="S38" s="14">
        <v>0.9</v>
      </c>
      <c r="T38" s="14">
        <v>0.39</v>
      </c>
      <c r="U38" s="14">
        <v>0.97</v>
      </c>
      <c r="V38" s="14">
        <v>0.02</v>
      </c>
      <c r="W38" s="14">
        <v>0.75</v>
      </c>
      <c r="X38" s="14">
        <v>0.76560000000000006</v>
      </c>
      <c r="Y38" s="14">
        <v>0.73</v>
      </c>
      <c r="Z38">
        <v>78</v>
      </c>
      <c r="AA38">
        <v>58</v>
      </c>
      <c r="AB38">
        <v>28</v>
      </c>
      <c r="AC38" s="4">
        <f t="shared" si="1"/>
        <v>0.74853333333333338</v>
      </c>
      <c r="AD38" s="25"/>
      <c r="AE38" s="3"/>
      <c r="AF38" s="3"/>
    </row>
    <row r="39" spans="1:32" x14ac:dyDescent="0.25">
      <c r="A39" s="20">
        <v>45695</v>
      </c>
      <c r="B39" s="3" t="s">
        <v>54</v>
      </c>
      <c r="C39" s="3">
        <f t="shared" si="0"/>
        <v>2</v>
      </c>
      <c r="D39" t="s">
        <v>70</v>
      </c>
      <c r="E39" s="14">
        <v>0.92</v>
      </c>
      <c r="F39" s="14">
        <v>0.47</v>
      </c>
      <c r="G39" s="14">
        <v>0.75</v>
      </c>
      <c r="H39" s="3">
        <v>33</v>
      </c>
      <c r="I39" s="3">
        <v>25</v>
      </c>
      <c r="J39" s="3">
        <v>2</v>
      </c>
      <c r="K39" s="3">
        <v>8</v>
      </c>
      <c r="L39" s="3">
        <v>5</v>
      </c>
      <c r="M39" s="3">
        <v>3</v>
      </c>
      <c r="N39" s="3">
        <v>3</v>
      </c>
      <c r="O39" s="3">
        <v>3244</v>
      </c>
      <c r="P39" s="3">
        <v>2538</v>
      </c>
      <c r="Q39" s="3">
        <v>171</v>
      </c>
      <c r="R39" s="3">
        <v>5667</v>
      </c>
      <c r="S39" s="14">
        <v>0.54</v>
      </c>
      <c r="T39" s="14">
        <v>1.1200000000000001</v>
      </c>
      <c r="U39" s="14">
        <v>1</v>
      </c>
      <c r="V39" s="14">
        <v>7.0000000000000007E-2</v>
      </c>
      <c r="W39" s="14">
        <v>0.61</v>
      </c>
      <c r="X39" s="14">
        <v>0.8580000000000001</v>
      </c>
      <c r="Y39" s="14">
        <v>0.36</v>
      </c>
      <c r="Z39">
        <v>87</v>
      </c>
      <c r="AA39">
        <v>79</v>
      </c>
      <c r="AB39">
        <v>44</v>
      </c>
      <c r="AC39" s="4">
        <f t="shared" si="1"/>
        <v>0.60933333333333328</v>
      </c>
      <c r="AD39" s="25"/>
      <c r="AE39" s="3"/>
      <c r="AF39" s="3"/>
    </row>
    <row r="40" spans="1:32" x14ac:dyDescent="0.25">
      <c r="A40" s="20">
        <v>45696</v>
      </c>
      <c r="B40" s="3" t="s">
        <v>54</v>
      </c>
      <c r="C40" s="3">
        <f t="shared" si="0"/>
        <v>2</v>
      </c>
      <c r="D40" t="s">
        <v>51</v>
      </c>
      <c r="E40" s="14">
        <v>0.41</v>
      </c>
      <c r="F40" s="14">
        <v>0.82</v>
      </c>
      <c r="G40" s="14">
        <v>0.65</v>
      </c>
      <c r="H40" s="3">
        <v>5</v>
      </c>
      <c r="I40" s="3">
        <v>5</v>
      </c>
      <c r="J40" s="3">
        <v>1</v>
      </c>
      <c r="K40" s="3">
        <v>4</v>
      </c>
      <c r="L40" s="3">
        <v>2</v>
      </c>
      <c r="M40" s="3">
        <v>4</v>
      </c>
      <c r="N40" s="3">
        <v>3</v>
      </c>
      <c r="O40" s="3">
        <v>2510</v>
      </c>
      <c r="P40" s="3">
        <v>2583</v>
      </c>
      <c r="Q40" s="3">
        <v>2236.5</v>
      </c>
      <c r="R40" s="3">
        <v>3213</v>
      </c>
      <c r="S40" s="14">
        <v>1.21</v>
      </c>
      <c r="T40" s="14">
        <v>1.1399999999999999</v>
      </c>
      <c r="U40" s="14">
        <v>0.82</v>
      </c>
      <c r="V40" s="14">
        <v>0.1</v>
      </c>
      <c r="W40" s="14">
        <v>0.30600000000000005</v>
      </c>
      <c r="X40" s="14">
        <v>0.27917999999999998</v>
      </c>
      <c r="Y40" s="14">
        <v>0.39150000000000001</v>
      </c>
      <c r="Z40">
        <v>97</v>
      </c>
      <c r="AA40">
        <v>71</v>
      </c>
      <c r="AB40">
        <v>22</v>
      </c>
      <c r="AC40" s="4">
        <f t="shared" si="1"/>
        <v>0.32556000000000002</v>
      </c>
      <c r="AD40" s="25"/>
      <c r="AE40" s="3"/>
      <c r="AF40" s="3"/>
    </row>
    <row r="41" spans="1:32" x14ac:dyDescent="0.25">
      <c r="A41" s="20">
        <v>45697</v>
      </c>
      <c r="B41" s="3" t="s">
        <v>54</v>
      </c>
      <c r="C41" s="3">
        <f t="shared" si="0"/>
        <v>2</v>
      </c>
      <c r="D41" t="s">
        <v>65</v>
      </c>
      <c r="E41" s="14">
        <v>0.39</v>
      </c>
      <c r="F41" s="14">
        <v>0.42</v>
      </c>
      <c r="G41" s="14">
        <v>0.35</v>
      </c>
      <c r="H41" s="3">
        <v>28</v>
      </c>
      <c r="I41" s="3">
        <v>39</v>
      </c>
      <c r="J41" s="3">
        <v>2</v>
      </c>
      <c r="K41" s="3">
        <v>4</v>
      </c>
      <c r="L41" s="3">
        <v>2</v>
      </c>
      <c r="M41" s="3">
        <v>7</v>
      </c>
      <c r="N41" s="3">
        <v>4</v>
      </c>
      <c r="O41" s="3">
        <v>1490</v>
      </c>
      <c r="P41" s="3">
        <v>732</v>
      </c>
      <c r="Q41" s="3">
        <v>784.5</v>
      </c>
      <c r="R41" s="3">
        <v>1867</v>
      </c>
      <c r="S41" s="14">
        <v>0.85</v>
      </c>
      <c r="T41" s="14">
        <v>0.77</v>
      </c>
      <c r="U41" s="14">
        <v>0.18</v>
      </c>
      <c r="V41" s="14">
        <v>0.06</v>
      </c>
      <c r="W41" s="14">
        <v>0.38700000000000001</v>
      </c>
      <c r="X41" s="14">
        <v>0.42768</v>
      </c>
      <c r="Y41" s="14">
        <v>0.216</v>
      </c>
      <c r="Z41">
        <v>84</v>
      </c>
      <c r="AA41">
        <v>77</v>
      </c>
      <c r="AB41">
        <v>23</v>
      </c>
      <c r="AC41" s="4">
        <f t="shared" si="1"/>
        <v>0.34356000000000003</v>
      </c>
      <c r="AD41" s="25"/>
      <c r="AE41" s="3"/>
      <c r="AF41" s="3"/>
    </row>
    <row r="42" spans="1:32" x14ac:dyDescent="0.25">
      <c r="A42" s="20">
        <v>45698</v>
      </c>
      <c r="B42" s="3" t="s">
        <v>54</v>
      </c>
      <c r="C42" s="3">
        <f t="shared" si="0"/>
        <v>3</v>
      </c>
      <c r="D42" t="s">
        <v>66</v>
      </c>
      <c r="E42" s="14">
        <v>0.72</v>
      </c>
      <c r="F42" s="14">
        <v>0.71</v>
      </c>
      <c r="G42" s="14">
        <v>0.77</v>
      </c>
      <c r="H42" s="3">
        <v>32</v>
      </c>
      <c r="I42" s="3">
        <v>13</v>
      </c>
      <c r="J42" s="3">
        <v>8</v>
      </c>
      <c r="K42" s="3">
        <v>8</v>
      </c>
      <c r="L42" s="3">
        <v>6</v>
      </c>
      <c r="M42" s="3">
        <v>2</v>
      </c>
      <c r="N42" s="3">
        <v>12</v>
      </c>
      <c r="O42" s="3">
        <v>3729</v>
      </c>
      <c r="P42" s="3">
        <v>2280</v>
      </c>
      <c r="Q42" s="3">
        <v>690</v>
      </c>
      <c r="R42" s="3">
        <v>5170</v>
      </c>
      <c r="S42" s="14">
        <v>0.57999999999999996</v>
      </c>
      <c r="T42" s="14">
        <v>0.32</v>
      </c>
      <c r="U42" s="14">
        <v>0.65</v>
      </c>
      <c r="V42" s="14">
        <v>0.08</v>
      </c>
      <c r="W42" s="14">
        <v>0.79</v>
      </c>
      <c r="X42" s="14">
        <v>0.5676000000000001</v>
      </c>
      <c r="Y42" s="14">
        <v>0.54</v>
      </c>
      <c r="Z42">
        <v>80</v>
      </c>
      <c r="AA42">
        <v>72</v>
      </c>
      <c r="AB42">
        <v>14</v>
      </c>
      <c r="AC42" s="4">
        <f t="shared" si="1"/>
        <v>0.63253333333333339</v>
      </c>
      <c r="AD42" s="25"/>
      <c r="AE42" s="3"/>
      <c r="AF42" s="3"/>
    </row>
    <row r="43" spans="1:32" x14ac:dyDescent="0.25">
      <c r="A43" s="20">
        <v>45699</v>
      </c>
      <c r="B43" s="3" t="s">
        <v>54</v>
      </c>
      <c r="C43" s="3">
        <f t="shared" si="0"/>
        <v>3</v>
      </c>
      <c r="D43" t="s">
        <v>67</v>
      </c>
      <c r="E43" s="14">
        <v>0.62</v>
      </c>
      <c r="F43" s="14">
        <v>0.45</v>
      </c>
      <c r="G43" s="14">
        <v>0.89</v>
      </c>
      <c r="H43" s="3">
        <v>26</v>
      </c>
      <c r="I43" s="3">
        <v>15</v>
      </c>
      <c r="J43" s="3">
        <v>4</v>
      </c>
      <c r="K43" s="3">
        <v>7</v>
      </c>
      <c r="L43" s="3">
        <v>7</v>
      </c>
      <c r="M43" s="3">
        <v>12</v>
      </c>
      <c r="N43" s="3">
        <v>12</v>
      </c>
      <c r="O43" s="3">
        <v>651</v>
      </c>
      <c r="P43" s="3">
        <v>3033</v>
      </c>
      <c r="Q43" s="3">
        <v>1386</v>
      </c>
      <c r="R43" s="3">
        <v>3336</v>
      </c>
      <c r="S43" s="14">
        <v>1.1399999999999999</v>
      </c>
      <c r="T43" s="14">
        <v>0.21</v>
      </c>
      <c r="U43" s="14">
        <v>0.28000000000000003</v>
      </c>
      <c r="V43" s="14">
        <v>0.06</v>
      </c>
      <c r="W43" s="14">
        <v>0.51</v>
      </c>
      <c r="X43" s="14">
        <v>0.96360000000000012</v>
      </c>
      <c r="Y43" s="14">
        <v>0.63</v>
      </c>
      <c r="Z43">
        <v>93</v>
      </c>
      <c r="AA43">
        <v>72</v>
      </c>
      <c r="AB43">
        <v>30</v>
      </c>
      <c r="AC43" s="4">
        <f t="shared" si="1"/>
        <v>0.70120000000000005</v>
      </c>
      <c r="AD43" s="25"/>
      <c r="AE43" s="3"/>
      <c r="AF43" s="3"/>
    </row>
    <row r="44" spans="1:32" x14ac:dyDescent="0.25">
      <c r="A44" s="20">
        <v>45700</v>
      </c>
      <c r="B44" s="3" t="s">
        <v>54</v>
      </c>
      <c r="C44" s="3">
        <f t="shared" si="0"/>
        <v>3</v>
      </c>
      <c r="D44" t="s">
        <v>68</v>
      </c>
      <c r="E44" s="14">
        <v>0.97</v>
      </c>
      <c r="F44" s="14">
        <v>0.45</v>
      </c>
      <c r="G44" s="14">
        <v>0.78</v>
      </c>
      <c r="H44" s="3">
        <v>25</v>
      </c>
      <c r="I44" s="3">
        <v>27</v>
      </c>
      <c r="J44" s="3">
        <v>11</v>
      </c>
      <c r="K44" s="3">
        <v>6</v>
      </c>
      <c r="L44" s="3">
        <v>8</v>
      </c>
      <c r="M44" s="3">
        <v>7</v>
      </c>
      <c r="N44" s="3">
        <v>3</v>
      </c>
      <c r="O44" s="3">
        <v>680</v>
      </c>
      <c r="P44" s="3">
        <v>789</v>
      </c>
      <c r="Q44" s="3">
        <v>472.5</v>
      </c>
      <c r="R44" s="3">
        <v>1079</v>
      </c>
      <c r="S44" s="14">
        <v>0.16</v>
      </c>
      <c r="T44" s="14">
        <v>0.77</v>
      </c>
      <c r="U44" s="14">
        <v>0.71</v>
      </c>
      <c r="V44" s="14">
        <v>0.08</v>
      </c>
      <c r="W44" s="14">
        <v>0.93</v>
      </c>
      <c r="X44" s="14">
        <v>0.59400000000000008</v>
      </c>
      <c r="Y44" s="14">
        <v>0.48</v>
      </c>
      <c r="Z44">
        <v>86</v>
      </c>
      <c r="AA44">
        <v>64</v>
      </c>
      <c r="AB44">
        <v>43</v>
      </c>
      <c r="AC44" s="4">
        <f t="shared" si="1"/>
        <v>0.66800000000000004</v>
      </c>
      <c r="AD44" s="25"/>
      <c r="AE44" s="3"/>
      <c r="AF44" s="3"/>
    </row>
    <row r="45" spans="1:32" x14ac:dyDescent="0.25">
      <c r="A45" s="20">
        <v>45701</v>
      </c>
      <c r="B45" s="3" t="s">
        <v>54</v>
      </c>
      <c r="C45" s="3">
        <f t="shared" si="0"/>
        <v>3</v>
      </c>
      <c r="D45" t="s">
        <v>69</v>
      </c>
      <c r="E45" s="14">
        <v>0.86</v>
      </c>
      <c r="F45" s="14">
        <v>0.72</v>
      </c>
      <c r="G45" s="14">
        <v>0.5</v>
      </c>
      <c r="H45" s="3">
        <v>26</v>
      </c>
      <c r="I45" s="3">
        <v>28</v>
      </c>
      <c r="J45" s="3">
        <v>2</v>
      </c>
      <c r="K45" s="3">
        <v>9</v>
      </c>
      <c r="L45" s="3">
        <v>4</v>
      </c>
      <c r="M45" s="3">
        <v>7</v>
      </c>
      <c r="N45" s="3">
        <v>4</v>
      </c>
      <c r="O45" s="3">
        <v>2991</v>
      </c>
      <c r="P45" s="3">
        <v>3224</v>
      </c>
      <c r="Q45" s="3">
        <v>9</v>
      </c>
      <c r="R45" s="3">
        <v>4386</v>
      </c>
      <c r="S45" s="14">
        <v>0.51</v>
      </c>
      <c r="T45" s="14">
        <v>0.95</v>
      </c>
      <c r="U45" s="14">
        <v>0.15</v>
      </c>
      <c r="V45" s="14">
        <v>0.09</v>
      </c>
      <c r="W45" s="14">
        <v>0.52</v>
      </c>
      <c r="X45" s="14">
        <v>0.93720000000000003</v>
      </c>
      <c r="Y45" s="14">
        <v>0.75</v>
      </c>
      <c r="Z45">
        <v>85</v>
      </c>
      <c r="AA45">
        <v>58</v>
      </c>
      <c r="AB45">
        <v>29</v>
      </c>
      <c r="AC45" s="4">
        <f t="shared" si="1"/>
        <v>0.73573333333333346</v>
      </c>
      <c r="AD45" s="25"/>
      <c r="AE45" s="3"/>
      <c r="AF45" s="3"/>
    </row>
    <row r="46" spans="1:32" x14ac:dyDescent="0.25">
      <c r="A46" s="20">
        <v>45702</v>
      </c>
      <c r="B46" s="3" t="s">
        <v>54</v>
      </c>
      <c r="C46" s="3">
        <f t="shared" si="0"/>
        <v>3</v>
      </c>
      <c r="D46" t="s">
        <v>70</v>
      </c>
      <c r="E46" s="14">
        <v>0.6</v>
      </c>
      <c r="F46" s="14">
        <v>0.52</v>
      </c>
      <c r="G46" s="14">
        <v>0.88</v>
      </c>
      <c r="H46" s="3">
        <v>21</v>
      </c>
      <c r="I46" s="3">
        <v>23</v>
      </c>
      <c r="J46" s="3">
        <v>4</v>
      </c>
      <c r="K46" s="3">
        <v>7</v>
      </c>
      <c r="L46" s="3">
        <v>7</v>
      </c>
      <c r="M46" s="3">
        <v>4</v>
      </c>
      <c r="N46" s="3">
        <v>1</v>
      </c>
      <c r="O46" s="3">
        <v>2685</v>
      </c>
      <c r="P46" s="3">
        <v>160</v>
      </c>
      <c r="Q46" s="3">
        <v>357</v>
      </c>
      <c r="R46" s="3">
        <v>4905</v>
      </c>
      <c r="S46" s="14">
        <v>0.95</v>
      </c>
      <c r="T46" s="14">
        <v>0.15</v>
      </c>
      <c r="U46" s="14">
        <v>0.81</v>
      </c>
      <c r="V46" s="14">
        <v>0.03</v>
      </c>
      <c r="W46" s="14">
        <v>0.78</v>
      </c>
      <c r="X46" s="14">
        <v>0.7128000000000001</v>
      </c>
      <c r="Y46" s="14">
        <v>0.48</v>
      </c>
      <c r="Z46">
        <v>78</v>
      </c>
      <c r="AA46">
        <v>80</v>
      </c>
      <c r="AB46">
        <v>23</v>
      </c>
      <c r="AC46" s="4">
        <f t="shared" si="1"/>
        <v>0.65760000000000007</v>
      </c>
      <c r="AD46" s="25"/>
      <c r="AE46" s="3"/>
      <c r="AF46" s="3"/>
    </row>
    <row r="47" spans="1:32" x14ac:dyDescent="0.25">
      <c r="A47" s="20">
        <v>45703</v>
      </c>
      <c r="B47" s="3" t="s">
        <v>54</v>
      </c>
      <c r="C47" s="3">
        <f t="shared" si="0"/>
        <v>3</v>
      </c>
      <c r="D47" t="s">
        <v>51</v>
      </c>
      <c r="E47" s="14">
        <v>0.5</v>
      </c>
      <c r="F47" s="14">
        <v>0.53</v>
      </c>
      <c r="G47" s="14">
        <v>0.49</v>
      </c>
      <c r="H47" s="3">
        <v>18</v>
      </c>
      <c r="I47" s="3">
        <v>32</v>
      </c>
      <c r="J47" s="3">
        <v>2</v>
      </c>
      <c r="K47" s="3">
        <v>8</v>
      </c>
      <c r="L47" s="3">
        <v>2</v>
      </c>
      <c r="M47" s="3">
        <v>1</v>
      </c>
      <c r="N47" s="3">
        <v>7</v>
      </c>
      <c r="O47" s="3">
        <v>3172</v>
      </c>
      <c r="P47" s="3">
        <v>1978</v>
      </c>
      <c r="Q47" s="3">
        <v>2692.5</v>
      </c>
      <c r="R47" s="3">
        <v>4526</v>
      </c>
      <c r="S47" s="14">
        <v>0.91</v>
      </c>
      <c r="T47" s="14">
        <v>1.19</v>
      </c>
      <c r="U47" s="14">
        <v>0.39</v>
      </c>
      <c r="V47" s="14">
        <v>0.09</v>
      </c>
      <c r="W47" s="14">
        <v>0.40050000000000002</v>
      </c>
      <c r="X47" s="14">
        <v>0.43362000000000001</v>
      </c>
      <c r="Y47" s="14">
        <v>0.28800000000000003</v>
      </c>
      <c r="Z47">
        <v>93</v>
      </c>
      <c r="AA47">
        <v>73</v>
      </c>
      <c r="AB47">
        <v>27</v>
      </c>
      <c r="AC47" s="4">
        <f t="shared" si="1"/>
        <v>0.37403999999999998</v>
      </c>
      <c r="AD47" s="25"/>
      <c r="AE47" s="3"/>
      <c r="AF47" s="3"/>
    </row>
    <row r="48" spans="1:32" x14ac:dyDescent="0.25">
      <c r="A48" s="20">
        <v>45704</v>
      </c>
      <c r="B48" s="3" t="s">
        <v>54</v>
      </c>
      <c r="C48" s="3">
        <f t="shared" si="0"/>
        <v>3</v>
      </c>
      <c r="D48" t="s">
        <v>65</v>
      </c>
      <c r="E48" s="14">
        <v>0.3</v>
      </c>
      <c r="F48" s="14">
        <v>0.47</v>
      </c>
      <c r="G48" s="14">
        <v>0.67</v>
      </c>
      <c r="H48" s="3">
        <v>20</v>
      </c>
      <c r="I48" s="3">
        <v>17</v>
      </c>
      <c r="J48" s="3">
        <v>3</v>
      </c>
      <c r="K48" s="3">
        <v>5</v>
      </c>
      <c r="L48" s="3">
        <v>2</v>
      </c>
      <c r="M48" s="3">
        <v>4</v>
      </c>
      <c r="N48" s="3">
        <v>8</v>
      </c>
      <c r="O48" s="3">
        <v>3276</v>
      </c>
      <c r="P48" s="3">
        <v>1467</v>
      </c>
      <c r="Q48" s="3">
        <v>2170.5</v>
      </c>
      <c r="R48" s="3">
        <v>3844</v>
      </c>
      <c r="S48" s="14">
        <v>0.8</v>
      </c>
      <c r="T48" s="14">
        <v>1</v>
      </c>
      <c r="U48" s="14">
        <v>0.75</v>
      </c>
      <c r="V48" s="14">
        <v>0.08</v>
      </c>
      <c r="W48" s="14">
        <v>0.378</v>
      </c>
      <c r="X48" s="14">
        <v>0.30888000000000004</v>
      </c>
      <c r="Y48" s="14">
        <v>0.38250000000000001</v>
      </c>
      <c r="Z48">
        <v>83</v>
      </c>
      <c r="AA48">
        <v>74</v>
      </c>
      <c r="AB48">
        <v>21</v>
      </c>
      <c r="AC48" s="4">
        <f t="shared" si="1"/>
        <v>0.35646</v>
      </c>
      <c r="AD48" s="25"/>
      <c r="AE48" s="3"/>
      <c r="AF48" s="3"/>
    </row>
    <row r="49" spans="1:32" x14ac:dyDescent="0.25">
      <c r="A49" s="20">
        <v>45705</v>
      </c>
      <c r="B49" s="3" t="s">
        <v>54</v>
      </c>
      <c r="C49" s="3">
        <f t="shared" si="0"/>
        <v>4</v>
      </c>
      <c r="D49" t="s">
        <v>66</v>
      </c>
      <c r="E49" s="14">
        <v>0.69</v>
      </c>
      <c r="F49" s="14">
        <v>0.81</v>
      </c>
      <c r="G49" s="14">
        <v>0.73</v>
      </c>
      <c r="H49" s="3">
        <v>13</v>
      </c>
      <c r="I49" s="3">
        <v>28</v>
      </c>
      <c r="J49" s="3">
        <v>1</v>
      </c>
      <c r="K49" s="3">
        <v>9</v>
      </c>
      <c r="L49" s="3">
        <v>12</v>
      </c>
      <c r="M49" s="3">
        <v>6</v>
      </c>
      <c r="N49" s="3">
        <v>6</v>
      </c>
      <c r="O49" s="3">
        <v>914</v>
      </c>
      <c r="P49" s="3">
        <v>864</v>
      </c>
      <c r="Q49" s="3">
        <v>2562</v>
      </c>
      <c r="R49" s="3">
        <v>2818</v>
      </c>
      <c r="S49" s="14">
        <v>0.25</v>
      </c>
      <c r="T49" s="14">
        <v>0.15</v>
      </c>
      <c r="U49" s="14">
        <v>0.68</v>
      </c>
      <c r="V49" s="14">
        <v>0.03</v>
      </c>
      <c r="W49" s="14">
        <v>0.83</v>
      </c>
      <c r="X49" s="14">
        <v>0.87120000000000009</v>
      </c>
      <c r="Y49" s="14">
        <v>0.39</v>
      </c>
      <c r="Z49">
        <v>80</v>
      </c>
      <c r="AA49">
        <v>72</v>
      </c>
      <c r="AB49">
        <v>31</v>
      </c>
      <c r="AC49" s="4">
        <f t="shared" si="1"/>
        <v>0.69706666666666672</v>
      </c>
      <c r="AD49" s="25"/>
      <c r="AE49" s="3"/>
      <c r="AF49" s="3"/>
    </row>
    <row r="50" spans="1:32" x14ac:dyDescent="0.25">
      <c r="A50" s="20">
        <v>45706</v>
      </c>
      <c r="B50" s="3" t="s">
        <v>54</v>
      </c>
      <c r="C50" s="3">
        <f t="shared" si="0"/>
        <v>4</v>
      </c>
      <c r="D50" t="s">
        <v>67</v>
      </c>
      <c r="E50" s="14">
        <v>0.73</v>
      </c>
      <c r="F50" s="14">
        <v>0.41</v>
      </c>
      <c r="G50" s="14">
        <v>0.51</v>
      </c>
      <c r="H50" s="3">
        <v>19</v>
      </c>
      <c r="I50" s="3">
        <v>23</v>
      </c>
      <c r="J50" s="3">
        <v>2</v>
      </c>
      <c r="K50" s="3">
        <v>12</v>
      </c>
      <c r="L50" s="3">
        <v>12</v>
      </c>
      <c r="M50" s="3">
        <v>12</v>
      </c>
      <c r="N50" s="3">
        <v>6</v>
      </c>
      <c r="O50" s="3">
        <v>3486</v>
      </c>
      <c r="P50" s="3">
        <v>9</v>
      </c>
      <c r="Q50" s="3">
        <v>1309.5</v>
      </c>
      <c r="R50" s="3">
        <v>3486</v>
      </c>
      <c r="S50" s="14">
        <v>0.69</v>
      </c>
      <c r="T50" s="14">
        <v>0.56999999999999995</v>
      </c>
      <c r="U50" s="14">
        <v>0.74</v>
      </c>
      <c r="V50" s="14">
        <v>0.08</v>
      </c>
      <c r="W50" s="14">
        <v>0.56999999999999995</v>
      </c>
      <c r="X50" s="14">
        <v>0.77880000000000005</v>
      </c>
      <c r="Y50" s="14">
        <v>0.73</v>
      </c>
      <c r="Z50">
        <v>95</v>
      </c>
      <c r="AA50">
        <v>66</v>
      </c>
      <c r="AB50">
        <v>25</v>
      </c>
      <c r="AC50" s="4">
        <f t="shared" si="1"/>
        <v>0.6929333333333334</v>
      </c>
      <c r="AD50" s="25"/>
      <c r="AE50" s="3"/>
      <c r="AF50" s="3"/>
    </row>
    <row r="51" spans="1:32" x14ac:dyDescent="0.25">
      <c r="A51" s="20">
        <v>45707</v>
      </c>
      <c r="B51" s="3" t="s">
        <v>54</v>
      </c>
      <c r="C51" s="3">
        <f t="shared" si="0"/>
        <v>4</v>
      </c>
      <c r="D51" t="s">
        <v>68</v>
      </c>
      <c r="E51" s="14">
        <v>0.86</v>
      </c>
      <c r="F51" s="14">
        <v>0.87</v>
      </c>
      <c r="G51" s="14">
        <v>0.75</v>
      </c>
      <c r="H51" s="3">
        <v>5</v>
      </c>
      <c r="I51" s="3">
        <v>21</v>
      </c>
      <c r="J51" s="3">
        <v>5</v>
      </c>
      <c r="K51" s="3">
        <v>3</v>
      </c>
      <c r="L51" s="3">
        <v>7</v>
      </c>
      <c r="M51" s="3">
        <v>2</v>
      </c>
      <c r="N51" s="3">
        <v>7</v>
      </c>
      <c r="O51" s="3">
        <v>2855</v>
      </c>
      <c r="P51" s="3">
        <v>1577</v>
      </c>
      <c r="Q51" s="3">
        <v>2668.5</v>
      </c>
      <c r="R51" s="3">
        <v>5329</v>
      </c>
      <c r="S51" s="14">
        <v>0.48</v>
      </c>
      <c r="T51" s="14">
        <v>0.55000000000000004</v>
      </c>
      <c r="U51" s="14">
        <v>1.1499999999999999</v>
      </c>
      <c r="V51" s="14">
        <v>0.05</v>
      </c>
      <c r="W51" s="14">
        <v>0.6</v>
      </c>
      <c r="X51" s="14">
        <v>0.63360000000000005</v>
      </c>
      <c r="Y51" s="14">
        <v>0.49</v>
      </c>
      <c r="Z51">
        <v>80</v>
      </c>
      <c r="AA51">
        <v>55</v>
      </c>
      <c r="AB51">
        <v>29</v>
      </c>
      <c r="AC51" s="4">
        <f t="shared" si="1"/>
        <v>0.57453333333333334</v>
      </c>
      <c r="AD51" s="25"/>
      <c r="AE51" s="3"/>
      <c r="AF51" s="3"/>
    </row>
    <row r="52" spans="1:32" x14ac:dyDescent="0.25">
      <c r="A52" s="20">
        <v>45708</v>
      </c>
      <c r="B52" s="3" t="s">
        <v>54</v>
      </c>
      <c r="C52" s="3">
        <f t="shared" si="0"/>
        <v>4</v>
      </c>
      <c r="D52" t="s">
        <v>69</v>
      </c>
      <c r="E52" s="14">
        <v>0.82</v>
      </c>
      <c r="F52" s="14">
        <v>0.53</v>
      </c>
      <c r="G52" s="14">
        <v>0.78</v>
      </c>
      <c r="H52" s="3">
        <v>14</v>
      </c>
      <c r="I52" s="3">
        <v>9</v>
      </c>
      <c r="J52" s="3">
        <v>7</v>
      </c>
      <c r="K52" s="3">
        <v>2</v>
      </c>
      <c r="L52" s="3">
        <v>1</v>
      </c>
      <c r="M52" s="3">
        <v>2</v>
      </c>
      <c r="N52" s="3">
        <v>3</v>
      </c>
      <c r="O52" s="3">
        <v>2491</v>
      </c>
      <c r="P52" s="3">
        <v>2946</v>
      </c>
      <c r="Q52" s="3">
        <v>2110.5</v>
      </c>
      <c r="R52" s="3">
        <v>3056</v>
      </c>
      <c r="S52" s="14">
        <v>0.63</v>
      </c>
      <c r="T52" s="14">
        <v>0.61</v>
      </c>
      <c r="U52" s="14">
        <v>0.41</v>
      </c>
      <c r="V52" s="14">
        <v>0.09</v>
      </c>
      <c r="W52" s="14">
        <v>0.86</v>
      </c>
      <c r="X52" s="14">
        <v>0.81840000000000002</v>
      </c>
      <c r="Y52" s="14">
        <v>0.48</v>
      </c>
      <c r="Z52">
        <v>89</v>
      </c>
      <c r="AA52">
        <v>56</v>
      </c>
      <c r="AB52">
        <v>12</v>
      </c>
      <c r="AC52" s="4">
        <f t="shared" si="1"/>
        <v>0.71946666666666659</v>
      </c>
      <c r="AD52" s="25"/>
      <c r="AE52" s="3"/>
      <c r="AF52" s="3"/>
    </row>
    <row r="53" spans="1:32" x14ac:dyDescent="0.25">
      <c r="A53" s="20">
        <v>45709</v>
      </c>
      <c r="B53" s="3" t="s">
        <v>54</v>
      </c>
      <c r="C53" s="3">
        <f t="shared" si="0"/>
        <v>4</v>
      </c>
      <c r="D53" t="s">
        <v>70</v>
      </c>
      <c r="E53" s="14">
        <v>0.98</v>
      </c>
      <c r="F53" s="14">
        <v>0.77</v>
      </c>
      <c r="G53" s="14">
        <v>0.4</v>
      </c>
      <c r="H53" s="3">
        <v>6</v>
      </c>
      <c r="I53" s="3">
        <v>7</v>
      </c>
      <c r="J53" s="3">
        <v>3</v>
      </c>
      <c r="K53" s="3">
        <v>3</v>
      </c>
      <c r="L53" s="3">
        <v>6</v>
      </c>
      <c r="M53" s="3">
        <v>6</v>
      </c>
      <c r="N53" s="3">
        <v>4</v>
      </c>
      <c r="O53" s="3">
        <v>990</v>
      </c>
      <c r="P53" s="3">
        <v>1300</v>
      </c>
      <c r="Q53" s="3">
        <v>999</v>
      </c>
      <c r="R53" s="3">
        <v>1770</v>
      </c>
      <c r="S53" s="14">
        <v>0.73</v>
      </c>
      <c r="T53" s="14">
        <v>0.31</v>
      </c>
      <c r="U53" s="14">
        <v>0.55000000000000004</v>
      </c>
      <c r="V53" s="14">
        <v>0.09</v>
      </c>
      <c r="W53" s="14">
        <v>0.57999999999999996</v>
      </c>
      <c r="X53" s="14">
        <v>0.68640000000000001</v>
      </c>
      <c r="Y53" s="14">
        <v>0.73</v>
      </c>
      <c r="Z53">
        <v>99</v>
      </c>
      <c r="AA53">
        <v>74</v>
      </c>
      <c r="AB53">
        <v>15</v>
      </c>
      <c r="AC53" s="4">
        <f t="shared" si="1"/>
        <v>0.66546666666666665</v>
      </c>
      <c r="AD53" s="25"/>
      <c r="AE53" s="3"/>
      <c r="AF53" s="3"/>
    </row>
    <row r="54" spans="1:32" x14ac:dyDescent="0.25">
      <c r="A54" s="20">
        <v>45710</v>
      </c>
      <c r="B54" s="3" t="s">
        <v>54</v>
      </c>
      <c r="C54" s="3">
        <f t="shared" si="0"/>
        <v>4</v>
      </c>
      <c r="D54" t="s">
        <v>51</v>
      </c>
      <c r="E54" s="14">
        <v>0.45</v>
      </c>
      <c r="F54" s="14">
        <v>0.82</v>
      </c>
      <c r="G54" s="14">
        <v>0.59</v>
      </c>
      <c r="H54" s="3">
        <v>14</v>
      </c>
      <c r="I54" s="3">
        <v>29</v>
      </c>
      <c r="J54" s="3">
        <v>2</v>
      </c>
      <c r="K54" s="3">
        <v>2</v>
      </c>
      <c r="L54" s="3">
        <v>4</v>
      </c>
      <c r="M54" s="3">
        <v>2</v>
      </c>
      <c r="N54" s="3">
        <v>2</v>
      </c>
      <c r="O54" s="3">
        <v>3557</v>
      </c>
      <c r="P54" s="3">
        <v>2270</v>
      </c>
      <c r="Q54" s="3">
        <v>1737</v>
      </c>
      <c r="R54" s="3">
        <v>4505</v>
      </c>
      <c r="S54" s="14">
        <v>0.97</v>
      </c>
      <c r="T54" s="14">
        <v>0.44</v>
      </c>
      <c r="U54" s="14">
        <v>0.52</v>
      </c>
      <c r="V54" s="14">
        <v>0.02</v>
      </c>
      <c r="W54" s="14">
        <v>0.22500000000000001</v>
      </c>
      <c r="X54" s="14">
        <v>0.43956000000000006</v>
      </c>
      <c r="Y54" s="14">
        <v>0.27</v>
      </c>
      <c r="Z54">
        <v>96</v>
      </c>
      <c r="AA54">
        <v>62</v>
      </c>
      <c r="AB54">
        <v>29</v>
      </c>
      <c r="AC54" s="4">
        <f t="shared" si="1"/>
        <v>0.31152000000000002</v>
      </c>
      <c r="AD54" s="25"/>
      <c r="AE54" s="3"/>
      <c r="AF54" s="3"/>
    </row>
    <row r="55" spans="1:32" x14ac:dyDescent="0.25">
      <c r="A55" s="20">
        <v>45711</v>
      </c>
      <c r="B55" s="3" t="s">
        <v>54</v>
      </c>
      <c r="C55" s="3">
        <f t="shared" si="0"/>
        <v>4</v>
      </c>
      <c r="D55" t="s">
        <v>65</v>
      </c>
      <c r="E55" s="14">
        <v>0.37</v>
      </c>
      <c r="F55" s="14">
        <v>0.75</v>
      </c>
      <c r="G55" s="14">
        <v>0.39</v>
      </c>
      <c r="H55" s="3">
        <v>23</v>
      </c>
      <c r="I55" s="3">
        <v>39</v>
      </c>
      <c r="J55" s="3">
        <v>2</v>
      </c>
      <c r="K55" s="3">
        <v>5</v>
      </c>
      <c r="L55" s="3">
        <v>4</v>
      </c>
      <c r="M55" s="3">
        <v>7</v>
      </c>
      <c r="N55" s="3">
        <v>2</v>
      </c>
      <c r="O55" s="3">
        <v>683</v>
      </c>
      <c r="P55" s="3">
        <v>1109</v>
      </c>
      <c r="Q55" s="3">
        <v>2124</v>
      </c>
      <c r="R55" s="3">
        <v>2336</v>
      </c>
      <c r="S55" s="14">
        <v>0.49</v>
      </c>
      <c r="T55" s="14">
        <v>0.55000000000000004</v>
      </c>
      <c r="U55" s="14">
        <v>0.5</v>
      </c>
      <c r="V55" s="14">
        <v>0.08</v>
      </c>
      <c r="W55" s="14">
        <v>0.32400000000000001</v>
      </c>
      <c r="X55" s="14">
        <v>0.20196000000000003</v>
      </c>
      <c r="Y55" s="14">
        <v>0.378</v>
      </c>
      <c r="Z55">
        <v>82</v>
      </c>
      <c r="AA55">
        <v>59</v>
      </c>
      <c r="AB55">
        <v>30</v>
      </c>
      <c r="AC55" s="4">
        <f t="shared" si="1"/>
        <v>0.30131999999999998</v>
      </c>
      <c r="AD55" s="25"/>
      <c r="AE55" s="3"/>
      <c r="AF55" s="3"/>
    </row>
    <row r="56" spans="1:32" x14ac:dyDescent="0.25">
      <c r="A56" s="20">
        <v>45712</v>
      </c>
      <c r="B56" s="3" t="s">
        <v>54</v>
      </c>
      <c r="C56" s="3">
        <f t="shared" si="0"/>
        <v>5</v>
      </c>
      <c r="D56" t="s">
        <v>66</v>
      </c>
      <c r="E56" s="14">
        <v>0.96</v>
      </c>
      <c r="F56" s="14">
        <v>0.74</v>
      </c>
      <c r="G56" s="14">
        <v>0.77</v>
      </c>
      <c r="H56" s="3">
        <v>21</v>
      </c>
      <c r="I56" s="3">
        <v>33</v>
      </c>
      <c r="J56" s="3">
        <v>5</v>
      </c>
      <c r="K56" s="3">
        <v>12</v>
      </c>
      <c r="L56" s="3">
        <v>5</v>
      </c>
      <c r="M56" s="3">
        <v>3</v>
      </c>
      <c r="N56" s="3">
        <v>3</v>
      </c>
      <c r="O56" s="3">
        <v>812</v>
      </c>
      <c r="P56" s="3">
        <v>682</v>
      </c>
      <c r="Q56" s="3">
        <v>1684.5</v>
      </c>
      <c r="R56" s="3">
        <v>1852</v>
      </c>
      <c r="S56" s="14">
        <v>0.76</v>
      </c>
      <c r="T56" s="14">
        <v>0.16</v>
      </c>
      <c r="U56" s="14">
        <v>1.03</v>
      </c>
      <c r="V56" s="14">
        <v>0.02</v>
      </c>
      <c r="W56" s="14">
        <v>0.88</v>
      </c>
      <c r="X56" s="14">
        <v>0.8580000000000001</v>
      </c>
      <c r="Y56" s="14">
        <v>0.7</v>
      </c>
      <c r="Z56">
        <v>88</v>
      </c>
      <c r="AA56">
        <v>57</v>
      </c>
      <c r="AB56">
        <v>48</v>
      </c>
      <c r="AC56" s="4">
        <f t="shared" si="1"/>
        <v>0.81266666666666654</v>
      </c>
      <c r="AD56" s="25"/>
      <c r="AE56" s="3"/>
      <c r="AF56" s="3"/>
    </row>
    <row r="57" spans="1:32" x14ac:dyDescent="0.25">
      <c r="A57" s="20">
        <v>45713</v>
      </c>
      <c r="B57" s="3" t="s">
        <v>54</v>
      </c>
      <c r="C57" s="3">
        <f t="shared" si="0"/>
        <v>5</v>
      </c>
      <c r="D57" t="s">
        <v>67</v>
      </c>
      <c r="E57" s="14">
        <v>0.79</v>
      </c>
      <c r="F57" s="14">
        <v>0.51</v>
      </c>
      <c r="G57" s="14">
        <v>0.49</v>
      </c>
      <c r="H57" s="3">
        <v>12</v>
      </c>
      <c r="I57" s="3">
        <v>14</v>
      </c>
      <c r="J57" s="3">
        <v>4</v>
      </c>
      <c r="K57" s="3">
        <v>1</v>
      </c>
      <c r="L57" s="3">
        <v>11</v>
      </c>
      <c r="M57" s="3">
        <v>1</v>
      </c>
      <c r="N57" s="3">
        <v>9</v>
      </c>
      <c r="O57" s="3">
        <v>551</v>
      </c>
      <c r="P57" s="3">
        <v>2558</v>
      </c>
      <c r="Q57" s="3">
        <v>1008</v>
      </c>
      <c r="R57" s="3">
        <v>2813</v>
      </c>
      <c r="S57" s="14">
        <v>0.48</v>
      </c>
      <c r="T57" s="14">
        <v>0.24</v>
      </c>
      <c r="U57" s="14">
        <v>0.74</v>
      </c>
      <c r="V57" s="14">
        <v>0.06</v>
      </c>
      <c r="W57" s="14">
        <v>0.52</v>
      </c>
      <c r="X57" s="14">
        <v>0.66</v>
      </c>
      <c r="Y57" s="14">
        <v>0.54</v>
      </c>
      <c r="Z57">
        <v>94</v>
      </c>
      <c r="AA57">
        <v>78</v>
      </c>
      <c r="AB57">
        <v>10</v>
      </c>
      <c r="AC57" s="4">
        <f t="shared" si="1"/>
        <v>0.57333333333333336</v>
      </c>
      <c r="AD57" s="25"/>
      <c r="AE57" s="3"/>
      <c r="AF57" s="3"/>
    </row>
    <row r="58" spans="1:32" x14ac:dyDescent="0.25">
      <c r="A58" s="20">
        <v>45714</v>
      </c>
      <c r="B58" s="3" t="s">
        <v>54</v>
      </c>
      <c r="C58" s="3">
        <f t="shared" si="0"/>
        <v>5</v>
      </c>
      <c r="D58" t="s">
        <v>68</v>
      </c>
      <c r="E58" s="14">
        <v>0.97</v>
      </c>
      <c r="F58" s="14">
        <v>0.42</v>
      </c>
      <c r="G58" s="14">
        <v>0.39</v>
      </c>
      <c r="H58" s="3">
        <v>36</v>
      </c>
      <c r="I58" s="3">
        <v>17</v>
      </c>
      <c r="J58" s="3">
        <v>2</v>
      </c>
      <c r="K58" s="3">
        <v>4</v>
      </c>
      <c r="L58" s="3">
        <v>12</v>
      </c>
      <c r="M58" s="3">
        <v>2</v>
      </c>
      <c r="N58" s="3">
        <v>6</v>
      </c>
      <c r="O58" s="3">
        <v>3310</v>
      </c>
      <c r="P58" s="3">
        <v>1401</v>
      </c>
      <c r="Q58" s="3">
        <v>1626</v>
      </c>
      <c r="R58" s="3">
        <v>3619</v>
      </c>
      <c r="S58" s="14">
        <v>0.96</v>
      </c>
      <c r="T58" s="14">
        <v>1.06</v>
      </c>
      <c r="U58" s="14">
        <v>0.46</v>
      </c>
      <c r="V58" s="14">
        <v>7.0000000000000007E-2</v>
      </c>
      <c r="W58" s="14">
        <v>0.76</v>
      </c>
      <c r="X58" s="14">
        <v>0.42240000000000005</v>
      </c>
      <c r="Y58" s="14">
        <v>0.35</v>
      </c>
      <c r="Z58">
        <v>86</v>
      </c>
      <c r="AA58">
        <v>79</v>
      </c>
      <c r="AB58">
        <v>23</v>
      </c>
      <c r="AC58" s="4">
        <f t="shared" si="1"/>
        <v>0.51080000000000003</v>
      </c>
      <c r="AD58" s="25"/>
      <c r="AE58" s="3"/>
      <c r="AF58" s="3"/>
    </row>
    <row r="59" spans="1:32" x14ac:dyDescent="0.25">
      <c r="A59" s="20">
        <v>45715</v>
      </c>
      <c r="B59" s="3" t="s">
        <v>54</v>
      </c>
      <c r="C59" s="3">
        <f t="shared" si="0"/>
        <v>5</v>
      </c>
      <c r="D59" t="s">
        <v>69</v>
      </c>
      <c r="E59" s="14">
        <v>0.69</v>
      </c>
      <c r="F59" s="14">
        <v>0.59</v>
      </c>
      <c r="G59" s="14">
        <v>0.79</v>
      </c>
      <c r="H59" s="3">
        <v>14</v>
      </c>
      <c r="I59" s="3">
        <v>18</v>
      </c>
      <c r="J59" s="3">
        <v>9</v>
      </c>
      <c r="K59" s="3">
        <v>3</v>
      </c>
      <c r="L59" s="3">
        <v>12</v>
      </c>
      <c r="M59" s="3">
        <v>12</v>
      </c>
      <c r="N59" s="3">
        <v>1</v>
      </c>
      <c r="O59" s="3">
        <v>3018</v>
      </c>
      <c r="P59" s="3">
        <v>562</v>
      </c>
      <c r="Q59" s="3">
        <v>2317.5</v>
      </c>
      <c r="R59" s="3">
        <v>4426</v>
      </c>
      <c r="S59" s="14">
        <v>1.1499999999999999</v>
      </c>
      <c r="T59" s="14">
        <v>0.21</v>
      </c>
      <c r="U59" s="14">
        <v>0.84</v>
      </c>
      <c r="V59" s="14">
        <v>0.03</v>
      </c>
      <c r="W59" s="14">
        <v>0.47</v>
      </c>
      <c r="X59" s="14">
        <v>0.69960000000000011</v>
      </c>
      <c r="Y59" s="14">
        <v>0.43</v>
      </c>
      <c r="Z59">
        <v>87</v>
      </c>
      <c r="AA59">
        <v>72</v>
      </c>
      <c r="AB59">
        <v>27</v>
      </c>
      <c r="AC59" s="4">
        <f t="shared" si="1"/>
        <v>0.53320000000000001</v>
      </c>
      <c r="AD59" s="25"/>
      <c r="AE59" s="3"/>
      <c r="AF59" s="3"/>
    </row>
    <row r="60" spans="1:32" x14ac:dyDescent="0.25">
      <c r="A60" s="20">
        <v>45716</v>
      </c>
      <c r="B60" s="3" t="s">
        <v>54</v>
      </c>
      <c r="C60" s="3">
        <f t="shared" si="0"/>
        <v>5</v>
      </c>
      <c r="D60" t="s">
        <v>70</v>
      </c>
      <c r="E60" s="14">
        <v>0.76</v>
      </c>
      <c r="F60" s="14">
        <v>0.75</v>
      </c>
      <c r="G60" s="14">
        <v>0.88</v>
      </c>
      <c r="H60" s="3">
        <v>37</v>
      </c>
      <c r="I60" s="3">
        <v>25</v>
      </c>
      <c r="J60" s="3">
        <v>6</v>
      </c>
      <c r="K60" s="3">
        <v>1</v>
      </c>
      <c r="L60" s="3">
        <v>2</v>
      </c>
      <c r="M60" s="3">
        <v>2</v>
      </c>
      <c r="N60" s="3">
        <v>3</v>
      </c>
      <c r="O60" s="3">
        <v>476</v>
      </c>
      <c r="P60" s="3">
        <v>1534</v>
      </c>
      <c r="Q60" s="3">
        <v>1606.5</v>
      </c>
      <c r="R60" s="3">
        <v>1767</v>
      </c>
      <c r="S60" s="14">
        <v>0.27</v>
      </c>
      <c r="T60" s="14">
        <v>1.07</v>
      </c>
      <c r="U60" s="14">
        <v>0.59</v>
      </c>
      <c r="V60" s="14">
        <v>0.1</v>
      </c>
      <c r="W60" s="14">
        <v>0.86</v>
      </c>
      <c r="X60" s="14">
        <v>0.60720000000000007</v>
      </c>
      <c r="Y60" s="14">
        <v>0.84</v>
      </c>
      <c r="Z60">
        <v>79</v>
      </c>
      <c r="AA60">
        <v>69</v>
      </c>
      <c r="AB60">
        <v>45</v>
      </c>
      <c r="AC60" s="4">
        <f t="shared" si="1"/>
        <v>0.76906666666666668</v>
      </c>
      <c r="AD60" s="25"/>
      <c r="AE60" s="3"/>
      <c r="AF60" s="3"/>
    </row>
    <row r="61" spans="1:32" x14ac:dyDescent="0.25">
      <c r="A61" s="20">
        <v>45717</v>
      </c>
      <c r="B61" s="3" t="s">
        <v>55</v>
      </c>
      <c r="C61" s="3">
        <f t="shared" si="0"/>
        <v>1</v>
      </c>
      <c r="D61" t="s">
        <v>51</v>
      </c>
      <c r="E61" s="14">
        <v>0.26</v>
      </c>
      <c r="F61" s="14">
        <v>0.81</v>
      </c>
      <c r="G61" s="14">
        <v>0.48</v>
      </c>
      <c r="H61" s="3">
        <v>36</v>
      </c>
      <c r="I61" s="3">
        <v>11</v>
      </c>
      <c r="J61" s="3">
        <v>2</v>
      </c>
      <c r="K61" s="3">
        <v>7</v>
      </c>
      <c r="L61" s="3">
        <v>8</v>
      </c>
      <c r="M61" s="3">
        <v>2</v>
      </c>
      <c r="N61" s="3">
        <v>2</v>
      </c>
      <c r="O61" s="3">
        <v>791</v>
      </c>
      <c r="P61" s="3">
        <v>1119</v>
      </c>
      <c r="Q61" s="3">
        <v>1329</v>
      </c>
      <c r="R61" s="3">
        <v>1461</v>
      </c>
      <c r="S61" s="14">
        <v>0.47</v>
      </c>
      <c r="T61" s="14">
        <v>0.87</v>
      </c>
      <c r="U61" s="14">
        <v>0.26</v>
      </c>
      <c r="V61" s="14">
        <v>0.01</v>
      </c>
      <c r="W61" s="14">
        <v>0.41400000000000003</v>
      </c>
      <c r="X61" s="14">
        <v>0.32670000000000005</v>
      </c>
      <c r="Y61" s="14">
        <v>0.3735</v>
      </c>
      <c r="Z61">
        <v>87</v>
      </c>
      <c r="AA61">
        <v>61</v>
      </c>
      <c r="AB61">
        <v>33</v>
      </c>
      <c r="AC61" s="4">
        <f t="shared" si="1"/>
        <v>0.37140000000000001</v>
      </c>
      <c r="AD61" s="25"/>
      <c r="AE61" s="3"/>
      <c r="AF61" s="3"/>
    </row>
    <row r="62" spans="1:32" x14ac:dyDescent="0.25">
      <c r="A62" s="20">
        <v>45718</v>
      </c>
      <c r="B62" s="3" t="s">
        <v>55</v>
      </c>
      <c r="C62" s="3">
        <f t="shared" si="0"/>
        <v>1</v>
      </c>
      <c r="D62" t="s">
        <v>65</v>
      </c>
      <c r="E62" s="14">
        <v>0.44</v>
      </c>
      <c r="F62" s="14">
        <v>0.48</v>
      </c>
      <c r="G62" s="14">
        <v>0.88</v>
      </c>
      <c r="H62" s="3">
        <v>26</v>
      </c>
      <c r="I62" s="3">
        <v>11</v>
      </c>
      <c r="J62" s="3">
        <v>7</v>
      </c>
      <c r="K62" s="3">
        <v>2</v>
      </c>
      <c r="L62" s="3">
        <v>2</v>
      </c>
      <c r="M62" s="3">
        <v>2</v>
      </c>
      <c r="N62" s="3">
        <v>7</v>
      </c>
      <c r="O62" s="3">
        <v>3699</v>
      </c>
      <c r="P62" s="3">
        <v>696</v>
      </c>
      <c r="Q62" s="3">
        <v>1147.5</v>
      </c>
      <c r="R62" s="3">
        <v>5327</v>
      </c>
      <c r="S62" s="14">
        <v>0.95</v>
      </c>
      <c r="T62" s="14">
        <v>1.17</v>
      </c>
      <c r="U62" s="14">
        <v>1.05</v>
      </c>
      <c r="V62" s="14">
        <v>0.02</v>
      </c>
      <c r="W62" s="14">
        <v>0.20250000000000001</v>
      </c>
      <c r="X62" s="14">
        <v>0.40392000000000006</v>
      </c>
      <c r="Y62" s="14">
        <v>0.38700000000000001</v>
      </c>
      <c r="Z62">
        <v>92</v>
      </c>
      <c r="AA62">
        <v>55</v>
      </c>
      <c r="AB62">
        <v>17</v>
      </c>
      <c r="AC62" s="4">
        <f t="shared" si="1"/>
        <v>0.33114000000000005</v>
      </c>
      <c r="AD62" s="25"/>
      <c r="AE62" s="3"/>
      <c r="AF62" s="3"/>
    </row>
    <row r="63" spans="1:32" x14ac:dyDescent="0.25">
      <c r="A63" s="20">
        <v>45719</v>
      </c>
      <c r="B63" s="3" t="s">
        <v>55</v>
      </c>
      <c r="C63" s="3">
        <f t="shared" si="0"/>
        <v>2</v>
      </c>
      <c r="D63" t="s">
        <v>66</v>
      </c>
      <c r="E63" s="14">
        <v>0.8</v>
      </c>
      <c r="F63" s="14">
        <v>0.84</v>
      </c>
      <c r="G63" s="14">
        <v>0.83</v>
      </c>
      <c r="H63" s="3">
        <v>18</v>
      </c>
      <c r="I63" s="3">
        <v>8</v>
      </c>
      <c r="J63" s="3">
        <v>2</v>
      </c>
      <c r="K63" s="3">
        <v>12</v>
      </c>
      <c r="L63" s="3">
        <v>11</v>
      </c>
      <c r="M63" s="3">
        <v>6</v>
      </c>
      <c r="N63" s="3">
        <v>12</v>
      </c>
      <c r="O63" s="3">
        <v>2066</v>
      </c>
      <c r="P63" s="3">
        <v>897</v>
      </c>
      <c r="Q63" s="3">
        <v>1773</v>
      </c>
      <c r="R63" s="3">
        <v>2479</v>
      </c>
      <c r="S63" s="14">
        <v>0.98</v>
      </c>
      <c r="T63" s="14">
        <v>1.19</v>
      </c>
      <c r="U63" s="14">
        <v>1.07</v>
      </c>
      <c r="V63" s="14">
        <v>0.03</v>
      </c>
      <c r="W63" s="14">
        <v>0.83</v>
      </c>
      <c r="X63" s="14">
        <v>0.7128000000000001</v>
      </c>
      <c r="Y63" s="14">
        <v>0.9</v>
      </c>
      <c r="Z63">
        <v>82</v>
      </c>
      <c r="AA63">
        <v>58</v>
      </c>
      <c r="AB63">
        <v>24</v>
      </c>
      <c r="AC63" s="4">
        <f t="shared" si="1"/>
        <v>0.81426666666666669</v>
      </c>
      <c r="AD63" s="25"/>
      <c r="AE63" s="3"/>
      <c r="AF63" s="3"/>
    </row>
    <row r="64" spans="1:32" x14ac:dyDescent="0.25">
      <c r="A64" s="20">
        <v>45720</v>
      </c>
      <c r="B64" s="3" t="s">
        <v>55</v>
      </c>
      <c r="C64" s="3">
        <f t="shared" si="0"/>
        <v>2</v>
      </c>
      <c r="D64" t="s">
        <v>67</v>
      </c>
      <c r="E64" s="14">
        <v>0.7</v>
      </c>
      <c r="F64" s="14">
        <v>0.68</v>
      </c>
      <c r="G64" s="14">
        <v>0.42</v>
      </c>
      <c r="H64" s="3">
        <v>20</v>
      </c>
      <c r="I64" s="3">
        <v>12</v>
      </c>
      <c r="J64" s="3">
        <v>1</v>
      </c>
      <c r="K64" s="3">
        <v>9</v>
      </c>
      <c r="L64" s="3">
        <v>8</v>
      </c>
      <c r="M64" s="3">
        <v>2</v>
      </c>
      <c r="N64" s="3">
        <v>8</v>
      </c>
      <c r="O64" s="3">
        <v>2323</v>
      </c>
      <c r="P64" s="3">
        <v>1296</v>
      </c>
      <c r="Q64" s="3">
        <v>2431.5</v>
      </c>
      <c r="R64" s="3">
        <v>3748</v>
      </c>
      <c r="S64" s="14">
        <v>0.91</v>
      </c>
      <c r="T64" s="14">
        <v>0.36</v>
      </c>
      <c r="U64" s="14">
        <v>0.54</v>
      </c>
      <c r="V64" s="14">
        <v>0.05</v>
      </c>
      <c r="W64" s="14">
        <v>0.79</v>
      </c>
      <c r="X64" s="14">
        <v>0.8580000000000001</v>
      </c>
      <c r="Y64" s="14">
        <v>0.87</v>
      </c>
      <c r="Z64">
        <v>90</v>
      </c>
      <c r="AA64">
        <v>54</v>
      </c>
      <c r="AB64">
        <v>17</v>
      </c>
      <c r="AC64" s="4">
        <f t="shared" si="1"/>
        <v>0.83933333333333338</v>
      </c>
      <c r="AD64" s="25"/>
      <c r="AE64" s="3"/>
      <c r="AF64" s="3"/>
    </row>
    <row r="65" spans="1:32" x14ac:dyDescent="0.25">
      <c r="A65" s="20">
        <v>45721</v>
      </c>
      <c r="B65" s="3" t="s">
        <v>55</v>
      </c>
      <c r="C65" s="3">
        <f t="shared" si="0"/>
        <v>2</v>
      </c>
      <c r="D65" t="s">
        <v>68</v>
      </c>
      <c r="E65" s="14">
        <v>0.73</v>
      </c>
      <c r="F65" s="14">
        <v>0.36</v>
      </c>
      <c r="G65" s="14">
        <v>0.6</v>
      </c>
      <c r="H65" s="3">
        <v>16</v>
      </c>
      <c r="I65" s="3">
        <v>18</v>
      </c>
      <c r="J65" s="3">
        <v>2</v>
      </c>
      <c r="K65" s="3">
        <v>2</v>
      </c>
      <c r="L65" s="3">
        <v>9</v>
      </c>
      <c r="M65" s="3">
        <v>2</v>
      </c>
      <c r="N65" s="3">
        <v>3</v>
      </c>
      <c r="O65" s="3">
        <v>344</v>
      </c>
      <c r="P65" s="3">
        <v>1703</v>
      </c>
      <c r="Q65" s="3">
        <v>1297.5</v>
      </c>
      <c r="R65" s="3">
        <v>1873</v>
      </c>
      <c r="S65" s="14">
        <v>0.31</v>
      </c>
      <c r="T65" s="14">
        <v>0.3</v>
      </c>
      <c r="U65" s="14">
        <v>0.72</v>
      </c>
      <c r="V65" s="14">
        <v>0.03</v>
      </c>
      <c r="W65" s="14">
        <v>0.72</v>
      </c>
      <c r="X65" s="14">
        <v>0.69960000000000011</v>
      </c>
      <c r="Y65" s="14">
        <v>0.89</v>
      </c>
      <c r="Z65">
        <v>82</v>
      </c>
      <c r="AA65">
        <v>63</v>
      </c>
      <c r="AB65">
        <v>10</v>
      </c>
      <c r="AC65" s="4">
        <f t="shared" si="1"/>
        <v>0.7698666666666667</v>
      </c>
      <c r="AD65" s="25"/>
      <c r="AE65" s="3"/>
      <c r="AF65" s="3"/>
    </row>
    <row r="66" spans="1:32" x14ac:dyDescent="0.25">
      <c r="A66" s="20">
        <v>45722</v>
      </c>
      <c r="B66" s="3" t="s">
        <v>55</v>
      </c>
      <c r="C66" s="3">
        <f t="shared" si="0"/>
        <v>2</v>
      </c>
      <c r="D66" t="s">
        <v>69</v>
      </c>
      <c r="E66" s="14">
        <v>0.97</v>
      </c>
      <c r="F66" s="14">
        <v>0.81</v>
      </c>
      <c r="G66" s="14">
        <v>0.55000000000000004</v>
      </c>
      <c r="H66" s="3">
        <v>32</v>
      </c>
      <c r="I66" s="3">
        <v>14</v>
      </c>
      <c r="J66" s="3">
        <v>5</v>
      </c>
      <c r="K66" s="3">
        <v>8</v>
      </c>
      <c r="L66" s="3">
        <v>3</v>
      </c>
      <c r="M66" s="3">
        <v>11</v>
      </c>
      <c r="N66" s="3">
        <v>2</v>
      </c>
      <c r="O66" s="3">
        <v>3368</v>
      </c>
      <c r="P66" s="3">
        <v>2794</v>
      </c>
      <c r="Q66" s="3">
        <v>2094</v>
      </c>
      <c r="R66" s="3">
        <v>3502</v>
      </c>
      <c r="S66" s="14">
        <v>0.89</v>
      </c>
      <c r="T66" s="14">
        <v>0.55000000000000004</v>
      </c>
      <c r="U66" s="14">
        <v>0.99</v>
      </c>
      <c r="V66" s="14">
        <v>7.0000000000000007E-2</v>
      </c>
      <c r="W66" s="14">
        <v>0.71</v>
      </c>
      <c r="X66" s="14">
        <v>0.68640000000000001</v>
      </c>
      <c r="Y66" s="14">
        <v>0.37</v>
      </c>
      <c r="Z66">
        <v>89</v>
      </c>
      <c r="AA66">
        <v>76</v>
      </c>
      <c r="AB66">
        <v>45</v>
      </c>
      <c r="AC66" s="4">
        <f t="shared" si="1"/>
        <v>0.58879999999999999</v>
      </c>
      <c r="AD66" s="25"/>
      <c r="AE66" s="3"/>
      <c r="AF66" s="3"/>
    </row>
    <row r="67" spans="1:32" x14ac:dyDescent="0.25">
      <c r="A67" s="20">
        <v>45723</v>
      </c>
      <c r="B67" s="3" t="s">
        <v>55</v>
      </c>
      <c r="C67" s="3">
        <f t="shared" ref="C67:C130" si="2">WEEKNUM(A67, 2)-WEEKNUM(DATE(YEAR(A67),MONTH(A67),1),2) +1</f>
        <v>2</v>
      </c>
      <c r="D67" t="s">
        <v>70</v>
      </c>
      <c r="E67" s="14">
        <v>1</v>
      </c>
      <c r="F67" s="14">
        <v>0.47</v>
      </c>
      <c r="G67" s="14">
        <v>0.42</v>
      </c>
      <c r="H67" s="3">
        <v>14</v>
      </c>
      <c r="I67" s="3">
        <v>24</v>
      </c>
      <c r="J67" s="3">
        <v>2</v>
      </c>
      <c r="K67" s="3">
        <v>2</v>
      </c>
      <c r="L67" s="3">
        <v>6</v>
      </c>
      <c r="M67" s="3">
        <v>7</v>
      </c>
      <c r="N67" s="3">
        <v>2</v>
      </c>
      <c r="O67" s="3">
        <v>2183</v>
      </c>
      <c r="P67" s="3">
        <v>1332</v>
      </c>
      <c r="Q67" s="3">
        <v>1233</v>
      </c>
      <c r="R67" s="3">
        <v>3929</v>
      </c>
      <c r="S67" s="14">
        <v>1.1399999999999999</v>
      </c>
      <c r="T67" s="14">
        <v>0.83</v>
      </c>
      <c r="U67" s="14">
        <v>0.8</v>
      </c>
      <c r="V67" s="14">
        <v>0.04</v>
      </c>
      <c r="W67" s="14">
        <v>0.82</v>
      </c>
      <c r="X67" s="14">
        <v>0.39600000000000002</v>
      </c>
      <c r="Y67" s="14">
        <v>0.63</v>
      </c>
      <c r="Z67">
        <v>87</v>
      </c>
      <c r="AA67">
        <v>64</v>
      </c>
      <c r="AB67">
        <v>27</v>
      </c>
      <c r="AC67" s="4">
        <f t="shared" ref="AC67:AC130" si="3">AVERAGE(W67:Y67)</f>
        <v>0.6153333333333334</v>
      </c>
      <c r="AD67" s="25"/>
      <c r="AE67" s="3"/>
      <c r="AF67" s="3"/>
    </row>
    <row r="68" spans="1:32" x14ac:dyDescent="0.25">
      <c r="A68" s="20">
        <v>45724</v>
      </c>
      <c r="B68" s="3" t="s">
        <v>55</v>
      </c>
      <c r="C68" s="3">
        <f t="shared" si="2"/>
        <v>2</v>
      </c>
      <c r="D68" t="s">
        <v>51</v>
      </c>
      <c r="E68" s="14">
        <v>0.2</v>
      </c>
      <c r="F68" s="14">
        <v>0.39</v>
      </c>
      <c r="G68" s="14">
        <v>0.78</v>
      </c>
      <c r="H68" s="3">
        <v>23</v>
      </c>
      <c r="I68" s="3">
        <v>40</v>
      </c>
      <c r="J68" s="3">
        <v>7</v>
      </c>
      <c r="K68" s="3">
        <v>2</v>
      </c>
      <c r="L68" s="3">
        <v>7</v>
      </c>
      <c r="M68" s="3">
        <v>3</v>
      </c>
      <c r="N68" s="3">
        <v>4</v>
      </c>
      <c r="O68" s="3">
        <v>1863</v>
      </c>
      <c r="P68" s="3">
        <v>1467</v>
      </c>
      <c r="Q68" s="3">
        <v>1912.5</v>
      </c>
      <c r="R68" s="3">
        <v>2236</v>
      </c>
      <c r="S68" s="14">
        <v>0.47</v>
      </c>
      <c r="T68" s="14">
        <v>0.79</v>
      </c>
      <c r="U68" s="14">
        <v>0.64</v>
      </c>
      <c r="V68" s="14">
        <v>7.0000000000000007E-2</v>
      </c>
      <c r="W68" s="14">
        <v>0.34200000000000003</v>
      </c>
      <c r="X68" s="14">
        <v>0.22572000000000003</v>
      </c>
      <c r="Y68" s="14">
        <v>0.38250000000000001</v>
      </c>
      <c r="Z68">
        <v>85</v>
      </c>
      <c r="AA68">
        <v>77</v>
      </c>
      <c r="AB68">
        <v>40</v>
      </c>
      <c r="AC68" s="4">
        <f t="shared" si="3"/>
        <v>0.31674000000000002</v>
      </c>
      <c r="AD68" s="25"/>
      <c r="AE68" s="3"/>
      <c r="AF68" s="3"/>
    </row>
    <row r="69" spans="1:32" x14ac:dyDescent="0.25">
      <c r="A69" s="20">
        <v>45725</v>
      </c>
      <c r="B69" s="3" t="s">
        <v>55</v>
      </c>
      <c r="C69" s="3">
        <f t="shared" si="2"/>
        <v>2</v>
      </c>
      <c r="D69" t="s">
        <v>65</v>
      </c>
      <c r="E69" s="14">
        <v>0.27</v>
      </c>
      <c r="F69" s="14">
        <v>0.48</v>
      </c>
      <c r="G69" s="14">
        <v>0.55000000000000004</v>
      </c>
      <c r="H69" s="3">
        <v>28</v>
      </c>
      <c r="I69" s="3">
        <v>11</v>
      </c>
      <c r="J69" s="3">
        <v>2</v>
      </c>
      <c r="K69" s="3">
        <v>3</v>
      </c>
      <c r="L69" s="3">
        <v>2</v>
      </c>
      <c r="M69" s="3">
        <v>4</v>
      </c>
      <c r="N69" s="3">
        <v>7</v>
      </c>
      <c r="O69" s="3">
        <v>872</v>
      </c>
      <c r="P69" s="3">
        <v>1643</v>
      </c>
      <c r="Q69" s="3">
        <v>895.5</v>
      </c>
      <c r="R69" s="3">
        <v>1807</v>
      </c>
      <c r="S69" s="14">
        <v>0.32</v>
      </c>
      <c r="T69" s="14">
        <v>1.01</v>
      </c>
      <c r="U69" s="14">
        <v>0.63</v>
      </c>
      <c r="V69" s="14">
        <v>0.08</v>
      </c>
      <c r="W69" s="14">
        <v>0.26100000000000001</v>
      </c>
      <c r="X69" s="14">
        <v>0.17820000000000003</v>
      </c>
      <c r="Y69" s="14">
        <v>0.40050000000000002</v>
      </c>
      <c r="Z69">
        <v>95</v>
      </c>
      <c r="AA69">
        <v>68</v>
      </c>
      <c r="AB69">
        <v>13</v>
      </c>
      <c r="AC69" s="4">
        <f t="shared" si="3"/>
        <v>0.27990000000000004</v>
      </c>
      <c r="AD69" s="25"/>
      <c r="AE69" s="3"/>
      <c r="AF69" s="3"/>
    </row>
    <row r="70" spans="1:32" x14ac:dyDescent="0.25">
      <c r="A70" s="20">
        <v>45726</v>
      </c>
      <c r="B70" s="3" t="s">
        <v>55</v>
      </c>
      <c r="C70" s="3">
        <f t="shared" si="2"/>
        <v>3</v>
      </c>
      <c r="D70" t="s">
        <v>66</v>
      </c>
      <c r="E70" s="14">
        <v>0.79</v>
      </c>
      <c r="F70" s="14">
        <v>0.76</v>
      </c>
      <c r="G70" s="14">
        <v>0.67</v>
      </c>
      <c r="H70" s="3">
        <v>37</v>
      </c>
      <c r="I70" s="3">
        <v>36</v>
      </c>
      <c r="J70" s="3">
        <v>4</v>
      </c>
      <c r="K70" s="3">
        <v>8</v>
      </c>
      <c r="L70" s="3">
        <v>7</v>
      </c>
      <c r="M70" s="3">
        <v>1</v>
      </c>
      <c r="N70" s="3">
        <v>1</v>
      </c>
      <c r="O70" s="3">
        <v>1777</v>
      </c>
      <c r="P70" s="3">
        <v>2956</v>
      </c>
      <c r="Q70" s="3">
        <v>1000.5</v>
      </c>
      <c r="R70" s="3">
        <v>3251</v>
      </c>
      <c r="S70" s="14">
        <v>0.46</v>
      </c>
      <c r="T70" s="14">
        <v>0.55000000000000004</v>
      </c>
      <c r="U70" s="14">
        <v>0.44</v>
      </c>
      <c r="V70" s="14">
        <v>7.0000000000000007E-2</v>
      </c>
      <c r="W70" s="14">
        <v>0.94</v>
      </c>
      <c r="X70" s="14">
        <v>0.40920000000000001</v>
      </c>
      <c r="Y70" s="14">
        <v>0.44</v>
      </c>
      <c r="Z70">
        <v>86</v>
      </c>
      <c r="AA70">
        <v>73</v>
      </c>
      <c r="AB70">
        <v>25</v>
      </c>
      <c r="AC70" s="4">
        <f t="shared" si="3"/>
        <v>0.59639999999999993</v>
      </c>
      <c r="AD70" s="25"/>
      <c r="AE70" s="3"/>
      <c r="AF70" s="3"/>
    </row>
    <row r="71" spans="1:32" x14ac:dyDescent="0.25">
      <c r="A71" s="20">
        <v>45727</v>
      </c>
      <c r="B71" s="3" t="s">
        <v>55</v>
      </c>
      <c r="C71" s="3">
        <f t="shared" si="2"/>
        <v>3</v>
      </c>
      <c r="D71" t="s">
        <v>67</v>
      </c>
      <c r="E71" s="14">
        <v>0.82</v>
      </c>
      <c r="F71" s="14">
        <v>0.63</v>
      </c>
      <c r="G71" s="14">
        <v>0.39</v>
      </c>
      <c r="H71" s="3">
        <v>24</v>
      </c>
      <c r="I71" s="3">
        <v>30</v>
      </c>
      <c r="J71" s="3">
        <v>6</v>
      </c>
      <c r="K71" s="3">
        <v>11</v>
      </c>
      <c r="L71" s="3">
        <v>11</v>
      </c>
      <c r="M71" s="3">
        <v>1</v>
      </c>
      <c r="N71" s="3">
        <v>11</v>
      </c>
      <c r="O71" s="3">
        <v>1659</v>
      </c>
      <c r="P71" s="3">
        <v>3129</v>
      </c>
      <c r="Q71" s="3">
        <v>2121</v>
      </c>
      <c r="R71" s="3">
        <v>3441</v>
      </c>
      <c r="S71" s="14">
        <v>0.31</v>
      </c>
      <c r="T71" s="14">
        <v>0.65</v>
      </c>
      <c r="U71" s="14">
        <v>0.62</v>
      </c>
      <c r="V71" s="14">
        <v>0.06</v>
      </c>
      <c r="W71" s="14">
        <v>0.7</v>
      </c>
      <c r="X71" s="14">
        <v>0.93720000000000003</v>
      </c>
      <c r="Y71" s="14">
        <v>0.76</v>
      </c>
      <c r="Z71">
        <v>79</v>
      </c>
      <c r="AA71">
        <v>69</v>
      </c>
      <c r="AB71">
        <v>40</v>
      </c>
      <c r="AC71" s="4">
        <f t="shared" si="3"/>
        <v>0.79906666666666659</v>
      </c>
      <c r="AD71" s="25"/>
      <c r="AE71" s="3"/>
      <c r="AF71" s="3"/>
    </row>
    <row r="72" spans="1:32" x14ac:dyDescent="0.25">
      <c r="A72" s="20">
        <v>45728</v>
      </c>
      <c r="B72" s="3" t="s">
        <v>55</v>
      </c>
      <c r="C72" s="3">
        <f t="shared" si="2"/>
        <v>3</v>
      </c>
      <c r="D72" t="s">
        <v>68</v>
      </c>
      <c r="E72" s="14">
        <v>0.78</v>
      </c>
      <c r="F72" s="14">
        <v>0.45</v>
      </c>
      <c r="G72" s="14">
        <v>0.42</v>
      </c>
      <c r="H72" s="3">
        <v>10</v>
      </c>
      <c r="I72" s="3">
        <v>29</v>
      </c>
      <c r="J72" s="3">
        <v>3</v>
      </c>
      <c r="K72" s="3">
        <v>9</v>
      </c>
      <c r="L72" s="3">
        <v>6</v>
      </c>
      <c r="M72" s="3">
        <v>12</v>
      </c>
      <c r="N72" s="3">
        <v>1</v>
      </c>
      <c r="O72" s="3">
        <v>526</v>
      </c>
      <c r="P72" s="3">
        <v>1069</v>
      </c>
      <c r="Q72" s="3">
        <v>1966.5</v>
      </c>
      <c r="R72" s="3">
        <v>2163</v>
      </c>
      <c r="S72" s="14">
        <v>0.74</v>
      </c>
      <c r="T72" s="14">
        <v>0.3</v>
      </c>
      <c r="U72" s="14">
        <v>0.64</v>
      </c>
      <c r="V72" s="14">
        <v>0.09</v>
      </c>
      <c r="W72" s="14">
        <v>0.59</v>
      </c>
      <c r="X72" s="14">
        <v>0.81840000000000002</v>
      </c>
      <c r="Y72" s="14">
        <v>0.84</v>
      </c>
      <c r="Z72">
        <v>82</v>
      </c>
      <c r="AA72">
        <v>78</v>
      </c>
      <c r="AB72">
        <v>46</v>
      </c>
      <c r="AC72" s="4">
        <f t="shared" si="3"/>
        <v>0.74946666666666661</v>
      </c>
      <c r="AD72" s="25"/>
      <c r="AE72" s="3"/>
      <c r="AF72" s="3"/>
    </row>
    <row r="73" spans="1:32" x14ac:dyDescent="0.25">
      <c r="A73" s="20">
        <v>45729</v>
      </c>
      <c r="B73" s="3" t="s">
        <v>55</v>
      </c>
      <c r="C73" s="3">
        <f t="shared" si="2"/>
        <v>3</v>
      </c>
      <c r="D73" t="s">
        <v>69</v>
      </c>
      <c r="E73" s="14">
        <v>0.68</v>
      </c>
      <c r="F73" s="14">
        <v>0.56000000000000005</v>
      </c>
      <c r="G73" s="14">
        <v>0.54</v>
      </c>
      <c r="H73" s="3">
        <v>20</v>
      </c>
      <c r="I73" s="3">
        <v>29</v>
      </c>
      <c r="J73" s="3">
        <v>12</v>
      </c>
      <c r="K73" s="3">
        <v>7</v>
      </c>
      <c r="L73" s="3">
        <v>9</v>
      </c>
      <c r="M73" s="3">
        <v>6</v>
      </c>
      <c r="N73" s="3">
        <v>6</v>
      </c>
      <c r="O73" s="3">
        <v>3423</v>
      </c>
      <c r="P73" s="3">
        <v>423</v>
      </c>
      <c r="Q73" s="3">
        <v>112.5</v>
      </c>
      <c r="R73" s="3">
        <v>3652</v>
      </c>
      <c r="S73" s="14">
        <v>0.17</v>
      </c>
      <c r="T73" s="14">
        <v>0.41</v>
      </c>
      <c r="U73" s="14">
        <v>0.21</v>
      </c>
      <c r="V73" s="14">
        <v>0.01</v>
      </c>
      <c r="W73" s="14">
        <v>0.55000000000000004</v>
      </c>
      <c r="X73" s="14">
        <v>0.63360000000000005</v>
      </c>
      <c r="Y73" s="14">
        <v>0.53</v>
      </c>
      <c r="Z73">
        <v>98</v>
      </c>
      <c r="AA73">
        <v>70</v>
      </c>
      <c r="AB73">
        <v>47</v>
      </c>
      <c r="AC73" s="4">
        <f t="shared" si="3"/>
        <v>0.57120000000000004</v>
      </c>
      <c r="AD73" s="25"/>
      <c r="AE73" s="3"/>
      <c r="AF73" s="3"/>
    </row>
    <row r="74" spans="1:32" x14ac:dyDescent="0.25">
      <c r="A74" s="20">
        <v>45730</v>
      </c>
      <c r="B74" s="3" t="s">
        <v>55</v>
      </c>
      <c r="C74" s="3">
        <f t="shared" si="2"/>
        <v>3</v>
      </c>
      <c r="D74" t="s">
        <v>70</v>
      </c>
      <c r="E74" s="14">
        <v>0.79</v>
      </c>
      <c r="F74" s="14">
        <v>0.9</v>
      </c>
      <c r="G74" s="14">
        <v>0.46</v>
      </c>
      <c r="H74" s="3">
        <v>22</v>
      </c>
      <c r="I74" s="3">
        <v>38</v>
      </c>
      <c r="J74" s="3">
        <v>3</v>
      </c>
      <c r="K74" s="3">
        <v>4</v>
      </c>
      <c r="L74" s="3">
        <v>7</v>
      </c>
      <c r="M74" s="3">
        <v>4</v>
      </c>
      <c r="N74" s="3">
        <v>4</v>
      </c>
      <c r="O74" s="3">
        <v>652</v>
      </c>
      <c r="P74" s="3">
        <v>3228</v>
      </c>
      <c r="Q74" s="3">
        <v>1684.5</v>
      </c>
      <c r="R74" s="3">
        <v>3550</v>
      </c>
      <c r="S74" s="14">
        <v>0.22</v>
      </c>
      <c r="T74" s="14">
        <v>0.97</v>
      </c>
      <c r="U74" s="14">
        <v>1.04</v>
      </c>
      <c r="V74" s="14">
        <v>0.05</v>
      </c>
      <c r="W74" s="14">
        <v>0.72</v>
      </c>
      <c r="X74" s="14">
        <v>0.51480000000000004</v>
      </c>
      <c r="Y74" s="14">
        <v>0.49</v>
      </c>
      <c r="Z74">
        <v>85</v>
      </c>
      <c r="AA74">
        <v>63</v>
      </c>
      <c r="AB74">
        <v>38</v>
      </c>
      <c r="AC74" s="4">
        <f t="shared" si="3"/>
        <v>0.5749333333333333</v>
      </c>
      <c r="AD74" s="25"/>
      <c r="AE74" s="3"/>
      <c r="AF74" s="3"/>
    </row>
    <row r="75" spans="1:32" x14ac:dyDescent="0.25">
      <c r="A75" s="20">
        <v>45731</v>
      </c>
      <c r="B75" s="3" t="s">
        <v>55</v>
      </c>
      <c r="C75" s="3">
        <f t="shared" si="2"/>
        <v>3</v>
      </c>
      <c r="D75" t="s">
        <v>51</v>
      </c>
      <c r="E75" s="14">
        <v>0.41</v>
      </c>
      <c r="F75" s="14">
        <v>0.35</v>
      </c>
      <c r="G75" s="14">
        <v>0.78</v>
      </c>
      <c r="H75" s="3">
        <v>35</v>
      </c>
      <c r="I75" s="3">
        <v>23</v>
      </c>
      <c r="J75" s="3">
        <v>2</v>
      </c>
      <c r="K75" s="3">
        <v>8</v>
      </c>
      <c r="L75" s="3">
        <v>2</v>
      </c>
      <c r="M75" s="3">
        <v>7</v>
      </c>
      <c r="N75" s="3">
        <v>4</v>
      </c>
      <c r="O75" s="3">
        <v>2216</v>
      </c>
      <c r="P75" s="3">
        <v>2004</v>
      </c>
      <c r="Q75" s="3">
        <v>906</v>
      </c>
      <c r="R75" s="3">
        <v>3989</v>
      </c>
      <c r="S75" s="14">
        <v>0.44</v>
      </c>
      <c r="T75" s="14">
        <v>0.31</v>
      </c>
      <c r="U75" s="14">
        <v>0.66</v>
      </c>
      <c r="V75" s="14">
        <v>0.09</v>
      </c>
      <c r="W75" s="14">
        <v>0.26100000000000001</v>
      </c>
      <c r="X75" s="14">
        <v>0.34451999999999999</v>
      </c>
      <c r="Y75" s="14">
        <v>0.36000000000000004</v>
      </c>
      <c r="Z75">
        <v>97</v>
      </c>
      <c r="AA75">
        <v>61</v>
      </c>
      <c r="AB75">
        <v>24</v>
      </c>
      <c r="AC75" s="4">
        <f t="shared" si="3"/>
        <v>0.32184000000000007</v>
      </c>
      <c r="AD75" s="25"/>
      <c r="AE75" s="3"/>
      <c r="AF75" s="3"/>
    </row>
    <row r="76" spans="1:32" x14ac:dyDescent="0.25">
      <c r="A76" s="20">
        <v>45732</v>
      </c>
      <c r="B76" s="3" t="s">
        <v>55</v>
      </c>
      <c r="C76" s="3">
        <f t="shared" si="2"/>
        <v>3</v>
      </c>
      <c r="D76" t="s">
        <v>65</v>
      </c>
      <c r="E76" s="14">
        <v>0.41</v>
      </c>
      <c r="F76" s="14">
        <v>0.88</v>
      </c>
      <c r="G76" s="14">
        <v>0.52</v>
      </c>
      <c r="H76" s="3">
        <v>31</v>
      </c>
      <c r="I76" s="3">
        <v>31</v>
      </c>
      <c r="J76" s="3">
        <v>1</v>
      </c>
      <c r="K76" s="3">
        <v>1</v>
      </c>
      <c r="L76" s="3">
        <v>4</v>
      </c>
      <c r="M76" s="3">
        <v>2</v>
      </c>
      <c r="N76" s="3">
        <v>1</v>
      </c>
      <c r="O76" s="3">
        <v>209</v>
      </c>
      <c r="P76" s="3">
        <v>2363</v>
      </c>
      <c r="Q76" s="3">
        <v>762</v>
      </c>
      <c r="R76" s="3">
        <v>2599</v>
      </c>
      <c r="S76" s="14">
        <v>1.0900000000000001</v>
      </c>
      <c r="T76" s="14">
        <v>1.17</v>
      </c>
      <c r="U76" s="14">
        <v>0.63</v>
      </c>
      <c r="V76" s="14">
        <v>0.06</v>
      </c>
      <c r="W76" s="14">
        <v>0.27450000000000002</v>
      </c>
      <c r="X76" s="14">
        <v>0.44550000000000006</v>
      </c>
      <c r="Y76" s="14">
        <v>0.20700000000000002</v>
      </c>
      <c r="Z76">
        <v>80</v>
      </c>
      <c r="AA76">
        <v>69</v>
      </c>
      <c r="AB76">
        <v>12</v>
      </c>
      <c r="AC76" s="4">
        <f t="shared" si="3"/>
        <v>0.309</v>
      </c>
      <c r="AD76" s="25"/>
      <c r="AE76" s="3"/>
      <c r="AF76" s="3"/>
    </row>
    <row r="77" spans="1:32" x14ac:dyDescent="0.25">
      <c r="A77" s="20">
        <v>45733</v>
      </c>
      <c r="B77" s="3" t="s">
        <v>55</v>
      </c>
      <c r="C77" s="3">
        <f t="shared" si="2"/>
        <v>4</v>
      </c>
      <c r="D77" t="s">
        <v>66</v>
      </c>
      <c r="E77" s="14">
        <v>0.99</v>
      </c>
      <c r="F77" s="14">
        <v>0.49</v>
      </c>
      <c r="G77" s="14">
        <v>0.57999999999999996</v>
      </c>
      <c r="H77" s="3">
        <v>23</v>
      </c>
      <c r="I77" s="3">
        <v>38</v>
      </c>
      <c r="J77" s="3">
        <v>9</v>
      </c>
      <c r="K77" s="3">
        <v>11</v>
      </c>
      <c r="L77" s="3">
        <v>9</v>
      </c>
      <c r="M77" s="3">
        <v>11</v>
      </c>
      <c r="N77" s="3">
        <v>12</v>
      </c>
      <c r="O77" s="3">
        <v>969</v>
      </c>
      <c r="P77" s="3">
        <v>162</v>
      </c>
      <c r="Q77" s="3">
        <v>1269</v>
      </c>
      <c r="R77" s="3">
        <v>1395</v>
      </c>
      <c r="S77" s="14">
        <v>0.68</v>
      </c>
      <c r="T77" s="14">
        <v>0.28000000000000003</v>
      </c>
      <c r="U77" s="14">
        <v>0.34</v>
      </c>
      <c r="V77" s="14">
        <v>0.09</v>
      </c>
      <c r="W77" s="14">
        <v>0.56999999999999995</v>
      </c>
      <c r="X77" s="14">
        <v>0.95040000000000002</v>
      </c>
      <c r="Y77" s="14">
        <v>0.82</v>
      </c>
      <c r="Z77">
        <v>92</v>
      </c>
      <c r="AA77">
        <v>67</v>
      </c>
      <c r="AB77">
        <v>39</v>
      </c>
      <c r="AC77" s="4">
        <f t="shared" si="3"/>
        <v>0.78013333333333323</v>
      </c>
      <c r="AD77" s="25"/>
      <c r="AE77" s="3"/>
      <c r="AF77" s="3"/>
    </row>
    <row r="78" spans="1:32" x14ac:dyDescent="0.25">
      <c r="A78" s="20">
        <v>45734</v>
      </c>
      <c r="B78" s="3" t="s">
        <v>55</v>
      </c>
      <c r="C78" s="3">
        <f t="shared" si="2"/>
        <v>4</v>
      </c>
      <c r="D78" t="s">
        <v>67</v>
      </c>
      <c r="E78" s="14">
        <v>0.85</v>
      </c>
      <c r="F78" s="14">
        <v>0.76</v>
      </c>
      <c r="G78" s="14">
        <v>0.86</v>
      </c>
      <c r="H78" s="3">
        <v>25</v>
      </c>
      <c r="I78" s="3">
        <v>16</v>
      </c>
      <c r="J78" s="3">
        <v>6</v>
      </c>
      <c r="K78" s="3">
        <v>11</v>
      </c>
      <c r="L78" s="3">
        <v>12</v>
      </c>
      <c r="M78" s="3">
        <v>2</v>
      </c>
      <c r="N78" s="3">
        <v>12</v>
      </c>
      <c r="O78" s="3">
        <v>446</v>
      </c>
      <c r="P78" s="3">
        <v>38</v>
      </c>
      <c r="Q78" s="3">
        <v>199.5</v>
      </c>
      <c r="R78" s="3">
        <v>583</v>
      </c>
      <c r="S78" s="14">
        <v>0.16</v>
      </c>
      <c r="T78" s="14">
        <v>0.48</v>
      </c>
      <c r="U78" s="14">
        <v>1.1399999999999999</v>
      </c>
      <c r="V78" s="14">
        <v>0.1</v>
      </c>
      <c r="W78" s="14">
        <v>0.89</v>
      </c>
      <c r="X78" s="14">
        <v>0.52800000000000002</v>
      </c>
      <c r="Y78" s="14">
        <v>0.51</v>
      </c>
      <c r="Z78">
        <v>78</v>
      </c>
      <c r="AA78">
        <v>63</v>
      </c>
      <c r="AB78">
        <v>40</v>
      </c>
      <c r="AC78" s="4">
        <f t="shared" si="3"/>
        <v>0.64266666666666672</v>
      </c>
      <c r="AD78" s="25"/>
      <c r="AE78" s="3"/>
      <c r="AF78" s="3"/>
    </row>
    <row r="79" spans="1:32" x14ac:dyDescent="0.25">
      <c r="A79" s="20">
        <v>45735</v>
      </c>
      <c r="B79" s="3" t="s">
        <v>55</v>
      </c>
      <c r="C79" s="3">
        <f t="shared" si="2"/>
        <v>4</v>
      </c>
      <c r="D79" t="s">
        <v>68</v>
      </c>
      <c r="E79" s="14">
        <v>0.88</v>
      </c>
      <c r="F79" s="14">
        <v>0.61</v>
      </c>
      <c r="G79" s="14">
        <v>0.76</v>
      </c>
      <c r="H79" s="3">
        <v>14</v>
      </c>
      <c r="I79" s="3">
        <v>35</v>
      </c>
      <c r="J79" s="3">
        <v>3</v>
      </c>
      <c r="K79" s="3">
        <v>1</v>
      </c>
      <c r="L79" s="3">
        <v>5</v>
      </c>
      <c r="M79" s="3">
        <v>6</v>
      </c>
      <c r="N79" s="3">
        <v>4</v>
      </c>
      <c r="O79" s="3">
        <v>3578</v>
      </c>
      <c r="P79" s="3">
        <v>624</v>
      </c>
      <c r="Q79" s="3">
        <v>1089</v>
      </c>
      <c r="R79" s="3">
        <v>4055</v>
      </c>
      <c r="S79" s="14">
        <v>0.65</v>
      </c>
      <c r="T79" s="14">
        <v>1.03</v>
      </c>
      <c r="U79" s="14">
        <v>0.79</v>
      </c>
      <c r="V79" s="14">
        <v>0.09</v>
      </c>
      <c r="W79" s="14">
        <v>0.56999999999999995</v>
      </c>
      <c r="X79" s="14">
        <v>0.60720000000000007</v>
      </c>
      <c r="Y79" s="14">
        <v>0.35</v>
      </c>
      <c r="Z79">
        <v>99</v>
      </c>
      <c r="AA79">
        <v>52</v>
      </c>
      <c r="AB79">
        <v>48</v>
      </c>
      <c r="AC79" s="4">
        <f t="shared" si="3"/>
        <v>0.50906666666666667</v>
      </c>
      <c r="AD79" s="25"/>
      <c r="AE79" s="3"/>
      <c r="AF79" s="3"/>
    </row>
    <row r="80" spans="1:32" x14ac:dyDescent="0.25">
      <c r="A80" s="20">
        <v>45736</v>
      </c>
      <c r="B80" s="3" t="s">
        <v>55</v>
      </c>
      <c r="C80" s="3">
        <f t="shared" si="2"/>
        <v>4</v>
      </c>
      <c r="D80" t="s">
        <v>69</v>
      </c>
      <c r="E80" s="14">
        <v>0.79</v>
      </c>
      <c r="F80" s="14">
        <v>0.42</v>
      </c>
      <c r="G80" s="14">
        <v>0.61</v>
      </c>
      <c r="H80" s="3">
        <v>22</v>
      </c>
      <c r="I80" s="3">
        <v>35</v>
      </c>
      <c r="J80" s="3">
        <v>5</v>
      </c>
      <c r="K80" s="3">
        <v>11</v>
      </c>
      <c r="L80" s="3">
        <v>7</v>
      </c>
      <c r="M80" s="3">
        <v>8</v>
      </c>
      <c r="N80" s="3">
        <v>5</v>
      </c>
      <c r="O80" s="3">
        <v>2124</v>
      </c>
      <c r="P80" s="3">
        <v>2166</v>
      </c>
      <c r="Q80" s="3">
        <v>2362.5</v>
      </c>
      <c r="R80" s="3">
        <v>3653</v>
      </c>
      <c r="S80" s="14">
        <v>1.07</v>
      </c>
      <c r="T80" s="14">
        <v>0.16</v>
      </c>
      <c r="U80" s="14">
        <v>0.34</v>
      </c>
      <c r="V80" s="14">
        <v>0.03</v>
      </c>
      <c r="W80" s="14">
        <v>0.73</v>
      </c>
      <c r="X80" s="14">
        <v>0.7128000000000001</v>
      </c>
      <c r="Y80" s="14">
        <v>0.53</v>
      </c>
      <c r="Z80">
        <v>85</v>
      </c>
      <c r="AA80">
        <v>73</v>
      </c>
      <c r="AB80">
        <v>43</v>
      </c>
      <c r="AC80" s="4">
        <f t="shared" si="3"/>
        <v>0.65760000000000007</v>
      </c>
      <c r="AD80" s="25"/>
      <c r="AE80" s="3"/>
      <c r="AF80" s="3"/>
    </row>
    <row r="81" spans="1:32" x14ac:dyDescent="0.25">
      <c r="A81" s="20">
        <v>45737</v>
      </c>
      <c r="B81" s="3" t="s">
        <v>55</v>
      </c>
      <c r="C81" s="3">
        <f t="shared" si="2"/>
        <v>4</v>
      </c>
      <c r="D81" t="s">
        <v>70</v>
      </c>
      <c r="E81" s="14">
        <v>0.84</v>
      </c>
      <c r="F81" s="14">
        <v>0.41</v>
      </c>
      <c r="G81" s="14">
        <v>0.62</v>
      </c>
      <c r="H81" s="3">
        <v>37</v>
      </c>
      <c r="I81" s="3">
        <v>9</v>
      </c>
      <c r="J81" s="3">
        <v>4</v>
      </c>
      <c r="K81" s="3">
        <v>2</v>
      </c>
      <c r="L81" s="3">
        <v>6</v>
      </c>
      <c r="M81" s="3">
        <v>1</v>
      </c>
      <c r="N81" s="3">
        <v>5</v>
      </c>
      <c r="O81" s="3">
        <v>571</v>
      </c>
      <c r="P81" s="3">
        <v>3283</v>
      </c>
      <c r="Q81" s="3">
        <v>2016</v>
      </c>
      <c r="R81" s="3">
        <v>3611</v>
      </c>
      <c r="S81" s="14">
        <v>1.05</v>
      </c>
      <c r="T81" s="14">
        <v>0.35</v>
      </c>
      <c r="U81" s="14">
        <v>0.38</v>
      </c>
      <c r="V81" s="14">
        <v>0.02</v>
      </c>
      <c r="W81" s="14">
        <v>0.84</v>
      </c>
      <c r="X81" s="14">
        <v>0.76560000000000006</v>
      </c>
      <c r="Y81" s="14">
        <v>0.8</v>
      </c>
      <c r="Z81">
        <v>81</v>
      </c>
      <c r="AA81">
        <v>57</v>
      </c>
      <c r="AB81">
        <v>16</v>
      </c>
      <c r="AC81" s="4">
        <f t="shared" si="3"/>
        <v>0.80186666666666662</v>
      </c>
      <c r="AD81" s="25"/>
      <c r="AE81" s="3"/>
      <c r="AF81" s="3"/>
    </row>
    <row r="82" spans="1:32" x14ac:dyDescent="0.25">
      <c r="A82" s="20">
        <v>45738</v>
      </c>
      <c r="B82" s="3" t="s">
        <v>55</v>
      </c>
      <c r="C82" s="3">
        <f t="shared" si="2"/>
        <v>4</v>
      </c>
      <c r="D82" t="s">
        <v>51</v>
      </c>
      <c r="E82" s="14">
        <v>0.1</v>
      </c>
      <c r="F82" s="14">
        <v>0.51</v>
      </c>
      <c r="G82" s="14">
        <v>0.65</v>
      </c>
      <c r="H82" s="3">
        <v>28</v>
      </c>
      <c r="I82" s="3">
        <v>30</v>
      </c>
      <c r="J82" s="3">
        <v>4</v>
      </c>
      <c r="K82" s="3">
        <v>8</v>
      </c>
      <c r="L82" s="3">
        <v>1</v>
      </c>
      <c r="M82" s="3">
        <v>1</v>
      </c>
      <c r="N82" s="3">
        <v>8</v>
      </c>
      <c r="O82" s="3">
        <v>966</v>
      </c>
      <c r="P82" s="3">
        <v>3375</v>
      </c>
      <c r="Q82" s="3">
        <v>1639.5</v>
      </c>
      <c r="R82" s="3">
        <v>3712</v>
      </c>
      <c r="S82" s="14">
        <v>0.56999999999999995</v>
      </c>
      <c r="T82" s="14">
        <v>0.49</v>
      </c>
      <c r="U82" s="14">
        <v>0.82</v>
      </c>
      <c r="V82" s="14">
        <v>0.08</v>
      </c>
      <c r="W82" s="14">
        <v>0.36450000000000005</v>
      </c>
      <c r="X82" s="14">
        <v>0.38610000000000005</v>
      </c>
      <c r="Y82" s="14">
        <v>0.16200000000000001</v>
      </c>
      <c r="Z82">
        <v>94</v>
      </c>
      <c r="AA82">
        <v>78</v>
      </c>
      <c r="AB82">
        <v>47</v>
      </c>
      <c r="AC82" s="4">
        <f t="shared" si="3"/>
        <v>0.30420000000000008</v>
      </c>
      <c r="AD82" s="25"/>
      <c r="AE82" s="3"/>
      <c r="AF82" s="3"/>
    </row>
    <row r="83" spans="1:32" x14ac:dyDescent="0.25">
      <c r="A83" s="20">
        <v>45739</v>
      </c>
      <c r="B83" s="3" t="s">
        <v>55</v>
      </c>
      <c r="C83" s="3">
        <f t="shared" si="2"/>
        <v>4</v>
      </c>
      <c r="D83" t="s">
        <v>65</v>
      </c>
      <c r="E83" s="14">
        <v>0.2</v>
      </c>
      <c r="F83" s="14">
        <v>0.87</v>
      </c>
      <c r="G83" s="14">
        <v>0.74</v>
      </c>
      <c r="H83" s="3">
        <v>25</v>
      </c>
      <c r="I83" s="3">
        <v>30</v>
      </c>
      <c r="J83" s="3">
        <v>6</v>
      </c>
      <c r="K83" s="3">
        <v>2</v>
      </c>
      <c r="L83" s="3">
        <v>2</v>
      </c>
      <c r="M83" s="3">
        <v>6</v>
      </c>
      <c r="N83" s="3">
        <v>2</v>
      </c>
      <c r="O83" s="3">
        <v>3021</v>
      </c>
      <c r="P83" s="3">
        <v>2243</v>
      </c>
      <c r="Q83" s="3">
        <v>198</v>
      </c>
      <c r="R83" s="3">
        <v>4351</v>
      </c>
      <c r="S83" s="14">
        <v>1.08</v>
      </c>
      <c r="T83" s="14">
        <v>0.93</v>
      </c>
      <c r="U83" s="14">
        <v>0.68</v>
      </c>
      <c r="V83" s="14">
        <v>0.04</v>
      </c>
      <c r="W83" s="14">
        <v>0.315</v>
      </c>
      <c r="X83" s="14">
        <v>0.43362000000000001</v>
      </c>
      <c r="Y83" s="14">
        <v>0.17100000000000001</v>
      </c>
      <c r="Z83">
        <v>95</v>
      </c>
      <c r="AA83">
        <v>51</v>
      </c>
      <c r="AB83">
        <v>40</v>
      </c>
      <c r="AC83" s="4">
        <f t="shared" si="3"/>
        <v>0.30654000000000003</v>
      </c>
      <c r="AD83" s="25"/>
      <c r="AE83" s="3"/>
      <c r="AF83" s="3"/>
    </row>
    <row r="84" spans="1:32" x14ac:dyDescent="0.25">
      <c r="A84" s="20">
        <v>45740</v>
      </c>
      <c r="B84" s="3" t="s">
        <v>55</v>
      </c>
      <c r="C84" s="3">
        <f t="shared" si="2"/>
        <v>5</v>
      </c>
      <c r="D84" t="s">
        <v>66</v>
      </c>
      <c r="E84" s="14">
        <v>0.71</v>
      </c>
      <c r="F84" s="14">
        <v>0.72</v>
      </c>
      <c r="G84" s="14">
        <v>0.54</v>
      </c>
      <c r="H84" s="3">
        <v>24</v>
      </c>
      <c r="I84" s="3">
        <v>35</v>
      </c>
      <c r="J84" s="3">
        <v>1</v>
      </c>
      <c r="K84" s="3">
        <v>4</v>
      </c>
      <c r="L84" s="3">
        <v>8</v>
      </c>
      <c r="M84" s="3">
        <v>4</v>
      </c>
      <c r="N84" s="3">
        <v>1</v>
      </c>
      <c r="O84" s="3">
        <v>3144</v>
      </c>
      <c r="P84" s="3">
        <v>1892</v>
      </c>
      <c r="Q84" s="3">
        <v>2056.5</v>
      </c>
      <c r="R84" s="3">
        <v>4275</v>
      </c>
      <c r="S84" s="14">
        <v>1.17</v>
      </c>
      <c r="T84" s="14">
        <v>0.84</v>
      </c>
      <c r="U84" s="14">
        <v>0.83</v>
      </c>
      <c r="V84" s="14">
        <v>0.01</v>
      </c>
      <c r="W84" s="14">
        <v>0.47</v>
      </c>
      <c r="X84" s="14">
        <v>0.58080000000000009</v>
      </c>
      <c r="Y84" s="14">
        <v>0.4</v>
      </c>
      <c r="Z84">
        <v>80</v>
      </c>
      <c r="AA84">
        <v>55</v>
      </c>
      <c r="AB84">
        <v>16</v>
      </c>
      <c r="AC84" s="4">
        <f t="shared" si="3"/>
        <v>0.48360000000000003</v>
      </c>
      <c r="AD84" s="25"/>
      <c r="AE84" s="3"/>
      <c r="AF84" s="3"/>
    </row>
    <row r="85" spans="1:32" x14ac:dyDescent="0.25">
      <c r="A85" s="20">
        <v>45741</v>
      </c>
      <c r="B85" s="3" t="s">
        <v>55</v>
      </c>
      <c r="C85" s="3">
        <f t="shared" si="2"/>
        <v>5</v>
      </c>
      <c r="D85" t="s">
        <v>67</v>
      </c>
      <c r="E85" s="14">
        <v>0.73</v>
      </c>
      <c r="F85" s="14">
        <v>0.79</v>
      </c>
      <c r="G85" s="14">
        <v>0.51</v>
      </c>
      <c r="H85" s="3">
        <v>31</v>
      </c>
      <c r="I85" s="3">
        <v>14</v>
      </c>
      <c r="J85" s="3">
        <v>5</v>
      </c>
      <c r="K85" s="3">
        <v>7</v>
      </c>
      <c r="L85" s="3">
        <v>12</v>
      </c>
      <c r="M85" s="3">
        <v>11</v>
      </c>
      <c r="N85" s="3">
        <v>11</v>
      </c>
      <c r="O85" s="3">
        <v>2400</v>
      </c>
      <c r="P85" s="3">
        <v>1544</v>
      </c>
      <c r="Q85" s="3">
        <v>2490</v>
      </c>
      <c r="R85" s="3">
        <v>2739</v>
      </c>
      <c r="S85" s="14">
        <v>0.23</v>
      </c>
      <c r="T85" s="14">
        <v>1.04</v>
      </c>
      <c r="U85" s="14">
        <v>0.18</v>
      </c>
      <c r="V85" s="14">
        <v>0.08</v>
      </c>
      <c r="W85" s="14">
        <v>0.78</v>
      </c>
      <c r="X85" s="14">
        <v>0.48840000000000006</v>
      </c>
      <c r="Y85" s="14">
        <v>0.56999999999999995</v>
      </c>
      <c r="Z85">
        <v>81</v>
      </c>
      <c r="AA85">
        <v>78</v>
      </c>
      <c r="AB85">
        <v>10</v>
      </c>
      <c r="AC85" s="4">
        <f t="shared" si="3"/>
        <v>0.61280000000000001</v>
      </c>
      <c r="AD85" s="25"/>
      <c r="AE85" s="3"/>
      <c r="AF85" s="3"/>
    </row>
    <row r="86" spans="1:32" x14ac:dyDescent="0.25">
      <c r="A86" s="20">
        <v>45742</v>
      </c>
      <c r="B86" s="3" t="s">
        <v>55</v>
      </c>
      <c r="C86" s="3">
        <f t="shared" si="2"/>
        <v>5</v>
      </c>
      <c r="D86" t="s">
        <v>68</v>
      </c>
      <c r="E86" s="14">
        <v>0.91</v>
      </c>
      <c r="F86" s="14">
        <v>0.85</v>
      </c>
      <c r="G86" s="14">
        <v>0.61</v>
      </c>
      <c r="H86" s="3">
        <v>16</v>
      </c>
      <c r="I86" s="3">
        <v>7</v>
      </c>
      <c r="J86" s="3">
        <v>3</v>
      </c>
      <c r="K86" s="3">
        <v>6</v>
      </c>
      <c r="L86" s="3">
        <v>4</v>
      </c>
      <c r="M86" s="3">
        <v>8</v>
      </c>
      <c r="N86" s="3">
        <v>2</v>
      </c>
      <c r="O86" s="3">
        <v>2858</v>
      </c>
      <c r="P86" s="3">
        <v>799</v>
      </c>
      <c r="Q86" s="3">
        <v>882</v>
      </c>
      <c r="R86" s="3">
        <v>4725</v>
      </c>
      <c r="S86" s="14">
        <v>1.1100000000000001</v>
      </c>
      <c r="T86" s="14">
        <v>0.63</v>
      </c>
      <c r="U86" s="14">
        <v>0.89</v>
      </c>
      <c r="V86" s="14">
        <v>0.1</v>
      </c>
      <c r="W86" s="14">
        <v>0.7</v>
      </c>
      <c r="X86" s="14">
        <v>0.68640000000000001</v>
      </c>
      <c r="Y86" s="14">
        <v>0.35</v>
      </c>
      <c r="Z86">
        <v>88</v>
      </c>
      <c r="AA86">
        <v>52</v>
      </c>
      <c r="AB86">
        <v>46</v>
      </c>
      <c r="AC86" s="4">
        <f t="shared" si="3"/>
        <v>0.57880000000000009</v>
      </c>
      <c r="AD86" s="25"/>
      <c r="AE86" s="3"/>
      <c r="AF86" s="3"/>
    </row>
    <row r="87" spans="1:32" x14ac:dyDescent="0.25">
      <c r="A87" s="20">
        <v>45743</v>
      </c>
      <c r="B87" s="3" t="s">
        <v>55</v>
      </c>
      <c r="C87" s="3">
        <f t="shared" si="2"/>
        <v>5</v>
      </c>
      <c r="D87" t="s">
        <v>69</v>
      </c>
      <c r="E87" s="14">
        <v>0.81</v>
      </c>
      <c r="F87" s="14">
        <v>0.72</v>
      </c>
      <c r="G87" s="14">
        <v>0.45</v>
      </c>
      <c r="H87" s="3">
        <v>25</v>
      </c>
      <c r="I87" s="3">
        <v>26</v>
      </c>
      <c r="J87" s="3">
        <v>11</v>
      </c>
      <c r="K87" s="3">
        <v>9</v>
      </c>
      <c r="L87" s="3">
        <v>2</v>
      </c>
      <c r="M87" s="3">
        <v>9</v>
      </c>
      <c r="N87" s="3">
        <v>7</v>
      </c>
      <c r="O87" s="3">
        <v>2553</v>
      </c>
      <c r="P87" s="3">
        <v>558</v>
      </c>
      <c r="Q87" s="3">
        <v>9</v>
      </c>
      <c r="R87" s="3">
        <v>3335</v>
      </c>
      <c r="S87" s="14">
        <v>1.05</v>
      </c>
      <c r="T87" s="14">
        <v>1.1499999999999999</v>
      </c>
      <c r="U87" s="14">
        <v>0.91</v>
      </c>
      <c r="V87" s="14">
        <v>0.09</v>
      </c>
      <c r="W87" s="14">
        <v>0.76</v>
      </c>
      <c r="X87" s="14">
        <v>0.8580000000000001</v>
      </c>
      <c r="Y87" s="14">
        <v>0.48</v>
      </c>
      <c r="Z87">
        <v>96</v>
      </c>
      <c r="AA87">
        <v>65</v>
      </c>
      <c r="AB87">
        <v>29</v>
      </c>
      <c r="AC87" s="4">
        <f t="shared" si="3"/>
        <v>0.69933333333333325</v>
      </c>
      <c r="AD87" s="25"/>
      <c r="AE87" s="3"/>
      <c r="AF87" s="3"/>
    </row>
    <row r="88" spans="1:32" x14ac:dyDescent="0.25">
      <c r="A88" s="20">
        <v>45744</v>
      </c>
      <c r="B88" s="3" t="s">
        <v>55</v>
      </c>
      <c r="C88" s="3">
        <f t="shared" si="2"/>
        <v>5</v>
      </c>
      <c r="D88" t="s">
        <v>70</v>
      </c>
      <c r="E88" s="14">
        <v>0.69</v>
      </c>
      <c r="F88" s="14">
        <v>0.53</v>
      </c>
      <c r="G88" s="14">
        <v>0.78</v>
      </c>
      <c r="H88" s="3">
        <v>11</v>
      </c>
      <c r="I88" s="3">
        <v>19</v>
      </c>
      <c r="J88" s="3">
        <v>6</v>
      </c>
      <c r="K88" s="3">
        <v>2</v>
      </c>
      <c r="L88" s="3">
        <v>7</v>
      </c>
      <c r="M88" s="3">
        <v>7</v>
      </c>
      <c r="N88" s="3">
        <v>4</v>
      </c>
      <c r="O88" s="3">
        <v>157</v>
      </c>
      <c r="P88" s="3">
        <v>1391</v>
      </c>
      <c r="Q88" s="3">
        <v>1050</v>
      </c>
      <c r="R88" s="3">
        <v>1530</v>
      </c>
      <c r="S88" s="14">
        <v>0.37</v>
      </c>
      <c r="T88" s="14">
        <v>0.21</v>
      </c>
      <c r="U88" s="14">
        <v>1.1200000000000001</v>
      </c>
      <c r="V88" s="14">
        <v>0.04</v>
      </c>
      <c r="W88" s="14">
        <v>0.63</v>
      </c>
      <c r="X88" s="14">
        <v>0.73920000000000008</v>
      </c>
      <c r="Y88" s="14">
        <v>0.59</v>
      </c>
      <c r="Z88">
        <v>99</v>
      </c>
      <c r="AA88">
        <v>61</v>
      </c>
      <c r="AB88">
        <v>14</v>
      </c>
      <c r="AC88" s="4">
        <f t="shared" si="3"/>
        <v>0.65306666666666668</v>
      </c>
      <c r="AD88" s="25"/>
      <c r="AE88" s="3"/>
      <c r="AF88" s="3"/>
    </row>
    <row r="89" spans="1:32" x14ac:dyDescent="0.25">
      <c r="A89" s="20">
        <v>45745</v>
      </c>
      <c r="B89" s="3" t="s">
        <v>55</v>
      </c>
      <c r="C89" s="3">
        <f t="shared" si="2"/>
        <v>5</v>
      </c>
      <c r="D89" t="s">
        <v>51</v>
      </c>
      <c r="E89" s="14">
        <v>0.43</v>
      </c>
      <c r="F89" s="14">
        <v>0.68</v>
      </c>
      <c r="G89" s="14">
        <v>0.77</v>
      </c>
      <c r="H89" s="3">
        <v>36</v>
      </c>
      <c r="I89" s="3">
        <v>30</v>
      </c>
      <c r="J89" s="3">
        <v>7</v>
      </c>
      <c r="K89" s="3">
        <v>5</v>
      </c>
      <c r="L89" s="3">
        <v>2</v>
      </c>
      <c r="M89" s="3">
        <v>3</v>
      </c>
      <c r="N89" s="3">
        <v>4</v>
      </c>
      <c r="O89" s="3">
        <v>917</v>
      </c>
      <c r="P89" s="3">
        <v>1148</v>
      </c>
      <c r="Q89" s="3">
        <v>231</v>
      </c>
      <c r="R89" s="3">
        <v>1262</v>
      </c>
      <c r="S89" s="14">
        <v>0.94</v>
      </c>
      <c r="T89" s="14">
        <v>1.18</v>
      </c>
      <c r="U89" s="14">
        <v>0.62</v>
      </c>
      <c r="V89" s="14">
        <v>0.06</v>
      </c>
      <c r="W89" s="14">
        <v>0.378</v>
      </c>
      <c r="X89" s="14">
        <v>0.21978000000000003</v>
      </c>
      <c r="Y89" s="14">
        <v>0.30150000000000005</v>
      </c>
      <c r="Z89">
        <v>98</v>
      </c>
      <c r="AA89">
        <v>63</v>
      </c>
      <c r="AB89">
        <v>28</v>
      </c>
      <c r="AC89" s="4">
        <f t="shared" si="3"/>
        <v>0.29976000000000003</v>
      </c>
      <c r="AD89" s="25"/>
      <c r="AE89" s="3"/>
      <c r="AF89" s="3"/>
    </row>
    <row r="90" spans="1:32" x14ac:dyDescent="0.25">
      <c r="A90" s="20">
        <v>45746</v>
      </c>
      <c r="B90" s="3" t="s">
        <v>55</v>
      </c>
      <c r="C90" s="3">
        <f t="shared" si="2"/>
        <v>5</v>
      </c>
      <c r="D90" t="s">
        <v>65</v>
      </c>
      <c r="E90" s="14">
        <v>0.42</v>
      </c>
      <c r="F90" s="14">
        <v>0.71</v>
      </c>
      <c r="G90" s="14">
        <v>0.88</v>
      </c>
      <c r="H90" s="3">
        <v>27</v>
      </c>
      <c r="I90" s="3">
        <v>34</v>
      </c>
      <c r="J90" s="3">
        <v>8</v>
      </c>
      <c r="K90" s="3">
        <v>4</v>
      </c>
      <c r="L90" s="3">
        <v>5</v>
      </c>
      <c r="M90" s="3">
        <v>1</v>
      </c>
      <c r="N90" s="3">
        <v>3</v>
      </c>
      <c r="O90" s="3">
        <v>2628</v>
      </c>
      <c r="P90" s="3">
        <v>2227</v>
      </c>
      <c r="Q90" s="3">
        <v>1891.5</v>
      </c>
      <c r="R90" s="3">
        <v>3714</v>
      </c>
      <c r="S90" s="14">
        <v>1.23</v>
      </c>
      <c r="T90" s="14">
        <v>0.52</v>
      </c>
      <c r="U90" s="14">
        <v>0.19</v>
      </c>
      <c r="V90" s="14">
        <v>0.06</v>
      </c>
      <c r="W90" s="14">
        <v>0.24750000000000003</v>
      </c>
      <c r="X90" s="14">
        <v>0.25542000000000004</v>
      </c>
      <c r="Y90" s="14">
        <v>0.39600000000000002</v>
      </c>
      <c r="Z90">
        <v>88</v>
      </c>
      <c r="AA90">
        <v>80</v>
      </c>
      <c r="AB90">
        <v>38</v>
      </c>
      <c r="AC90" s="4">
        <f t="shared" si="3"/>
        <v>0.29964000000000002</v>
      </c>
      <c r="AD90" s="25"/>
      <c r="AE90" s="3"/>
      <c r="AF90" s="3"/>
    </row>
    <row r="91" spans="1:32" x14ac:dyDescent="0.25">
      <c r="A91" s="20">
        <v>45747</v>
      </c>
      <c r="B91" s="3" t="s">
        <v>55</v>
      </c>
      <c r="C91" s="3">
        <f t="shared" si="2"/>
        <v>6</v>
      </c>
      <c r="D91" t="s">
        <v>66</v>
      </c>
      <c r="E91" s="14">
        <v>0.68</v>
      </c>
      <c r="F91" s="14">
        <v>0.77</v>
      </c>
      <c r="G91" s="14">
        <v>0.87</v>
      </c>
      <c r="H91" s="3">
        <v>14</v>
      </c>
      <c r="I91" s="3">
        <v>26</v>
      </c>
      <c r="J91" s="3">
        <v>2</v>
      </c>
      <c r="K91" s="3">
        <v>3</v>
      </c>
      <c r="L91" s="3">
        <v>4</v>
      </c>
      <c r="M91" s="3">
        <v>4</v>
      </c>
      <c r="N91" s="3">
        <v>5</v>
      </c>
      <c r="O91" s="3">
        <v>2577</v>
      </c>
      <c r="P91" s="3">
        <v>310</v>
      </c>
      <c r="Q91" s="3">
        <v>1021.5</v>
      </c>
      <c r="R91" s="3">
        <v>3265</v>
      </c>
      <c r="S91" s="14">
        <v>0.46</v>
      </c>
      <c r="T91" s="14">
        <v>0.55000000000000004</v>
      </c>
      <c r="U91" s="14">
        <v>0.98</v>
      </c>
      <c r="V91" s="14">
        <v>0.01</v>
      </c>
      <c r="W91" s="14">
        <v>0.76</v>
      </c>
      <c r="X91" s="14">
        <v>0.64680000000000004</v>
      </c>
      <c r="Y91" s="14">
        <v>0.48</v>
      </c>
      <c r="Z91">
        <v>96</v>
      </c>
      <c r="AA91">
        <v>71</v>
      </c>
      <c r="AB91">
        <v>35</v>
      </c>
      <c r="AC91" s="4">
        <f t="shared" si="3"/>
        <v>0.62893333333333334</v>
      </c>
      <c r="AD91" s="25"/>
      <c r="AE91" s="3"/>
      <c r="AF91" s="3"/>
    </row>
    <row r="92" spans="1:32" x14ac:dyDescent="0.25">
      <c r="A92" s="20">
        <v>45748</v>
      </c>
      <c r="B92" s="3" t="s">
        <v>56</v>
      </c>
      <c r="C92" s="3">
        <f t="shared" si="2"/>
        <v>1</v>
      </c>
      <c r="D92" t="s">
        <v>67</v>
      </c>
      <c r="E92" s="14">
        <v>0.61</v>
      </c>
      <c r="F92" s="14">
        <v>0.68</v>
      </c>
      <c r="G92" s="14">
        <v>0.78</v>
      </c>
      <c r="H92" s="3">
        <v>22</v>
      </c>
      <c r="I92" s="3">
        <v>12</v>
      </c>
      <c r="J92" s="3">
        <v>2</v>
      </c>
      <c r="K92" s="3">
        <v>1</v>
      </c>
      <c r="L92" s="3">
        <v>7</v>
      </c>
      <c r="M92" s="3">
        <v>5</v>
      </c>
      <c r="N92" s="3">
        <v>1</v>
      </c>
      <c r="O92" s="3">
        <v>947</v>
      </c>
      <c r="P92" s="3">
        <v>2646</v>
      </c>
      <c r="Q92" s="3">
        <v>883.5</v>
      </c>
      <c r="R92" s="3">
        <v>2910</v>
      </c>
      <c r="S92" s="14">
        <v>1.0900000000000001</v>
      </c>
      <c r="T92" s="14">
        <v>0.52</v>
      </c>
      <c r="U92" s="14">
        <v>0.39</v>
      </c>
      <c r="V92" s="14">
        <v>0.03</v>
      </c>
      <c r="W92" s="14">
        <v>0.66</v>
      </c>
      <c r="X92" s="14">
        <v>0.97680000000000011</v>
      </c>
      <c r="Y92" s="14">
        <v>0.51</v>
      </c>
      <c r="Z92">
        <v>79</v>
      </c>
      <c r="AA92">
        <v>66</v>
      </c>
      <c r="AB92">
        <v>20</v>
      </c>
      <c r="AC92" s="4">
        <f t="shared" si="3"/>
        <v>0.7155999999999999</v>
      </c>
      <c r="AD92" s="25"/>
      <c r="AE92" s="3"/>
      <c r="AF92" s="3"/>
    </row>
    <row r="93" spans="1:32" x14ac:dyDescent="0.25">
      <c r="A93" s="20">
        <v>45749</v>
      </c>
      <c r="B93" s="3" t="s">
        <v>56</v>
      </c>
      <c r="C93" s="3">
        <f t="shared" si="2"/>
        <v>1</v>
      </c>
      <c r="D93" t="s">
        <v>68</v>
      </c>
      <c r="E93" s="14">
        <v>0.83</v>
      </c>
      <c r="F93" s="14">
        <v>0.66</v>
      </c>
      <c r="G93" s="14">
        <v>0.89</v>
      </c>
      <c r="H93" s="3">
        <v>27</v>
      </c>
      <c r="I93" s="3">
        <v>22</v>
      </c>
      <c r="J93" s="3">
        <v>9</v>
      </c>
      <c r="K93" s="3">
        <v>3</v>
      </c>
      <c r="L93" s="3">
        <v>2</v>
      </c>
      <c r="M93" s="3">
        <v>2</v>
      </c>
      <c r="N93" s="3">
        <v>5</v>
      </c>
      <c r="O93" s="3">
        <v>2517</v>
      </c>
      <c r="P93" s="3">
        <v>2001</v>
      </c>
      <c r="Q93" s="3">
        <v>612</v>
      </c>
      <c r="R93" s="3">
        <v>3390</v>
      </c>
      <c r="S93" s="14">
        <v>0.38</v>
      </c>
      <c r="T93" s="14">
        <v>1.01</v>
      </c>
      <c r="U93" s="14">
        <v>0.81</v>
      </c>
      <c r="V93" s="14">
        <v>0.08</v>
      </c>
      <c r="W93" s="14">
        <v>0.66</v>
      </c>
      <c r="X93" s="14">
        <v>0.40920000000000001</v>
      </c>
      <c r="Y93" s="14">
        <v>0.4</v>
      </c>
      <c r="Z93">
        <v>87</v>
      </c>
      <c r="AA93">
        <v>63</v>
      </c>
      <c r="AB93">
        <v>26</v>
      </c>
      <c r="AC93" s="4">
        <f t="shared" si="3"/>
        <v>0.4897333333333333</v>
      </c>
      <c r="AD93" s="25"/>
      <c r="AE93" s="3"/>
      <c r="AF93" s="3"/>
    </row>
    <row r="94" spans="1:32" x14ac:dyDescent="0.25">
      <c r="A94" s="20">
        <v>45750</v>
      </c>
      <c r="B94" s="3" t="s">
        <v>56</v>
      </c>
      <c r="C94" s="3">
        <f t="shared" si="2"/>
        <v>1</v>
      </c>
      <c r="D94" t="s">
        <v>69</v>
      </c>
      <c r="E94" s="14">
        <v>0.64</v>
      </c>
      <c r="F94" s="14">
        <v>0.83</v>
      </c>
      <c r="G94" s="14">
        <v>0.41</v>
      </c>
      <c r="H94" s="3">
        <v>36</v>
      </c>
      <c r="I94" s="3">
        <v>9</v>
      </c>
      <c r="J94" s="3">
        <v>2</v>
      </c>
      <c r="K94" s="3">
        <v>11</v>
      </c>
      <c r="L94" s="3">
        <v>5</v>
      </c>
      <c r="M94" s="3">
        <v>2</v>
      </c>
      <c r="N94" s="3">
        <v>12</v>
      </c>
      <c r="O94" s="3">
        <v>165</v>
      </c>
      <c r="P94" s="3">
        <v>1134</v>
      </c>
      <c r="Q94" s="3">
        <v>2499</v>
      </c>
      <c r="R94" s="3">
        <v>2748</v>
      </c>
      <c r="S94" s="14">
        <v>0.4</v>
      </c>
      <c r="T94" s="14">
        <v>0.47</v>
      </c>
      <c r="U94" s="14">
        <v>0.91</v>
      </c>
      <c r="V94" s="14">
        <v>0.06</v>
      </c>
      <c r="W94" s="14">
        <v>0.5</v>
      </c>
      <c r="X94" s="14">
        <v>0.76560000000000006</v>
      </c>
      <c r="Y94" s="14">
        <v>0.61</v>
      </c>
      <c r="Z94">
        <v>90</v>
      </c>
      <c r="AA94">
        <v>69</v>
      </c>
      <c r="AB94">
        <v>14</v>
      </c>
      <c r="AC94" s="4">
        <f t="shared" si="3"/>
        <v>0.62519999999999998</v>
      </c>
      <c r="AD94" s="25"/>
      <c r="AE94" s="3"/>
      <c r="AF94" s="3"/>
    </row>
    <row r="95" spans="1:32" x14ac:dyDescent="0.25">
      <c r="A95" s="20">
        <v>45751</v>
      </c>
      <c r="B95" s="3" t="s">
        <v>56</v>
      </c>
      <c r="C95" s="3">
        <f t="shared" si="2"/>
        <v>1</v>
      </c>
      <c r="D95" t="s">
        <v>70</v>
      </c>
      <c r="E95" s="14">
        <v>0.79</v>
      </c>
      <c r="F95" s="14">
        <v>0.44</v>
      </c>
      <c r="G95" s="14">
        <v>0.61</v>
      </c>
      <c r="H95" s="3">
        <v>17</v>
      </c>
      <c r="I95" s="3">
        <v>29</v>
      </c>
      <c r="J95" s="3">
        <v>2</v>
      </c>
      <c r="K95" s="3">
        <v>7</v>
      </c>
      <c r="L95" s="3">
        <v>2</v>
      </c>
      <c r="M95" s="3">
        <v>4</v>
      </c>
      <c r="N95" s="3">
        <v>2</v>
      </c>
      <c r="O95" s="3">
        <v>177</v>
      </c>
      <c r="P95" s="3">
        <v>2975</v>
      </c>
      <c r="Q95" s="3">
        <v>2587.5</v>
      </c>
      <c r="R95" s="3">
        <v>3272</v>
      </c>
      <c r="S95" s="14">
        <v>1.2</v>
      </c>
      <c r="T95" s="14">
        <v>1.17</v>
      </c>
      <c r="U95" s="14">
        <v>0.8</v>
      </c>
      <c r="V95" s="14">
        <v>0.09</v>
      </c>
      <c r="W95" s="14">
        <v>0.78</v>
      </c>
      <c r="X95" s="14">
        <v>0.66</v>
      </c>
      <c r="Y95" s="14">
        <v>0.6</v>
      </c>
      <c r="Z95">
        <v>79</v>
      </c>
      <c r="AA95">
        <v>55</v>
      </c>
      <c r="AB95">
        <v>18</v>
      </c>
      <c r="AC95" s="4">
        <f t="shared" si="3"/>
        <v>0.68</v>
      </c>
      <c r="AD95" s="25"/>
      <c r="AE95" s="3"/>
      <c r="AF95" s="3"/>
    </row>
    <row r="96" spans="1:32" x14ac:dyDescent="0.25">
      <c r="A96" s="20">
        <v>45752</v>
      </c>
      <c r="B96" s="3" t="s">
        <v>56</v>
      </c>
      <c r="C96" s="3">
        <f t="shared" si="2"/>
        <v>1</v>
      </c>
      <c r="D96" t="s">
        <v>51</v>
      </c>
      <c r="E96" s="14">
        <v>0.35</v>
      </c>
      <c r="F96" s="14">
        <v>0.83</v>
      </c>
      <c r="G96" s="14">
        <v>0.71</v>
      </c>
      <c r="H96" s="3">
        <v>22</v>
      </c>
      <c r="I96" s="3">
        <v>29</v>
      </c>
      <c r="J96" s="3">
        <v>2</v>
      </c>
      <c r="K96" s="3">
        <v>8</v>
      </c>
      <c r="L96" s="3">
        <v>7</v>
      </c>
      <c r="M96" s="3">
        <v>1</v>
      </c>
      <c r="N96" s="3">
        <v>4</v>
      </c>
      <c r="O96" s="3">
        <v>2427</v>
      </c>
      <c r="P96" s="3">
        <v>2106</v>
      </c>
      <c r="Q96" s="3">
        <v>1734</v>
      </c>
      <c r="R96" s="3">
        <v>3139</v>
      </c>
      <c r="S96" s="14">
        <v>0.38</v>
      </c>
      <c r="T96" s="14">
        <v>0.92</v>
      </c>
      <c r="U96" s="14">
        <v>1.1200000000000001</v>
      </c>
      <c r="V96" s="14">
        <v>0.08</v>
      </c>
      <c r="W96" s="14">
        <v>0.29700000000000004</v>
      </c>
      <c r="X96" s="14">
        <v>0.25542000000000004</v>
      </c>
      <c r="Y96" s="14">
        <v>0.29250000000000004</v>
      </c>
      <c r="Z96">
        <v>78</v>
      </c>
      <c r="AA96">
        <v>55</v>
      </c>
      <c r="AB96">
        <v>24</v>
      </c>
      <c r="AC96" s="4">
        <f t="shared" si="3"/>
        <v>0.28164000000000006</v>
      </c>
      <c r="AD96" s="25"/>
      <c r="AE96" s="3"/>
      <c r="AF96" s="3"/>
    </row>
    <row r="97" spans="1:32" x14ac:dyDescent="0.25">
      <c r="A97" s="20">
        <v>45753</v>
      </c>
      <c r="B97" s="3" t="s">
        <v>56</v>
      </c>
      <c r="C97" s="3">
        <f t="shared" si="2"/>
        <v>1</v>
      </c>
      <c r="D97" t="s">
        <v>65</v>
      </c>
      <c r="E97" s="14">
        <v>0.28000000000000003</v>
      </c>
      <c r="F97" s="14">
        <v>0.68</v>
      </c>
      <c r="G97" s="14">
        <v>0.44</v>
      </c>
      <c r="H97" s="3">
        <v>16</v>
      </c>
      <c r="I97" s="3">
        <v>28</v>
      </c>
      <c r="J97" s="3">
        <v>4</v>
      </c>
      <c r="K97" s="3">
        <v>7</v>
      </c>
      <c r="L97" s="3">
        <v>4</v>
      </c>
      <c r="M97" s="3">
        <v>7</v>
      </c>
      <c r="N97" s="3">
        <v>2</v>
      </c>
      <c r="O97" s="3">
        <v>2992</v>
      </c>
      <c r="P97" s="3">
        <v>2151</v>
      </c>
      <c r="Q97" s="3">
        <v>1210.5</v>
      </c>
      <c r="R97" s="3">
        <v>3910</v>
      </c>
      <c r="S97" s="14">
        <v>0.89</v>
      </c>
      <c r="T97" s="14">
        <v>1.06</v>
      </c>
      <c r="U97" s="14">
        <v>0.4</v>
      </c>
      <c r="V97" s="14">
        <v>0.01</v>
      </c>
      <c r="W97" s="14">
        <v>0.29250000000000004</v>
      </c>
      <c r="X97" s="14">
        <v>0.40986</v>
      </c>
      <c r="Y97" s="14">
        <v>0.33300000000000002</v>
      </c>
      <c r="Z97">
        <v>79</v>
      </c>
      <c r="AA97">
        <v>79</v>
      </c>
      <c r="AB97">
        <v>37</v>
      </c>
      <c r="AC97" s="4">
        <f t="shared" si="3"/>
        <v>0.34512000000000004</v>
      </c>
      <c r="AD97" s="25"/>
      <c r="AE97" s="3"/>
      <c r="AF97" s="3"/>
    </row>
    <row r="98" spans="1:32" x14ac:dyDescent="0.25">
      <c r="A98" s="20">
        <v>45754</v>
      </c>
      <c r="B98" s="3" t="s">
        <v>56</v>
      </c>
      <c r="C98" s="3">
        <f t="shared" si="2"/>
        <v>2</v>
      </c>
      <c r="D98" t="s">
        <v>66</v>
      </c>
      <c r="E98" s="14">
        <v>0.98</v>
      </c>
      <c r="F98" s="14">
        <v>0.65</v>
      </c>
      <c r="G98" s="14">
        <v>0.52</v>
      </c>
      <c r="H98" s="3">
        <v>8</v>
      </c>
      <c r="I98" s="3">
        <v>10</v>
      </c>
      <c r="J98" s="3">
        <v>11</v>
      </c>
      <c r="K98" s="3">
        <v>11</v>
      </c>
      <c r="L98" s="3">
        <v>9</v>
      </c>
      <c r="M98" s="3">
        <v>7</v>
      </c>
      <c r="N98" s="3">
        <v>1</v>
      </c>
      <c r="O98" s="3">
        <v>3692</v>
      </c>
      <c r="P98" s="3">
        <v>1350</v>
      </c>
      <c r="Q98" s="3">
        <v>1674</v>
      </c>
      <c r="R98" s="3">
        <v>6252</v>
      </c>
      <c r="S98" s="14">
        <v>1.01</v>
      </c>
      <c r="T98" s="14">
        <v>0.89</v>
      </c>
      <c r="U98" s="14">
        <v>0.84</v>
      </c>
      <c r="V98" s="14">
        <v>0.04</v>
      </c>
      <c r="W98" s="14">
        <v>0.87</v>
      </c>
      <c r="X98" s="14">
        <v>0.40920000000000001</v>
      </c>
      <c r="Y98" s="14">
        <v>0.63</v>
      </c>
      <c r="Z98">
        <v>82</v>
      </c>
      <c r="AA98">
        <v>75</v>
      </c>
      <c r="AB98">
        <v>33</v>
      </c>
      <c r="AC98" s="4">
        <f t="shared" si="3"/>
        <v>0.63639999999999997</v>
      </c>
      <c r="AD98" s="25"/>
      <c r="AE98" s="3"/>
      <c r="AF98" s="3"/>
    </row>
    <row r="99" spans="1:32" x14ac:dyDescent="0.25">
      <c r="A99" s="20">
        <v>45755</v>
      </c>
      <c r="B99" s="3" t="s">
        <v>56</v>
      </c>
      <c r="C99" s="3">
        <f t="shared" si="2"/>
        <v>2</v>
      </c>
      <c r="D99" t="s">
        <v>67</v>
      </c>
      <c r="E99" s="14">
        <v>0.81</v>
      </c>
      <c r="F99" s="14">
        <v>0.59</v>
      </c>
      <c r="G99" s="14">
        <v>0.53</v>
      </c>
      <c r="H99" s="3">
        <v>20</v>
      </c>
      <c r="I99" s="3">
        <v>15</v>
      </c>
      <c r="J99" s="3">
        <v>4</v>
      </c>
      <c r="K99" s="3">
        <v>7</v>
      </c>
      <c r="L99" s="3">
        <v>8</v>
      </c>
      <c r="M99" s="3">
        <v>9</v>
      </c>
      <c r="N99" s="3">
        <v>1</v>
      </c>
      <c r="O99" s="3">
        <v>2797</v>
      </c>
      <c r="P99" s="3">
        <v>1971</v>
      </c>
      <c r="Q99" s="3">
        <v>1642.5</v>
      </c>
      <c r="R99" s="3">
        <v>5184</v>
      </c>
      <c r="S99" s="14">
        <v>0.65</v>
      </c>
      <c r="T99" s="14">
        <v>0.22</v>
      </c>
      <c r="U99" s="14">
        <v>0.46</v>
      </c>
      <c r="V99" s="14">
        <v>7.0000000000000007E-2</v>
      </c>
      <c r="W99" s="14">
        <v>0.56999999999999995</v>
      </c>
      <c r="X99" s="14">
        <v>0.89760000000000018</v>
      </c>
      <c r="Y99" s="14">
        <v>0.73</v>
      </c>
      <c r="Z99">
        <v>99</v>
      </c>
      <c r="AA99">
        <v>67</v>
      </c>
      <c r="AB99">
        <v>47</v>
      </c>
      <c r="AC99" s="4">
        <f t="shared" si="3"/>
        <v>0.73253333333333337</v>
      </c>
      <c r="AD99" s="25"/>
      <c r="AE99" s="3"/>
      <c r="AF99" s="3"/>
    </row>
    <row r="100" spans="1:32" x14ac:dyDescent="0.25">
      <c r="A100" s="20">
        <v>45756</v>
      </c>
      <c r="B100" s="3" t="s">
        <v>56</v>
      </c>
      <c r="C100" s="3">
        <f t="shared" si="2"/>
        <v>2</v>
      </c>
      <c r="D100" t="s">
        <v>68</v>
      </c>
      <c r="E100" s="14">
        <v>0.99</v>
      </c>
      <c r="F100" s="14">
        <v>0.84</v>
      </c>
      <c r="G100" s="14">
        <v>0.67</v>
      </c>
      <c r="H100" s="3">
        <v>28</v>
      </c>
      <c r="I100" s="3">
        <v>5</v>
      </c>
      <c r="J100" s="3">
        <v>3</v>
      </c>
      <c r="K100" s="3">
        <v>8</v>
      </c>
      <c r="L100" s="3">
        <v>1</v>
      </c>
      <c r="M100" s="3">
        <v>7</v>
      </c>
      <c r="N100" s="3">
        <v>7</v>
      </c>
      <c r="O100" s="3">
        <v>240</v>
      </c>
      <c r="P100" s="3">
        <v>1635</v>
      </c>
      <c r="Q100" s="3">
        <v>1498.5</v>
      </c>
      <c r="R100" s="3">
        <v>1798</v>
      </c>
      <c r="S100" s="14">
        <v>0.3</v>
      </c>
      <c r="T100" s="14">
        <v>0.92</v>
      </c>
      <c r="U100" s="14">
        <v>0.18</v>
      </c>
      <c r="V100" s="14">
        <v>0.03</v>
      </c>
      <c r="W100" s="14">
        <v>0.87</v>
      </c>
      <c r="X100" s="14">
        <v>0.8580000000000001</v>
      </c>
      <c r="Y100" s="14">
        <v>0.65</v>
      </c>
      <c r="Z100">
        <v>86</v>
      </c>
      <c r="AA100">
        <v>55</v>
      </c>
      <c r="AB100">
        <v>44</v>
      </c>
      <c r="AC100" s="4">
        <f t="shared" si="3"/>
        <v>0.79266666666666674</v>
      </c>
      <c r="AD100" s="25"/>
      <c r="AE100" s="3"/>
      <c r="AF100" s="3"/>
    </row>
    <row r="101" spans="1:32" x14ac:dyDescent="0.25">
      <c r="A101" s="20">
        <v>45757</v>
      </c>
      <c r="B101" s="3" t="s">
        <v>56</v>
      </c>
      <c r="C101" s="3">
        <f t="shared" si="2"/>
        <v>2</v>
      </c>
      <c r="D101" t="s">
        <v>69</v>
      </c>
      <c r="E101" s="14">
        <v>0.91</v>
      </c>
      <c r="F101" s="14">
        <v>0.72</v>
      </c>
      <c r="G101" s="14">
        <v>0.83</v>
      </c>
      <c r="H101" s="3">
        <v>7</v>
      </c>
      <c r="I101" s="3">
        <v>31</v>
      </c>
      <c r="J101" s="3">
        <v>6</v>
      </c>
      <c r="K101" s="3">
        <v>9</v>
      </c>
      <c r="L101" s="3">
        <v>2</v>
      </c>
      <c r="M101" s="3">
        <v>11</v>
      </c>
      <c r="N101" s="3">
        <v>2</v>
      </c>
      <c r="O101" s="3">
        <v>2025</v>
      </c>
      <c r="P101" s="3">
        <v>873</v>
      </c>
      <c r="Q101" s="3">
        <v>2110.5</v>
      </c>
      <c r="R101" s="3">
        <v>3726</v>
      </c>
      <c r="S101" s="14">
        <v>0.98</v>
      </c>
      <c r="T101" s="14">
        <v>0.68</v>
      </c>
      <c r="U101" s="14">
        <v>0.91</v>
      </c>
      <c r="V101" s="14">
        <v>0.09</v>
      </c>
      <c r="W101" s="14">
        <v>0.84</v>
      </c>
      <c r="X101" s="14">
        <v>0.76560000000000006</v>
      </c>
      <c r="Y101" s="14">
        <v>0.57999999999999996</v>
      </c>
      <c r="Z101">
        <v>82</v>
      </c>
      <c r="AA101">
        <v>51</v>
      </c>
      <c r="AB101">
        <v>42</v>
      </c>
      <c r="AC101" s="4">
        <f t="shared" si="3"/>
        <v>0.72853333333333337</v>
      </c>
      <c r="AD101" s="25"/>
      <c r="AE101" s="3"/>
      <c r="AF101" s="3"/>
    </row>
    <row r="102" spans="1:32" x14ac:dyDescent="0.25">
      <c r="A102" s="20">
        <v>45758</v>
      </c>
      <c r="B102" s="3" t="s">
        <v>56</v>
      </c>
      <c r="C102" s="3">
        <f t="shared" si="2"/>
        <v>2</v>
      </c>
      <c r="D102" t="s">
        <v>70</v>
      </c>
      <c r="E102" s="14">
        <v>0.6</v>
      </c>
      <c r="F102" s="14">
        <v>0.62</v>
      </c>
      <c r="G102" s="14">
        <v>0.51</v>
      </c>
      <c r="H102" s="3">
        <v>39</v>
      </c>
      <c r="I102" s="3">
        <v>21</v>
      </c>
      <c r="J102" s="3">
        <v>8</v>
      </c>
      <c r="K102" s="3">
        <v>5</v>
      </c>
      <c r="L102" s="3">
        <v>2</v>
      </c>
      <c r="M102" s="3">
        <v>2</v>
      </c>
      <c r="N102" s="3">
        <v>7</v>
      </c>
      <c r="O102" s="3">
        <v>2841</v>
      </c>
      <c r="P102" s="3">
        <v>2443</v>
      </c>
      <c r="Q102" s="3">
        <v>321</v>
      </c>
      <c r="R102" s="3">
        <v>4053</v>
      </c>
      <c r="S102" s="14">
        <v>0.75</v>
      </c>
      <c r="T102" s="14">
        <v>0.57999999999999996</v>
      </c>
      <c r="U102" s="14">
        <v>0.88</v>
      </c>
      <c r="V102" s="14">
        <v>7.0000000000000007E-2</v>
      </c>
      <c r="W102" s="14">
        <v>0.62</v>
      </c>
      <c r="X102" s="14">
        <v>0.44880000000000009</v>
      </c>
      <c r="Y102" s="14">
        <v>0.56000000000000005</v>
      </c>
      <c r="Z102">
        <v>92</v>
      </c>
      <c r="AA102">
        <v>73</v>
      </c>
      <c r="AB102">
        <v>34</v>
      </c>
      <c r="AC102" s="4">
        <f t="shared" si="3"/>
        <v>0.54293333333333338</v>
      </c>
      <c r="AD102" s="25"/>
      <c r="AE102" s="3"/>
      <c r="AF102" s="3"/>
    </row>
    <row r="103" spans="1:32" x14ac:dyDescent="0.25">
      <c r="A103" s="20">
        <v>45759</v>
      </c>
      <c r="B103" s="3" t="s">
        <v>56</v>
      </c>
      <c r="C103" s="3">
        <f t="shared" si="2"/>
        <v>2</v>
      </c>
      <c r="D103" t="s">
        <v>51</v>
      </c>
      <c r="E103" s="14">
        <v>0.44</v>
      </c>
      <c r="F103" s="14">
        <v>0.67</v>
      </c>
      <c r="G103" s="14">
        <v>0.86</v>
      </c>
      <c r="H103" s="3">
        <v>39</v>
      </c>
      <c r="I103" s="3">
        <v>13</v>
      </c>
      <c r="J103" s="3">
        <v>2</v>
      </c>
      <c r="K103" s="3">
        <v>7</v>
      </c>
      <c r="L103" s="3">
        <v>7</v>
      </c>
      <c r="M103" s="3">
        <v>4</v>
      </c>
      <c r="N103" s="3">
        <v>7</v>
      </c>
      <c r="O103" s="3">
        <v>228</v>
      </c>
      <c r="P103" s="3">
        <v>2757</v>
      </c>
      <c r="Q103" s="3">
        <v>1462.5</v>
      </c>
      <c r="R103" s="3">
        <v>3032</v>
      </c>
      <c r="S103" s="14">
        <v>1.22</v>
      </c>
      <c r="T103" s="14">
        <v>0.17</v>
      </c>
      <c r="U103" s="14">
        <v>0.43</v>
      </c>
      <c r="V103" s="14">
        <v>0.01</v>
      </c>
      <c r="W103" s="14">
        <v>0.24300000000000002</v>
      </c>
      <c r="X103" s="14">
        <v>0.20196000000000003</v>
      </c>
      <c r="Y103" s="14">
        <v>0.3735</v>
      </c>
      <c r="Z103">
        <v>84</v>
      </c>
      <c r="AA103">
        <v>79</v>
      </c>
      <c r="AB103">
        <v>14</v>
      </c>
      <c r="AC103" s="4">
        <f t="shared" si="3"/>
        <v>0.27282000000000001</v>
      </c>
      <c r="AD103" s="25"/>
      <c r="AE103" s="3"/>
      <c r="AF103" s="3"/>
    </row>
    <row r="104" spans="1:32" x14ac:dyDescent="0.25">
      <c r="A104" s="20">
        <v>45760</v>
      </c>
      <c r="B104" s="3" t="s">
        <v>56</v>
      </c>
      <c r="C104" s="3">
        <f t="shared" si="2"/>
        <v>2</v>
      </c>
      <c r="D104" t="s">
        <v>65</v>
      </c>
      <c r="E104" s="14">
        <v>0.16</v>
      </c>
      <c r="F104" s="14">
        <v>0.65</v>
      </c>
      <c r="G104" s="14">
        <v>0.52</v>
      </c>
      <c r="H104" s="3">
        <v>34</v>
      </c>
      <c r="I104" s="3">
        <v>26</v>
      </c>
      <c r="J104" s="3">
        <v>7</v>
      </c>
      <c r="K104" s="3">
        <v>5</v>
      </c>
      <c r="L104" s="3">
        <v>2</v>
      </c>
      <c r="M104" s="3">
        <v>1</v>
      </c>
      <c r="N104" s="3">
        <v>2</v>
      </c>
      <c r="O104" s="3">
        <v>2673</v>
      </c>
      <c r="P104" s="3">
        <v>1696</v>
      </c>
      <c r="Q104" s="3">
        <v>2296.5</v>
      </c>
      <c r="R104" s="3">
        <v>4882</v>
      </c>
      <c r="S104" s="14">
        <v>0.54</v>
      </c>
      <c r="T104" s="14">
        <v>0.42</v>
      </c>
      <c r="U104" s="14">
        <v>0.3</v>
      </c>
      <c r="V104" s="14">
        <v>0.1</v>
      </c>
      <c r="W104" s="14">
        <v>0.32400000000000001</v>
      </c>
      <c r="X104" s="14">
        <v>0.38016000000000005</v>
      </c>
      <c r="Y104" s="14">
        <v>0.24300000000000002</v>
      </c>
      <c r="Z104">
        <v>89</v>
      </c>
      <c r="AA104">
        <v>75</v>
      </c>
      <c r="AB104">
        <v>24</v>
      </c>
      <c r="AC104" s="4">
        <f t="shared" si="3"/>
        <v>0.31572000000000006</v>
      </c>
      <c r="AD104" s="25"/>
      <c r="AE104" s="3"/>
      <c r="AF104" s="3"/>
    </row>
    <row r="105" spans="1:32" x14ac:dyDescent="0.25">
      <c r="A105" s="20">
        <v>45761</v>
      </c>
      <c r="B105" s="3" t="s">
        <v>56</v>
      </c>
      <c r="C105" s="3">
        <f t="shared" si="2"/>
        <v>3</v>
      </c>
      <c r="D105" t="s">
        <v>66</v>
      </c>
      <c r="E105" s="14">
        <v>0.66</v>
      </c>
      <c r="F105" s="14">
        <v>0.38</v>
      </c>
      <c r="G105" s="14">
        <v>0.47</v>
      </c>
      <c r="H105" s="3">
        <v>27</v>
      </c>
      <c r="I105" s="3">
        <v>27</v>
      </c>
      <c r="J105" s="3">
        <v>2</v>
      </c>
      <c r="K105" s="3">
        <v>5</v>
      </c>
      <c r="L105" s="3">
        <v>12</v>
      </c>
      <c r="M105" s="3">
        <v>6</v>
      </c>
      <c r="N105" s="3">
        <v>9</v>
      </c>
      <c r="O105" s="3">
        <v>2133</v>
      </c>
      <c r="P105" s="3">
        <v>1595</v>
      </c>
      <c r="Q105" s="3">
        <v>987</v>
      </c>
      <c r="R105" s="3">
        <v>3469</v>
      </c>
      <c r="S105" s="14">
        <v>0.78</v>
      </c>
      <c r="T105" s="14">
        <v>0.49</v>
      </c>
      <c r="U105" s="14">
        <v>0.81</v>
      </c>
      <c r="V105" s="14">
        <v>0.1</v>
      </c>
      <c r="W105" s="14">
        <v>0.79</v>
      </c>
      <c r="X105" s="14">
        <v>0.58080000000000009</v>
      </c>
      <c r="Y105" s="14">
        <v>0.35</v>
      </c>
      <c r="Z105">
        <v>88</v>
      </c>
      <c r="AA105">
        <v>65</v>
      </c>
      <c r="AB105">
        <v>35</v>
      </c>
      <c r="AC105" s="4">
        <f t="shared" si="3"/>
        <v>0.5736</v>
      </c>
      <c r="AD105" s="25"/>
      <c r="AE105" s="3"/>
      <c r="AF105" s="3"/>
    </row>
    <row r="106" spans="1:32" x14ac:dyDescent="0.25">
      <c r="A106" s="20">
        <v>45762</v>
      </c>
      <c r="B106" s="3" t="s">
        <v>56</v>
      </c>
      <c r="C106" s="3">
        <f t="shared" si="2"/>
        <v>3</v>
      </c>
      <c r="D106" t="s">
        <v>67</v>
      </c>
      <c r="E106" s="14">
        <v>1</v>
      </c>
      <c r="F106" s="14">
        <v>0.56999999999999995</v>
      </c>
      <c r="G106" s="14">
        <v>0.87</v>
      </c>
      <c r="H106" s="3">
        <v>6</v>
      </c>
      <c r="I106" s="3">
        <v>8</v>
      </c>
      <c r="J106" s="3">
        <v>6</v>
      </c>
      <c r="K106" s="3">
        <v>11</v>
      </c>
      <c r="L106" s="3">
        <v>6</v>
      </c>
      <c r="M106" s="3">
        <v>6</v>
      </c>
      <c r="N106" s="3">
        <v>12</v>
      </c>
      <c r="O106" s="3">
        <v>3249</v>
      </c>
      <c r="P106" s="3">
        <v>3300</v>
      </c>
      <c r="Q106" s="3">
        <v>2638.5</v>
      </c>
      <c r="R106" s="3">
        <v>4116</v>
      </c>
      <c r="S106" s="14">
        <v>0.19</v>
      </c>
      <c r="T106" s="14">
        <v>1.17</v>
      </c>
      <c r="U106" s="14">
        <v>0.5</v>
      </c>
      <c r="V106" s="14">
        <v>0.09</v>
      </c>
      <c r="W106" s="14">
        <v>0.81</v>
      </c>
      <c r="X106" s="14">
        <v>0.75239999999999996</v>
      </c>
      <c r="Y106" s="14">
        <v>0.78</v>
      </c>
      <c r="Z106">
        <v>96</v>
      </c>
      <c r="AA106">
        <v>63</v>
      </c>
      <c r="AB106">
        <v>44</v>
      </c>
      <c r="AC106" s="4">
        <f t="shared" si="3"/>
        <v>0.78080000000000005</v>
      </c>
      <c r="AD106" s="25"/>
      <c r="AE106" s="3"/>
      <c r="AF106" s="3"/>
    </row>
    <row r="107" spans="1:32" x14ac:dyDescent="0.25">
      <c r="A107" s="20">
        <v>45763</v>
      </c>
      <c r="B107" s="3" t="s">
        <v>56</v>
      </c>
      <c r="C107" s="3">
        <f t="shared" si="2"/>
        <v>3</v>
      </c>
      <c r="D107" t="s">
        <v>68</v>
      </c>
      <c r="E107" s="14">
        <v>0.98</v>
      </c>
      <c r="F107" s="14">
        <v>0.67</v>
      </c>
      <c r="G107" s="14">
        <v>0.69</v>
      </c>
      <c r="H107" s="3">
        <v>6</v>
      </c>
      <c r="I107" s="3">
        <v>27</v>
      </c>
      <c r="J107" s="3">
        <v>1</v>
      </c>
      <c r="K107" s="3">
        <v>12</v>
      </c>
      <c r="L107" s="3">
        <v>5</v>
      </c>
      <c r="M107" s="3">
        <v>2</v>
      </c>
      <c r="N107" s="3">
        <v>2</v>
      </c>
      <c r="O107" s="3">
        <v>3680</v>
      </c>
      <c r="P107" s="3">
        <v>843</v>
      </c>
      <c r="Q107" s="3">
        <v>292.5</v>
      </c>
      <c r="R107" s="3">
        <v>4269</v>
      </c>
      <c r="S107" s="14">
        <v>0.85</v>
      </c>
      <c r="T107" s="14">
        <v>0.56999999999999995</v>
      </c>
      <c r="U107" s="14">
        <v>0.99</v>
      </c>
      <c r="V107" s="14">
        <v>0.01</v>
      </c>
      <c r="W107" s="14">
        <v>0.6</v>
      </c>
      <c r="X107" s="14">
        <v>0.89760000000000018</v>
      </c>
      <c r="Y107" s="14">
        <v>0.64</v>
      </c>
      <c r="Z107">
        <v>93</v>
      </c>
      <c r="AA107">
        <v>63</v>
      </c>
      <c r="AB107">
        <v>11</v>
      </c>
      <c r="AC107" s="4">
        <f t="shared" si="3"/>
        <v>0.71253333333333346</v>
      </c>
      <c r="AD107" s="25"/>
      <c r="AE107" s="3"/>
      <c r="AF107" s="3"/>
    </row>
    <row r="108" spans="1:32" x14ac:dyDescent="0.25">
      <c r="A108" s="20">
        <v>45764</v>
      </c>
      <c r="B108" s="3" t="s">
        <v>56</v>
      </c>
      <c r="C108" s="3">
        <f t="shared" si="2"/>
        <v>3</v>
      </c>
      <c r="D108" t="s">
        <v>69</v>
      </c>
      <c r="E108" s="14">
        <v>0.76</v>
      </c>
      <c r="F108" s="14">
        <v>0.77</v>
      </c>
      <c r="G108" s="14">
        <v>0.68</v>
      </c>
      <c r="H108" s="3">
        <v>18</v>
      </c>
      <c r="I108" s="3">
        <v>6</v>
      </c>
      <c r="J108" s="3">
        <v>12</v>
      </c>
      <c r="K108" s="3">
        <v>6</v>
      </c>
      <c r="L108" s="3">
        <v>11</v>
      </c>
      <c r="M108" s="3">
        <v>1</v>
      </c>
      <c r="N108" s="3">
        <v>8</v>
      </c>
      <c r="O108" s="3">
        <v>3433</v>
      </c>
      <c r="P108" s="3">
        <v>135</v>
      </c>
      <c r="Q108" s="3">
        <v>2056.5</v>
      </c>
      <c r="R108" s="3">
        <v>3708</v>
      </c>
      <c r="S108" s="14">
        <v>0.93</v>
      </c>
      <c r="T108" s="14">
        <v>0.27</v>
      </c>
      <c r="U108" s="14">
        <v>0.28999999999999998</v>
      </c>
      <c r="V108" s="14">
        <v>0.04</v>
      </c>
      <c r="W108" s="14">
        <v>0.45</v>
      </c>
      <c r="X108" s="14">
        <v>0.66</v>
      </c>
      <c r="Y108" s="14">
        <v>0.9</v>
      </c>
      <c r="Z108">
        <v>98</v>
      </c>
      <c r="AA108">
        <v>73</v>
      </c>
      <c r="AB108">
        <v>22</v>
      </c>
      <c r="AC108" s="4">
        <f t="shared" si="3"/>
        <v>0.67</v>
      </c>
      <c r="AD108" s="25"/>
      <c r="AE108" s="3"/>
      <c r="AF108" s="3"/>
    </row>
    <row r="109" spans="1:32" x14ac:dyDescent="0.25">
      <c r="A109" s="20">
        <v>45765</v>
      </c>
      <c r="B109" s="3" t="s">
        <v>56</v>
      </c>
      <c r="C109" s="3">
        <f t="shared" si="2"/>
        <v>3</v>
      </c>
      <c r="D109" t="s">
        <v>70</v>
      </c>
      <c r="E109" s="14">
        <v>0.74</v>
      </c>
      <c r="F109" s="14">
        <v>0.49</v>
      </c>
      <c r="G109" s="14">
        <v>0.4</v>
      </c>
      <c r="H109" s="3">
        <v>17</v>
      </c>
      <c r="I109" s="3">
        <v>40</v>
      </c>
      <c r="J109" s="3">
        <v>4</v>
      </c>
      <c r="K109" s="3">
        <v>7</v>
      </c>
      <c r="L109" s="3">
        <v>7</v>
      </c>
      <c r="M109" s="3">
        <v>2</v>
      </c>
      <c r="N109" s="3">
        <v>1</v>
      </c>
      <c r="O109" s="3">
        <v>3256</v>
      </c>
      <c r="P109" s="3">
        <v>3219</v>
      </c>
      <c r="Q109" s="3">
        <v>2449.5</v>
      </c>
      <c r="R109" s="3">
        <v>5818</v>
      </c>
      <c r="S109" s="14">
        <v>0.56000000000000005</v>
      </c>
      <c r="T109" s="14">
        <v>0.45</v>
      </c>
      <c r="U109" s="14">
        <v>0.79</v>
      </c>
      <c r="V109" s="14">
        <v>0.1</v>
      </c>
      <c r="W109" s="14">
        <v>0.45</v>
      </c>
      <c r="X109" s="14">
        <v>0.60720000000000007</v>
      </c>
      <c r="Y109" s="14">
        <v>0.43</v>
      </c>
      <c r="Z109">
        <v>100</v>
      </c>
      <c r="AA109">
        <v>62</v>
      </c>
      <c r="AB109">
        <v>46</v>
      </c>
      <c r="AC109" s="4">
        <f t="shared" si="3"/>
        <v>0.49573333333333336</v>
      </c>
      <c r="AD109" s="25"/>
      <c r="AE109" s="3"/>
      <c r="AF109" s="3"/>
    </row>
    <row r="110" spans="1:32" x14ac:dyDescent="0.25">
      <c r="A110" s="20">
        <v>45766</v>
      </c>
      <c r="B110" s="3" t="s">
        <v>56</v>
      </c>
      <c r="C110" s="3">
        <f t="shared" si="2"/>
        <v>3</v>
      </c>
      <c r="D110" t="s">
        <v>51</v>
      </c>
      <c r="E110" s="14">
        <v>0.47</v>
      </c>
      <c r="F110" s="14">
        <v>0.71</v>
      </c>
      <c r="G110" s="14">
        <v>0.61</v>
      </c>
      <c r="H110" s="3">
        <v>26</v>
      </c>
      <c r="I110" s="3">
        <v>40</v>
      </c>
      <c r="J110" s="3">
        <v>2</v>
      </c>
      <c r="K110" s="3">
        <v>5</v>
      </c>
      <c r="L110" s="3">
        <v>2</v>
      </c>
      <c r="M110" s="3">
        <v>7</v>
      </c>
      <c r="N110" s="3">
        <v>8</v>
      </c>
      <c r="O110" s="3">
        <v>544</v>
      </c>
      <c r="P110" s="3">
        <v>479</v>
      </c>
      <c r="Q110" s="3">
        <v>1968</v>
      </c>
      <c r="R110" s="3">
        <v>2164</v>
      </c>
      <c r="S110" s="14">
        <v>0.37</v>
      </c>
      <c r="T110" s="14">
        <v>0.99</v>
      </c>
      <c r="U110" s="14">
        <v>0.78</v>
      </c>
      <c r="V110" s="14">
        <v>0.08</v>
      </c>
      <c r="W110" s="14">
        <v>0.32400000000000001</v>
      </c>
      <c r="X110" s="14">
        <v>0.32670000000000005</v>
      </c>
      <c r="Y110" s="14">
        <v>0.21149999999999999</v>
      </c>
      <c r="Z110">
        <v>80</v>
      </c>
      <c r="AA110">
        <v>73</v>
      </c>
      <c r="AB110">
        <v>24</v>
      </c>
      <c r="AC110" s="4">
        <f t="shared" si="3"/>
        <v>0.28740000000000004</v>
      </c>
      <c r="AD110" s="25"/>
      <c r="AE110" s="3"/>
      <c r="AF110" s="3"/>
    </row>
    <row r="111" spans="1:32" x14ac:dyDescent="0.25">
      <c r="A111" s="20">
        <v>45767</v>
      </c>
      <c r="B111" s="3" t="s">
        <v>56</v>
      </c>
      <c r="C111" s="3">
        <f t="shared" si="2"/>
        <v>3</v>
      </c>
      <c r="D111" t="s">
        <v>65</v>
      </c>
      <c r="E111" s="14">
        <v>0.3</v>
      </c>
      <c r="F111" s="14">
        <v>0.82</v>
      </c>
      <c r="G111" s="14">
        <v>0.47</v>
      </c>
      <c r="H111" s="3">
        <v>30</v>
      </c>
      <c r="I111" s="3">
        <v>40</v>
      </c>
      <c r="J111" s="3">
        <v>1</v>
      </c>
      <c r="K111" s="3">
        <v>6</v>
      </c>
      <c r="L111" s="3">
        <v>4</v>
      </c>
      <c r="M111" s="3">
        <v>6</v>
      </c>
      <c r="N111" s="3">
        <v>2</v>
      </c>
      <c r="O111" s="3">
        <v>3543</v>
      </c>
      <c r="P111" s="3">
        <v>1762</v>
      </c>
      <c r="Q111" s="3">
        <v>922.5</v>
      </c>
      <c r="R111" s="3">
        <v>4676</v>
      </c>
      <c r="S111" s="14">
        <v>0.4</v>
      </c>
      <c r="T111" s="14">
        <v>0.89</v>
      </c>
      <c r="U111" s="14">
        <v>0.21</v>
      </c>
      <c r="V111" s="14">
        <v>0.09</v>
      </c>
      <c r="W111" s="14">
        <v>0.26100000000000001</v>
      </c>
      <c r="X111" s="14">
        <v>0.41580000000000006</v>
      </c>
      <c r="Y111" s="14">
        <v>0.38700000000000001</v>
      </c>
      <c r="Z111">
        <v>87</v>
      </c>
      <c r="AA111">
        <v>62</v>
      </c>
      <c r="AB111">
        <v>20</v>
      </c>
      <c r="AC111" s="4">
        <f t="shared" si="3"/>
        <v>0.35460000000000003</v>
      </c>
      <c r="AD111" s="25"/>
      <c r="AE111" s="3"/>
      <c r="AF111" s="3"/>
    </row>
    <row r="112" spans="1:32" x14ac:dyDescent="0.25">
      <c r="A112" s="20">
        <v>45768</v>
      </c>
      <c r="B112" s="3" t="s">
        <v>56</v>
      </c>
      <c r="C112" s="3">
        <f t="shared" si="2"/>
        <v>4</v>
      </c>
      <c r="D112" t="s">
        <v>66</v>
      </c>
      <c r="E112" s="14">
        <v>0.69</v>
      </c>
      <c r="F112" s="14">
        <v>0.47</v>
      </c>
      <c r="G112" s="14">
        <v>0.61</v>
      </c>
      <c r="H112" s="3">
        <v>17</v>
      </c>
      <c r="I112" s="3">
        <v>26</v>
      </c>
      <c r="J112" s="3">
        <v>12</v>
      </c>
      <c r="K112" s="3">
        <v>4</v>
      </c>
      <c r="L112" s="3">
        <v>6</v>
      </c>
      <c r="M112" s="3">
        <v>2</v>
      </c>
      <c r="N112" s="3">
        <v>6</v>
      </c>
      <c r="O112" s="3">
        <v>2214</v>
      </c>
      <c r="P112" s="3">
        <v>839</v>
      </c>
      <c r="Q112" s="3">
        <v>1383</v>
      </c>
      <c r="R112" s="3">
        <v>3543</v>
      </c>
      <c r="S112" s="14">
        <v>0.4</v>
      </c>
      <c r="T112" s="14">
        <v>1.07</v>
      </c>
      <c r="U112" s="14">
        <v>0.77</v>
      </c>
      <c r="V112" s="14">
        <v>0.1</v>
      </c>
      <c r="W112" s="14">
        <v>0.68</v>
      </c>
      <c r="X112" s="14">
        <v>0.81840000000000002</v>
      </c>
      <c r="Y112" s="14">
        <v>0.87</v>
      </c>
      <c r="Z112">
        <v>81</v>
      </c>
      <c r="AA112">
        <v>66</v>
      </c>
      <c r="AB112">
        <v>29</v>
      </c>
      <c r="AC112" s="4">
        <f t="shared" si="3"/>
        <v>0.78946666666666676</v>
      </c>
      <c r="AD112" s="25"/>
      <c r="AE112" s="3"/>
      <c r="AF112" s="3"/>
    </row>
    <row r="113" spans="1:32" x14ac:dyDescent="0.25">
      <c r="A113" s="20">
        <v>45769</v>
      </c>
      <c r="B113" s="3" t="s">
        <v>56</v>
      </c>
      <c r="C113" s="3">
        <f t="shared" si="2"/>
        <v>4</v>
      </c>
      <c r="D113" t="s">
        <v>67</v>
      </c>
      <c r="E113" s="14">
        <v>0.86</v>
      </c>
      <c r="F113" s="14">
        <v>0.69</v>
      </c>
      <c r="G113" s="14">
        <v>0.49</v>
      </c>
      <c r="H113" s="3">
        <v>40</v>
      </c>
      <c r="I113" s="3">
        <v>13</v>
      </c>
      <c r="J113" s="3">
        <v>12</v>
      </c>
      <c r="K113" s="3">
        <v>6</v>
      </c>
      <c r="L113" s="3">
        <v>11</v>
      </c>
      <c r="M113" s="3">
        <v>7</v>
      </c>
      <c r="N113" s="3">
        <v>4</v>
      </c>
      <c r="O113" s="3">
        <v>1405</v>
      </c>
      <c r="P113" s="3">
        <v>740</v>
      </c>
      <c r="Q113" s="3">
        <v>1516.5</v>
      </c>
      <c r="R113" s="3">
        <v>1724</v>
      </c>
      <c r="S113" s="14">
        <v>0.26</v>
      </c>
      <c r="T113" s="14">
        <v>1.1100000000000001</v>
      </c>
      <c r="U113" s="14">
        <v>0.99</v>
      </c>
      <c r="V113" s="14">
        <v>0.09</v>
      </c>
      <c r="W113" s="14">
        <v>0.49</v>
      </c>
      <c r="X113" s="14">
        <v>0.58080000000000009</v>
      </c>
      <c r="Y113" s="14">
        <v>0.69</v>
      </c>
      <c r="Z113">
        <v>96</v>
      </c>
      <c r="AA113">
        <v>65</v>
      </c>
      <c r="AB113">
        <v>46</v>
      </c>
      <c r="AC113" s="4">
        <f t="shared" si="3"/>
        <v>0.58693333333333342</v>
      </c>
      <c r="AD113" s="25"/>
      <c r="AE113" s="3"/>
      <c r="AF113" s="3"/>
    </row>
    <row r="114" spans="1:32" x14ac:dyDescent="0.25">
      <c r="A114" s="20">
        <v>45770</v>
      </c>
      <c r="B114" s="3" t="s">
        <v>56</v>
      </c>
      <c r="C114" s="3">
        <f t="shared" si="2"/>
        <v>4</v>
      </c>
      <c r="D114" t="s">
        <v>68</v>
      </c>
      <c r="E114" s="14">
        <v>0.99</v>
      </c>
      <c r="F114" s="14">
        <v>0.77</v>
      </c>
      <c r="G114" s="14">
        <v>0.56999999999999995</v>
      </c>
      <c r="H114" s="3">
        <v>14</v>
      </c>
      <c r="I114" s="3">
        <v>9</v>
      </c>
      <c r="J114" s="3">
        <v>4</v>
      </c>
      <c r="K114" s="3">
        <v>12</v>
      </c>
      <c r="L114" s="3">
        <v>6</v>
      </c>
      <c r="M114" s="3">
        <v>11</v>
      </c>
      <c r="N114" s="3">
        <v>12</v>
      </c>
      <c r="O114" s="3">
        <v>2586</v>
      </c>
      <c r="P114" s="3">
        <v>258</v>
      </c>
      <c r="Q114" s="3">
        <v>739.5</v>
      </c>
      <c r="R114" s="3">
        <v>3172</v>
      </c>
      <c r="S114" s="14">
        <v>0.3</v>
      </c>
      <c r="T114" s="14">
        <v>0.17</v>
      </c>
      <c r="U114" s="14">
        <v>0.31</v>
      </c>
      <c r="V114" s="14">
        <v>7.0000000000000007E-2</v>
      </c>
      <c r="W114" s="14">
        <v>0.66</v>
      </c>
      <c r="X114" s="14">
        <v>0.73920000000000008</v>
      </c>
      <c r="Y114" s="14">
        <v>0.81</v>
      </c>
      <c r="Z114">
        <v>97</v>
      </c>
      <c r="AA114">
        <v>63</v>
      </c>
      <c r="AB114">
        <v>45</v>
      </c>
      <c r="AC114" s="4">
        <f t="shared" si="3"/>
        <v>0.73640000000000005</v>
      </c>
      <c r="AD114" s="25"/>
      <c r="AE114" s="3"/>
      <c r="AF114" s="3"/>
    </row>
    <row r="115" spans="1:32" x14ac:dyDescent="0.25">
      <c r="A115" s="20">
        <v>45771</v>
      </c>
      <c r="B115" s="3" t="s">
        <v>56</v>
      </c>
      <c r="C115" s="3">
        <f t="shared" si="2"/>
        <v>4</v>
      </c>
      <c r="D115" t="s">
        <v>69</v>
      </c>
      <c r="E115" s="14">
        <v>0.77</v>
      </c>
      <c r="F115" s="14">
        <v>0.57999999999999996</v>
      </c>
      <c r="G115" s="14">
        <v>0.69</v>
      </c>
      <c r="H115" s="3">
        <v>38</v>
      </c>
      <c r="I115" s="3">
        <v>11</v>
      </c>
      <c r="J115" s="3">
        <v>11</v>
      </c>
      <c r="K115" s="3">
        <v>12</v>
      </c>
      <c r="L115" s="3">
        <v>11</v>
      </c>
      <c r="M115" s="3">
        <v>2</v>
      </c>
      <c r="N115" s="3">
        <v>6</v>
      </c>
      <c r="O115" s="3">
        <v>1222</v>
      </c>
      <c r="P115" s="3">
        <v>52</v>
      </c>
      <c r="Q115" s="3">
        <v>1135.5</v>
      </c>
      <c r="R115" s="3">
        <v>1988</v>
      </c>
      <c r="S115" s="14">
        <v>1.04</v>
      </c>
      <c r="T115" s="14">
        <v>0.45</v>
      </c>
      <c r="U115" s="14">
        <v>0.81</v>
      </c>
      <c r="V115" s="14">
        <v>0.09</v>
      </c>
      <c r="W115" s="14">
        <v>0.72</v>
      </c>
      <c r="X115" s="14">
        <v>0.79200000000000004</v>
      </c>
      <c r="Y115" s="14">
        <v>0.8</v>
      </c>
      <c r="Z115">
        <v>84</v>
      </c>
      <c r="AA115">
        <v>58</v>
      </c>
      <c r="AB115">
        <v>30</v>
      </c>
      <c r="AC115" s="4">
        <f t="shared" si="3"/>
        <v>0.77066666666666672</v>
      </c>
      <c r="AD115" s="25"/>
      <c r="AE115" s="3"/>
      <c r="AF115" s="3"/>
    </row>
    <row r="116" spans="1:32" x14ac:dyDescent="0.25">
      <c r="A116" s="20">
        <v>45772</v>
      </c>
      <c r="B116" s="3" t="s">
        <v>56</v>
      </c>
      <c r="C116" s="3">
        <f t="shared" si="2"/>
        <v>4</v>
      </c>
      <c r="D116" t="s">
        <v>70</v>
      </c>
      <c r="E116" s="14">
        <v>0.79</v>
      </c>
      <c r="F116" s="14">
        <v>0.41</v>
      </c>
      <c r="G116" s="14">
        <v>0.56000000000000005</v>
      </c>
      <c r="H116" s="3">
        <v>22</v>
      </c>
      <c r="I116" s="3">
        <v>29</v>
      </c>
      <c r="J116" s="3">
        <v>3</v>
      </c>
      <c r="K116" s="3">
        <v>1</v>
      </c>
      <c r="L116" s="3">
        <v>7</v>
      </c>
      <c r="M116" s="3">
        <v>7</v>
      </c>
      <c r="N116" s="3">
        <v>4</v>
      </c>
      <c r="O116" s="3">
        <v>3672</v>
      </c>
      <c r="P116" s="3">
        <v>2208</v>
      </c>
      <c r="Q116" s="3">
        <v>940.5</v>
      </c>
      <c r="R116" s="3">
        <v>3868</v>
      </c>
      <c r="S116" s="14">
        <v>0.75</v>
      </c>
      <c r="T116" s="14">
        <v>0.16</v>
      </c>
      <c r="U116" s="14">
        <v>0.98</v>
      </c>
      <c r="V116" s="14">
        <v>7.0000000000000007E-2</v>
      </c>
      <c r="W116" s="14">
        <v>0.81</v>
      </c>
      <c r="X116" s="14">
        <v>0.73920000000000008</v>
      </c>
      <c r="Y116" s="14">
        <v>0.88</v>
      </c>
      <c r="Z116">
        <v>86</v>
      </c>
      <c r="AA116">
        <v>62</v>
      </c>
      <c r="AB116">
        <v>20</v>
      </c>
      <c r="AC116" s="4">
        <f t="shared" si="3"/>
        <v>0.80973333333333342</v>
      </c>
      <c r="AD116" s="25"/>
      <c r="AE116" s="3"/>
      <c r="AF116" s="3"/>
    </row>
    <row r="117" spans="1:32" x14ac:dyDescent="0.25">
      <c r="A117" s="20">
        <v>45773</v>
      </c>
      <c r="B117" s="3" t="s">
        <v>56</v>
      </c>
      <c r="C117" s="3">
        <f t="shared" si="2"/>
        <v>4</v>
      </c>
      <c r="D117" t="s">
        <v>51</v>
      </c>
      <c r="E117" s="14">
        <v>0.41</v>
      </c>
      <c r="F117" s="14">
        <v>0.8</v>
      </c>
      <c r="G117" s="14">
        <v>0.86</v>
      </c>
      <c r="H117" s="3">
        <v>36</v>
      </c>
      <c r="I117" s="3">
        <v>18</v>
      </c>
      <c r="J117" s="3">
        <v>7</v>
      </c>
      <c r="K117" s="3">
        <v>8</v>
      </c>
      <c r="L117" s="3">
        <v>4</v>
      </c>
      <c r="M117" s="3">
        <v>3</v>
      </c>
      <c r="N117" s="3">
        <v>2</v>
      </c>
      <c r="O117" s="3">
        <v>2517</v>
      </c>
      <c r="P117" s="3">
        <v>1071</v>
      </c>
      <c r="Q117" s="3">
        <v>513</v>
      </c>
      <c r="R117" s="3">
        <v>4397</v>
      </c>
      <c r="S117" s="14">
        <v>0.62</v>
      </c>
      <c r="T117" s="14">
        <v>0.89</v>
      </c>
      <c r="U117" s="14">
        <v>0.32</v>
      </c>
      <c r="V117" s="14">
        <v>0.09</v>
      </c>
      <c r="W117" s="14">
        <v>0.22950000000000001</v>
      </c>
      <c r="X117" s="14">
        <v>0.27324000000000004</v>
      </c>
      <c r="Y117" s="14">
        <v>0.18000000000000002</v>
      </c>
      <c r="Z117">
        <v>89</v>
      </c>
      <c r="AA117">
        <v>67</v>
      </c>
      <c r="AB117">
        <v>12</v>
      </c>
      <c r="AC117" s="4">
        <f t="shared" si="3"/>
        <v>0.22758000000000003</v>
      </c>
      <c r="AD117" s="25"/>
      <c r="AE117" s="3"/>
      <c r="AF117" s="3"/>
    </row>
    <row r="118" spans="1:32" x14ac:dyDescent="0.25">
      <c r="A118" s="20">
        <v>45774</v>
      </c>
      <c r="B118" s="3" t="s">
        <v>56</v>
      </c>
      <c r="C118" s="3">
        <f t="shared" si="2"/>
        <v>4</v>
      </c>
      <c r="D118" t="s">
        <v>65</v>
      </c>
      <c r="E118" s="14">
        <v>0.43</v>
      </c>
      <c r="F118" s="14">
        <v>0.54</v>
      </c>
      <c r="G118" s="14">
        <v>0.67</v>
      </c>
      <c r="H118" s="3">
        <v>12</v>
      </c>
      <c r="I118" s="3">
        <v>38</v>
      </c>
      <c r="J118" s="3">
        <v>4</v>
      </c>
      <c r="K118" s="3">
        <v>7</v>
      </c>
      <c r="L118" s="3">
        <v>7</v>
      </c>
      <c r="M118" s="3">
        <v>3</v>
      </c>
      <c r="N118" s="3">
        <v>3</v>
      </c>
      <c r="O118" s="3">
        <v>2638</v>
      </c>
      <c r="P118" s="3">
        <v>484</v>
      </c>
      <c r="Q118" s="3">
        <v>364.5</v>
      </c>
      <c r="R118" s="3">
        <v>4503</v>
      </c>
      <c r="S118" s="14">
        <v>0.32</v>
      </c>
      <c r="T118" s="14">
        <v>1.1000000000000001</v>
      </c>
      <c r="U118" s="14">
        <v>0.46</v>
      </c>
      <c r="V118" s="14">
        <v>0.05</v>
      </c>
      <c r="W118" s="14">
        <v>0.22500000000000001</v>
      </c>
      <c r="X118" s="14">
        <v>0.20196000000000003</v>
      </c>
      <c r="Y118" s="14">
        <v>0.18000000000000002</v>
      </c>
      <c r="Z118">
        <v>97</v>
      </c>
      <c r="AA118">
        <v>67</v>
      </c>
      <c r="AB118">
        <v>13</v>
      </c>
      <c r="AC118" s="4">
        <f t="shared" si="3"/>
        <v>0.20232000000000003</v>
      </c>
      <c r="AD118" s="25"/>
      <c r="AE118" s="3"/>
      <c r="AF118" s="3"/>
    </row>
    <row r="119" spans="1:32" x14ac:dyDescent="0.25">
      <c r="A119" s="20">
        <v>45775</v>
      </c>
      <c r="B119" s="3" t="s">
        <v>56</v>
      </c>
      <c r="C119" s="3">
        <f t="shared" si="2"/>
        <v>5</v>
      </c>
      <c r="D119" t="s">
        <v>66</v>
      </c>
      <c r="E119" s="14">
        <v>0.95</v>
      </c>
      <c r="F119" s="14">
        <v>0.45</v>
      </c>
      <c r="G119" s="14">
        <v>0.42</v>
      </c>
      <c r="H119" s="3">
        <v>20</v>
      </c>
      <c r="I119" s="3">
        <v>8</v>
      </c>
      <c r="J119" s="3">
        <v>5</v>
      </c>
      <c r="K119" s="3">
        <v>8</v>
      </c>
      <c r="L119" s="3">
        <v>3</v>
      </c>
      <c r="M119" s="3">
        <v>7</v>
      </c>
      <c r="N119" s="3">
        <v>2</v>
      </c>
      <c r="O119" s="3">
        <v>2307</v>
      </c>
      <c r="P119" s="3">
        <v>2218</v>
      </c>
      <c r="Q119" s="3">
        <v>274.5</v>
      </c>
      <c r="R119" s="3">
        <v>4060</v>
      </c>
      <c r="S119" s="14">
        <v>0.28000000000000003</v>
      </c>
      <c r="T119" s="14">
        <v>0.95</v>
      </c>
      <c r="U119" s="14">
        <v>0.45</v>
      </c>
      <c r="V119" s="14">
        <v>0.03</v>
      </c>
      <c r="W119" s="14">
        <v>0.88</v>
      </c>
      <c r="X119" s="14">
        <v>0.58080000000000009</v>
      </c>
      <c r="Y119" s="14">
        <v>0.71</v>
      </c>
      <c r="Z119">
        <v>97</v>
      </c>
      <c r="AA119">
        <v>73</v>
      </c>
      <c r="AB119">
        <v>37</v>
      </c>
      <c r="AC119" s="4">
        <f t="shared" si="3"/>
        <v>0.72359999999999991</v>
      </c>
      <c r="AD119" s="25"/>
      <c r="AE119" s="3"/>
      <c r="AF119" s="3"/>
    </row>
    <row r="120" spans="1:32" x14ac:dyDescent="0.25">
      <c r="A120" s="20">
        <v>45776</v>
      </c>
      <c r="B120" s="3" t="s">
        <v>56</v>
      </c>
      <c r="C120" s="3">
        <f t="shared" si="2"/>
        <v>5</v>
      </c>
      <c r="D120" t="s">
        <v>67</v>
      </c>
      <c r="E120" s="14">
        <v>0.87</v>
      </c>
      <c r="F120" s="14">
        <v>0.5</v>
      </c>
      <c r="G120" s="14">
        <v>0.45</v>
      </c>
      <c r="H120" s="3">
        <v>20</v>
      </c>
      <c r="I120" s="3">
        <v>6</v>
      </c>
      <c r="J120" s="3">
        <v>12</v>
      </c>
      <c r="K120" s="3">
        <v>4</v>
      </c>
      <c r="L120" s="3">
        <v>2</v>
      </c>
      <c r="M120" s="3">
        <v>9</v>
      </c>
      <c r="N120" s="3">
        <v>3</v>
      </c>
      <c r="O120" s="3">
        <v>931</v>
      </c>
      <c r="P120" s="3">
        <v>63</v>
      </c>
      <c r="Q120" s="3">
        <v>234</v>
      </c>
      <c r="R120" s="3">
        <v>931</v>
      </c>
      <c r="S120" s="14">
        <v>0.6</v>
      </c>
      <c r="T120" s="14">
        <v>0.55000000000000004</v>
      </c>
      <c r="U120" s="14">
        <v>1.07</v>
      </c>
      <c r="V120" s="14">
        <v>0.05</v>
      </c>
      <c r="W120" s="14">
        <v>0.82</v>
      </c>
      <c r="X120" s="14">
        <v>0.5544</v>
      </c>
      <c r="Y120" s="14">
        <v>0.66</v>
      </c>
      <c r="Z120">
        <v>92</v>
      </c>
      <c r="AA120">
        <v>75</v>
      </c>
      <c r="AB120">
        <v>16</v>
      </c>
      <c r="AC120" s="4">
        <f t="shared" si="3"/>
        <v>0.67813333333333337</v>
      </c>
      <c r="AD120" s="25"/>
      <c r="AE120" s="3"/>
      <c r="AF120" s="3"/>
    </row>
    <row r="121" spans="1:32" x14ac:dyDescent="0.25">
      <c r="A121" s="20">
        <v>45777</v>
      </c>
      <c r="B121" s="3" t="s">
        <v>56</v>
      </c>
      <c r="C121" s="3">
        <f t="shared" si="2"/>
        <v>5</v>
      </c>
      <c r="D121" t="s">
        <v>68</v>
      </c>
      <c r="E121" s="14">
        <v>0.62</v>
      </c>
      <c r="F121" s="14">
        <v>0.46</v>
      </c>
      <c r="G121" s="14">
        <v>0.73</v>
      </c>
      <c r="H121" s="3">
        <v>30</v>
      </c>
      <c r="I121" s="3">
        <v>18</v>
      </c>
      <c r="J121" s="3">
        <v>2</v>
      </c>
      <c r="K121" s="3">
        <v>6</v>
      </c>
      <c r="L121" s="3">
        <v>1</v>
      </c>
      <c r="M121" s="3">
        <v>4</v>
      </c>
      <c r="N121" s="3">
        <v>7</v>
      </c>
      <c r="O121" s="3">
        <v>2287</v>
      </c>
      <c r="P121" s="3">
        <v>2655</v>
      </c>
      <c r="Q121" s="3">
        <v>1864.5</v>
      </c>
      <c r="R121" s="3">
        <v>4148</v>
      </c>
      <c r="S121" s="14">
        <v>1.2</v>
      </c>
      <c r="T121" s="14">
        <v>0.74</v>
      </c>
      <c r="U121" s="14">
        <v>0.33</v>
      </c>
      <c r="V121" s="14">
        <v>0.09</v>
      </c>
      <c r="W121" s="14">
        <v>0.45</v>
      </c>
      <c r="X121" s="14">
        <v>0.77880000000000005</v>
      </c>
      <c r="Y121" s="14">
        <v>0.4</v>
      </c>
      <c r="Z121">
        <v>90</v>
      </c>
      <c r="AA121">
        <v>55</v>
      </c>
      <c r="AB121">
        <v>40</v>
      </c>
      <c r="AC121" s="4">
        <f t="shared" si="3"/>
        <v>0.54293333333333338</v>
      </c>
      <c r="AD121" s="25"/>
      <c r="AE121" s="3"/>
      <c r="AF121" s="3"/>
    </row>
    <row r="122" spans="1:32" x14ac:dyDescent="0.25">
      <c r="A122" s="20">
        <v>45778</v>
      </c>
      <c r="B122" s="3" t="s">
        <v>57</v>
      </c>
      <c r="C122" s="3">
        <f t="shared" si="2"/>
        <v>1</v>
      </c>
      <c r="D122" t="s">
        <v>69</v>
      </c>
      <c r="E122" s="14">
        <v>0.63</v>
      </c>
      <c r="F122" s="14">
        <v>0.82</v>
      </c>
      <c r="G122" s="14">
        <v>0.84</v>
      </c>
      <c r="H122" s="3">
        <v>32</v>
      </c>
      <c r="I122" s="3">
        <v>5</v>
      </c>
      <c r="J122" s="3">
        <v>8</v>
      </c>
      <c r="K122" s="3">
        <v>9</v>
      </c>
      <c r="L122" s="3">
        <v>4</v>
      </c>
      <c r="M122" s="3">
        <v>2</v>
      </c>
      <c r="N122" s="3">
        <v>11</v>
      </c>
      <c r="O122" s="3">
        <v>3189</v>
      </c>
      <c r="P122" s="3">
        <v>603</v>
      </c>
      <c r="Q122" s="3">
        <v>1579.5</v>
      </c>
      <c r="R122" s="3">
        <v>5316</v>
      </c>
      <c r="S122" s="14">
        <v>0.3</v>
      </c>
      <c r="T122" s="14">
        <v>0.37</v>
      </c>
      <c r="U122" s="14">
        <v>0.56000000000000005</v>
      </c>
      <c r="V122" s="14">
        <v>0.03</v>
      </c>
      <c r="W122" s="14">
        <v>0.88</v>
      </c>
      <c r="X122" s="14">
        <v>0.48840000000000006</v>
      </c>
      <c r="Y122" s="14">
        <v>0.47</v>
      </c>
      <c r="Z122">
        <v>93</v>
      </c>
      <c r="AA122">
        <v>79</v>
      </c>
      <c r="AB122">
        <v>47</v>
      </c>
      <c r="AC122" s="4">
        <f t="shared" si="3"/>
        <v>0.61280000000000001</v>
      </c>
      <c r="AD122" s="25"/>
      <c r="AE122" s="3"/>
      <c r="AF122" s="3"/>
    </row>
    <row r="123" spans="1:32" x14ac:dyDescent="0.25">
      <c r="A123" s="20">
        <v>45779</v>
      </c>
      <c r="B123" s="3" t="s">
        <v>57</v>
      </c>
      <c r="C123" s="3">
        <f t="shared" si="2"/>
        <v>1</v>
      </c>
      <c r="D123" t="s">
        <v>70</v>
      </c>
      <c r="E123" s="14">
        <v>0.84</v>
      </c>
      <c r="F123" s="14">
        <v>0.84</v>
      </c>
      <c r="G123" s="14">
        <v>0.66</v>
      </c>
      <c r="H123" s="3">
        <v>16</v>
      </c>
      <c r="I123" s="3">
        <v>24</v>
      </c>
      <c r="J123" s="3">
        <v>7</v>
      </c>
      <c r="K123" s="3">
        <v>5</v>
      </c>
      <c r="L123" s="3">
        <v>4</v>
      </c>
      <c r="M123" s="3">
        <v>7</v>
      </c>
      <c r="N123" s="3">
        <v>2</v>
      </c>
      <c r="O123" s="3">
        <v>1504</v>
      </c>
      <c r="P123" s="3">
        <v>1374</v>
      </c>
      <c r="Q123" s="3">
        <v>1129.5</v>
      </c>
      <c r="R123" s="3">
        <v>1965</v>
      </c>
      <c r="S123" s="14">
        <v>0.87</v>
      </c>
      <c r="T123" s="14">
        <v>1.18</v>
      </c>
      <c r="U123" s="14">
        <v>0.95</v>
      </c>
      <c r="V123" s="14">
        <v>0.02</v>
      </c>
      <c r="W123" s="14">
        <v>0.83</v>
      </c>
      <c r="X123" s="14">
        <v>0.75239999999999996</v>
      </c>
      <c r="Y123" s="14">
        <v>0.59</v>
      </c>
      <c r="Z123">
        <v>93</v>
      </c>
      <c r="AA123">
        <v>55</v>
      </c>
      <c r="AB123">
        <v>10</v>
      </c>
      <c r="AC123" s="4">
        <f t="shared" si="3"/>
        <v>0.72413333333333318</v>
      </c>
      <c r="AD123" s="25"/>
      <c r="AE123" s="3"/>
      <c r="AF123" s="3"/>
    </row>
    <row r="124" spans="1:32" x14ac:dyDescent="0.25">
      <c r="A124" s="20">
        <v>45780</v>
      </c>
      <c r="B124" s="3" t="s">
        <v>57</v>
      </c>
      <c r="C124" s="3">
        <f t="shared" si="2"/>
        <v>1</v>
      </c>
      <c r="D124" t="s">
        <v>51</v>
      </c>
      <c r="E124" s="14">
        <v>0.28999999999999998</v>
      </c>
      <c r="F124" s="14">
        <v>0.77</v>
      </c>
      <c r="G124" s="14">
        <v>0.5</v>
      </c>
      <c r="H124" s="3">
        <v>31</v>
      </c>
      <c r="I124" s="3">
        <v>26</v>
      </c>
      <c r="J124" s="3">
        <v>6</v>
      </c>
      <c r="K124" s="3">
        <v>1</v>
      </c>
      <c r="L124" s="3">
        <v>2</v>
      </c>
      <c r="M124" s="3">
        <v>2</v>
      </c>
      <c r="N124" s="3">
        <v>2</v>
      </c>
      <c r="O124" s="3">
        <v>84</v>
      </c>
      <c r="P124" s="3">
        <v>283</v>
      </c>
      <c r="Q124" s="3">
        <v>2245.5</v>
      </c>
      <c r="R124" s="3">
        <v>2470</v>
      </c>
      <c r="S124" s="14">
        <v>1.21</v>
      </c>
      <c r="T124" s="14">
        <v>0.52</v>
      </c>
      <c r="U124" s="14">
        <v>1.1399999999999999</v>
      </c>
      <c r="V124" s="14">
        <v>0.02</v>
      </c>
      <c r="W124" s="14">
        <v>0.36899999999999999</v>
      </c>
      <c r="X124" s="14">
        <v>0.34451999999999999</v>
      </c>
      <c r="Y124" s="14">
        <v>0.3735</v>
      </c>
      <c r="Z124">
        <v>86</v>
      </c>
      <c r="AA124">
        <v>71</v>
      </c>
      <c r="AB124">
        <v>40</v>
      </c>
      <c r="AC124" s="4">
        <f t="shared" si="3"/>
        <v>0.36233999999999994</v>
      </c>
      <c r="AD124" s="25"/>
      <c r="AE124" s="3"/>
      <c r="AF124" s="3"/>
    </row>
    <row r="125" spans="1:32" x14ac:dyDescent="0.25">
      <c r="A125" s="20">
        <v>45781</v>
      </c>
      <c r="B125" s="3" t="s">
        <v>57</v>
      </c>
      <c r="C125" s="3">
        <f t="shared" si="2"/>
        <v>1</v>
      </c>
      <c r="D125" t="s">
        <v>65</v>
      </c>
      <c r="E125" s="14">
        <v>0.14000000000000001</v>
      </c>
      <c r="F125" s="14">
        <v>0.54</v>
      </c>
      <c r="G125" s="14">
        <v>0.89</v>
      </c>
      <c r="H125" s="3">
        <v>30</v>
      </c>
      <c r="I125" s="3">
        <v>12</v>
      </c>
      <c r="J125" s="3">
        <v>2</v>
      </c>
      <c r="K125" s="3">
        <v>3</v>
      </c>
      <c r="L125" s="3">
        <v>5</v>
      </c>
      <c r="M125" s="3">
        <v>4</v>
      </c>
      <c r="N125" s="3">
        <v>4</v>
      </c>
      <c r="O125" s="3">
        <v>270</v>
      </c>
      <c r="P125" s="3">
        <v>3211</v>
      </c>
      <c r="Q125" s="3">
        <v>2373</v>
      </c>
      <c r="R125" s="3">
        <v>3532</v>
      </c>
      <c r="S125" s="14">
        <v>0.24</v>
      </c>
      <c r="T125" s="14">
        <v>0.8</v>
      </c>
      <c r="U125" s="14">
        <v>1.1299999999999999</v>
      </c>
      <c r="V125" s="14">
        <v>0.01</v>
      </c>
      <c r="W125" s="14">
        <v>0.41850000000000004</v>
      </c>
      <c r="X125" s="14">
        <v>0.36234000000000005</v>
      </c>
      <c r="Y125" s="14">
        <v>0.29250000000000004</v>
      </c>
      <c r="Z125">
        <v>100</v>
      </c>
      <c r="AA125">
        <v>78</v>
      </c>
      <c r="AB125">
        <v>39</v>
      </c>
      <c r="AC125" s="4">
        <f t="shared" si="3"/>
        <v>0.35778000000000004</v>
      </c>
      <c r="AD125" s="25"/>
      <c r="AE125" s="3"/>
      <c r="AF125" s="3"/>
    </row>
    <row r="126" spans="1:32" x14ac:dyDescent="0.25">
      <c r="A126" s="20">
        <v>45782</v>
      </c>
      <c r="B126" s="3" t="s">
        <v>57</v>
      </c>
      <c r="C126" s="3">
        <f t="shared" si="2"/>
        <v>2</v>
      </c>
      <c r="D126" t="s">
        <v>66</v>
      </c>
      <c r="E126" s="14">
        <v>0.63</v>
      </c>
      <c r="F126" s="14">
        <v>0.64</v>
      </c>
      <c r="G126" s="14">
        <v>0.56999999999999995</v>
      </c>
      <c r="H126" s="3">
        <v>39</v>
      </c>
      <c r="I126" s="3">
        <v>16</v>
      </c>
      <c r="J126" s="3">
        <v>2</v>
      </c>
      <c r="K126" s="3">
        <v>12</v>
      </c>
      <c r="L126" s="3">
        <v>6</v>
      </c>
      <c r="M126" s="3">
        <v>9</v>
      </c>
      <c r="N126" s="3">
        <v>9</v>
      </c>
      <c r="O126" s="3">
        <v>884</v>
      </c>
      <c r="P126" s="3">
        <v>3003</v>
      </c>
      <c r="Q126" s="3">
        <v>1336.5</v>
      </c>
      <c r="R126" s="3">
        <v>3303</v>
      </c>
      <c r="S126" s="14">
        <v>0.37</v>
      </c>
      <c r="T126" s="14">
        <v>0.56999999999999995</v>
      </c>
      <c r="U126" s="14">
        <v>0.79</v>
      </c>
      <c r="V126" s="14">
        <v>0.03</v>
      </c>
      <c r="W126" s="14">
        <v>0.86</v>
      </c>
      <c r="X126" s="14">
        <v>0.43560000000000004</v>
      </c>
      <c r="Y126" s="14">
        <v>0.67</v>
      </c>
      <c r="Z126">
        <v>95</v>
      </c>
      <c r="AA126">
        <v>58</v>
      </c>
      <c r="AB126">
        <v>21</v>
      </c>
      <c r="AC126" s="4">
        <f t="shared" si="3"/>
        <v>0.65520000000000012</v>
      </c>
      <c r="AD126" s="25"/>
      <c r="AE126" s="3"/>
      <c r="AF126" s="3"/>
    </row>
    <row r="127" spans="1:32" x14ac:dyDescent="0.25">
      <c r="A127" s="20">
        <v>45783</v>
      </c>
      <c r="B127" s="3" t="s">
        <v>57</v>
      </c>
      <c r="C127" s="3">
        <f t="shared" si="2"/>
        <v>2</v>
      </c>
      <c r="D127" t="s">
        <v>67</v>
      </c>
      <c r="E127" s="14">
        <v>0.72</v>
      </c>
      <c r="F127" s="14">
        <v>0.77</v>
      </c>
      <c r="G127" s="14">
        <v>0.4</v>
      </c>
      <c r="H127" s="3">
        <v>14</v>
      </c>
      <c r="I127" s="3">
        <v>21</v>
      </c>
      <c r="J127" s="3">
        <v>7</v>
      </c>
      <c r="K127" s="3">
        <v>4</v>
      </c>
      <c r="L127" s="3">
        <v>5</v>
      </c>
      <c r="M127" s="3">
        <v>9</v>
      </c>
      <c r="N127" s="3">
        <v>12</v>
      </c>
      <c r="O127" s="3">
        <v>2424</v>
      </c>
      <c r="P127" s="3">
        <v>780</v>
      </c>
      <c r="Q127" s="3">
        <v>298.5</v>
      </c>
      <c r="R127" s="3">
        <v>4235</v>
      </c>
      <c r="S127" s="14">
        <v>0.21</v>
      </c>
      <c r="T127" s="14">
        <v>0.46</v>
      </c>
      <c r="U127" s="14">
        <v>0.41</v>
      </c>
      <c r="V127" s="14">
        <v>0.08</v>
      </c>
      <c r="W127" s="14">
        <v>0.92</v>
      </c>
      <c r="X127" s="14">
        <v>0.75239999999999996</v>
      </c>
      <c r="Y127" s="14">
        <v>0.78</v>
      </c>
      <c r="Z127">
        <v>85</v>
      </c>
      <c r="AA127">
        <v>62</v>
      </c>
      <c r="AB127">
        <v>19</v>
      </c>
      <c r="AC127" s="4">
        <f t="shared" si="3"/>
        <v>0.81746666666666667</v>
      </c>
      <c r="AD127" s="25"/>
      <c r="AE127" s="3"/>
      <c r="AF127" s="3"/>
    </row>
    <row r="128" spans="1:32" x14ac:dyDescent="0.25">
      <c r="A128" s="20">
        <v>45784</v>
      </c>
      <c r="B128" s="3" t="s">
        <v>57</v>
      </c>
      <c r="C128" s="3">
        <f t="shared" si="2"/>
        <v>2</v>
      </c>
      <c r="D128" t="s">
        <v>68</v>
      </c>
      <c r="E128" s="14">
        <v>0.65</v>
      </c>
      <c r="F128" s="14">
        <v>0.45</v>
      </c>
      <c r="G128" s="14">
        <v>0.86</v>
      </c>
      <c r="H128" s="3">
        <v>21</v>
      </c>
      <c r="I128" s="3">
        <v>18</v>
      </c>
      <c r="J128" s="3">
        <v>4</v>
      </c>
      <c r="K128" s="3">
        <v>12</v>
      </c>
      <c r="L128" s="3">
        <v>2</v>
      </c>
      <c r="M128" s="3">
        <v>12</v>
      </c>
      <c r="N128" s="3">
        <v>1</v>
      </c>
      <c r="O128" s="3">
        <v>807</v>
      </c>
      <c r="P128" s="3">
        <v>1686</v>
      </c>
      <c r="Q128" s="3">
        <v>1827</v>
      </c>
      <c r="R128" s="3">
        <v>2009</v>
      </c>
      <c r="S128" s="14">
        <v>0.7</v>
      </c>
      <c r="T128" s="14">
        <v>0.51</v>
      </c>
      <c r="U128" s="14">
        <v>0.78</v>
      </c>
      <c r="V128" s="14">
        <v>7.0000000000000007E-2</v>
      </c>
      <c r="W128" s="14">
        <v>0.54</v>
      </c>
      <c r="X128" s="14">
        <v>0.79200000000000004</v>
      </c>
      <c r="Y128" s="14">
        <v>0.51</v>
      </c>
      <c r="Z128">
        <v>79</v>
      </c>
      <c r="AA128">
        <v>75</v>
      </c>
      <c r="AB128">
        <v>31</v>
      </c>
      <c r="AC128" s="4">
        <f t="shared" si="3"/>
        <v>0.61399999999999999</v>
      </c>
      <c r="AD128" s="25"/>
      <c r="AE128" s="3"/>
      <c r="AF128" s="3"/>
    </row>
    <row r="129" spans="1:32" x14ac:dyDescent="0.25">
      <c r="A129" s="20">
        <v>45785</v>
      </c>
      <c r="B129" s="3" t="s">
        <v>57</v>
      </c>
      <c r="C129" s="3">
        <f t="shared" si="2"/>
        <v>2</v>
      </c>
      <c r="D129" t="s">
        <v>69</v>
      </c>
      <c r="E129" s="14">
        <v>0.63</v>
      </c>
      <c r="F129" s="14">
        <v>0.46</v>
      </c>
      <c r="G129" s="14">
        <v>0.73</v>
      </c>
      <c r="H129" s="3">
        <v>13</v>
      </c>
      <c r="I129" s="3">
        <v>31</v>
      </c>
      <c r="J129" s="3">
        <v>6</v>
      </c>
      <c r="K129" s="3">
        <v>3</v>
      </c>
      <c r="L129" s="3">
        <v>6</v>
      </c>
      <c r="M129" s="3">
        <v>4</v>
      </c>
      <c r="N129" s="3">
        <v>3</v>
      </c>
      <c r="O129" s="3">
        <v>1603</v>
      </c>
      <c r="P129" s="3">
        <v>1335</v>
      </c>
      <c r="Q129" s="3">
        <v>279</v>
      </c>
      <c r="R129" s="3">
        <v>1988</v>
      </c>
      <c r="S129" s="14">
        <v>0.62</v>
      </c>
      <c r="T129" s="14">
        <v>0.4</v>
      </c>
      <c r="U129" s="14">
        <v>0.99</v>
      </c>
      <c r="V129" s="14">
        <v>0.05</v>
      </c>
      <c r="W129" s="14">
        <v>0.53</v>
      </c>
      <c r="X129" s="14">
        <v>0.58080000000000009</v>
      </c>
      <c r="Y129" s="14">
        <v>0.5</v>
      </c>
      <c r="Z129">
        <v>98</v>
      </c>
      <c r="AA129">
        <v>51</v>
      </c>
      <c r="AB129">
        <v>46</v>
      </c>
      <c r="AC129" s="4">
        <f t="shared" si="3"/>
        <v>0.53693333333333337</v>
      </c>
      <c r="AD129" s="25"/>
      <c r="AE129" s="3"/>
      <c r="AF129" s="3"/>
    </row>
    <row r="130" spans="1:32" x14ac:dyDescent="0.25">
      <c r="A130" s="20">
        <v>45786</v>
      </c>
      <c r="B130" s="3" t="s">
        <v>57</v>
      </c>
      <c r="C130" s="3">
        <f t="shared" si="2"/>
        <v>2</v>
      </c>
      <c r="D130" t="s">
        <v>70</v>
      </c>
      <c r="E130" s="14">
        <v>1</v>
      </c>
      <c r="F130" s="14">
        <v>0.69</v>
      </c>
      <c r="G130" s="14">
        <v>0.55000000000000004</v>
      </c>
      <c r="H130" s="3">
        <v>12</v>
      </c>
      <c r="I130" s="3">
        <v>30</v>
      </c>
      <c r="J130" s="3">
        <v>2</v>
      </c>
      <c r="K130" s="3">
        <v>4</v>
      </c>
      <c r="L130" s="3">
        <v>2</v>
      </c>
      <c r="M130" s="3">
        <v>8</v>
      </c>
      <c r="N130" s="3">
        <v>4</v>
      </c>
      <c r="O130" s="3">
        <v>3279</v>
      </c>
      <c r="P130" s="3">
        <v>695</v>
      </c>
      <c r="Q130" s="3">
        <v>1543.5</v>
      </c>
      <c r="R130" s="3">
        <v>5552</v>
      </c>
      <c r="S130" s="14">
        <v>0.65</v>
      </c>
      <c r="T130" s="14">
        <v>0.95</v>
      </c>
      <c r="U130" s="14">
        <v>0.88</v>
      </c>
      <c r="V130" s="14">
        <v>0.1</v>
      </c>
      <c r="W130" s="14">
        <v>0.7</v>
      </c>
      <c r="X130" s="14">
        <v>0.88440000000000007</v>
      </c>
      <c r="Y130" s="14">
        <v>0.77</v>
      </c>
      <c r="Z130">
        <v>89</v>
      </c>
      <c r="AA130">
        <v>80</v>
      </c>
      <c r="AB130">
        <v>30</v>
      </c>
      <c r="AC130" s="4">
        <f t="shared" si="3"/>
        <v>0.78480000000000005</v>
      </c>
      <c r="AD130" s="25"/>
      <c r="AE130" s="3"/>
      <c r="AF130" s="3"/>
    </row>
    <row r="131" spans="1:32" x14ac:dyDescent="0.25">
      <c r="A131" s="20">
        <v>45787</v>
      </c>
      <c r="B131" s="3" t="s">
        <v>57</v>
      </c>
      <c r="C131" s="3">
        <f t="shared" ref="C131:C194" si="4">WEEKNUM(A131, 2)-WEEKNUM(DATE(YEAR(A131),MONTH(A131),1),2) +1</f>
        <v>2</v>
      </c>
      <c r="D131" t="s">
        <v>51</v>
      </c>
      <c r="E131" s="14">
        <v>0.11</v>
      </c>
      <c r="F131" s="14">
        <v>0.88</v>
      </c>
      <c r="G131" s="14">
        <v>0.56000000000000005</v>
      </c>
      <c r="H131" s="3">
        <v>23</v>
      </c>
      <c r="I131" s="3">
        <v>10</v>
      </c>
      <c r="J131" s="3">
        <v>2</v>
      </c>
      <c r="K131" s="3">
        <v>2</v>
      </c>
      <c r="L131" s="3">
        <v>6</v>
      </c>
      <c r="M131" s="3">
        <v>7</v>
      </c>
      <c r="N131" s="3">
        <v>2</v>
      </c>
      <c r="O131" s="3">
        <v>317</v>
      </c>
      <c r="P131" s="3">
        <v>732</v>
      </c>
      <c r="Q131" s="3">
        <v>814.5</v>
      </c>
      <c r="R131" s="3">
        <v>895</v>
      </c>
      <c r="S131" s="14">
        <v>0.39</v>
      </c>
      <c r="T131" s="14">
        <v>0.9</v>
      </c>
      <c r="U131" s="14">
        <v>0.5</v>
      </c>
      <c r="V131" s="14">
        <v>0.01</v>
      </c>
      <c r="W131" s="14">
        <v>0.29250000000000004</v>
      </c>
      <c r="X131" s="14">
        <v>0.35640000000000005</v>
      </c>
      <c r="Y131" s="14">
        <v>0.35100000000000003</v>
      </c>
      <c r="Z131">
        <v>81</v>
      </c>
      <c r="AA131">
        <v>60</v>
      </c>
      <c r="AB131">
        <v>30</v>
      </c>
      <c r="AC131" s="4">
        <f t="shared" ref="AC131:AC194" si="5">AVERAGE(W131:Y131)</f>
        <v>0.33329999999999999</v>
      </c>
      <c r="AD131" s="25"/>
      <c r="AE131" s="3"/>
      <c r="AF131" s="3"/>
    </row>
    <row r="132" spans="1:32" x14ac:dyDescent="0.25">
      <c r="A132" s="20">
        <v>45788</v>
      </c>
      <c r="B132" s="3" t="s">
        <v>57</v>
      </c>
      <c r="C132" s="3">
        <f t="shared" si="4"/>
        <v>2</v>
      </c>
      <c r="D132" t="s">
        <v>65</v>
      </c>
      <c r="E132" s="14">
        <v>0.47</v>
      </c>
      <c r="F132" s="14">
        <v>0.36</v>
      </c>
      <c r="G132" s="14">
        <v>0.38</v>
      </c>
      <c r="H132" s="3">
        <v>20</v>
      </c>
      <c r="I132" s="3">
        <v>9</v>
      </c>
      <c r="J132" s="3">
        <v>1</v>
      </c>
      <c r="K132" s="3">
        <v>2</v>
      </c>
      <c r="L132" s="3">
        <v>4</v>
      </c>
      <c r="M132" s="3">
        <v>4</v>
      </c>
      <c r="N132" s="3">
        <v>8</v>
      </c>
      <c r="O132" s="3">
        <v>2075</v>
      </c>
      <c r="P132" s="3">
        <v>3249</v>
      </c>
      <c r="Q132" s="3">
        <v>1009.5</v>
      </c>
      <c r="R132" s="3">
        <v>3573</v>
      </c>
      <c r="S132" s="14">
        <v>0.35</v>
      </c>
      <c r="T132" s="14">
        <v>0.65</v>
      </c>
      <c r="U132" s="14">
        <v>0.66</v>
      </c>
      <c r="V132" s="14">
        <v>0.04</v>
      </c>
      <c r="W132" s="14">
        <v>0.29700000000000004</v>
      </c>
      <c r="X132" s="14">
        <v>0.38016000000000005</v>
      </c>
      <c r="Y132" s="14">
        <v>0.40050000000000002</v>
      </c>
      <c r="Z132">
        <v>85</v>
      </c>
      <c r="AA132">
        <v>60</v>
      </c>
      <c r="AB132">
        <v>43</v>
      </c>
      <c r="AC132" s="4">
        <f t="shared" si="5"/>
        <v>0.35922000000000004</v>
      </c>
      <c r="AD132" s="25"/>
      <c r="AE132" s="3"/>
      <c r="AF132" s="3"/>
    </row>
    <row r="133" spans="1:32" x14ac:dyDescent="0.25">
      <c r="A133" s="20">
        <v>45789</v>
      </c>
      <c r="B133" s="3" t="s">
        <v>57</v>
      </c>
      <c r="C133" s="3">
        <f t="shared" si="4"/>
        <v>3</v>
      </c>
      <c r="D133" t="s">
        <v>66</v>
      </c>
      <c r="E133" s="14">
        <v>0.67</v>
      </c>
      <c r="F133" s="14">
        <v>0.37</v>
      </c>
      <c r="G133" s="14">
        <v>0.65</v>
      </c>
      <c r="H133" s="3">
        <v>23</v>
      </c>
      <c r="I133" s="3">
        <v>35</v>
      </c>
      <c r="J133" s="3">
        <v>9</v>
      </c>
      <c r="K133" s="3">
        <v>4</v>
      </c>
      <c r="L133" s="3">
        <v>3</v>
      </c>
      <c r="M133" s="3">
        <v>9</v>
      </c>
      <c r="N133" s="3">
        <v>2</v>
      </c>
      <c r="O133" s="3">
        <v>2856</v>
      </c>
      <c r="P133" s="3">
        <v>30</v>
      </c>
      <c r="Q133" s="3">
        <v>2674.5</v>
      </c>
      <c r="R133" s="3">
        <v>4760</v>
      </c>
      <c r="S133" s="14">
        <v>0.54</v>
      </c>
      <c r="T133" s="14">
        <v>0.66</v>
      </c>
      <c r="U133" s="14">
        <v>0.15</v>
      </c>
      <c r="V133" s="14">
        <v>0.06</v>
      </c>
      <c r="W133" s="14">
        <v>0.92</v>
      </c>
      <c r="X133" s="14">
        <v>0.64680000000000004</v>
      </c>
      <c r="Y133" s="14">
        <v>0.56999999999999995</v>
      </c>
      <c r="Z133">
        <v>95</v>
      </c>
      <c r="AA133">
        <v>52</v>
      </c>
      <c r="AB133">
        <v>25</v>
      </c>
      <c r="AC133" s="4">
        <f t="shared" si="5"/>
        <v>0.71226666666666671</v>
      </c>
      <c r="AD133" s="25"/>
      <c r="AE133" s="3"/>
      <c r="AF133" s="3"/>
    </row>
    <row r="134" spans="1:32" x14ac:dyDescent="0.25">
      <c r="A134" s="20">
        <v>45790</v>
      </c>
      <c r="B134" s="3" t="s">
        <v>57</v>
      </c>
      <c r="C134" s="3">
        <f t="shared" si="4"/>
        <v>3</v>
      </c>
      <c r="D134" t="s">
        <v>67</v>
      </c>
      <c r="E134" s="14">
        <v>0.64</v>
      </c>
      <c r="F134" s="14">
        <v>0.37</v>
      </c>
      <c r="G134" s="14">
        <v>0.56000000000000005</v>
      </c>
      <c r="H134" s="3">
        <v>5</v>
      </c>
      <c r="I134" s="3">
        <v>26</v>
      </c>
      <c r="J134" s="3">
        <v>12</v>
      </c>
      <c r="K134" s="3">
        <v>2</v>
      </c>
      <c r="L134" s="3">
        <v>9</v>
      </c>
      <c r="M134" s="3">
        <v>1</v>
      </c>
      <c r="N134" s="3">
        <v>2</v>
      </c>
      <c r="O134" s="3">
        <v>3744</v>
      </c>
      <c r="P134" s="3">
        <v>2592</v>
      </c>
      <c r="Q134" s="3">
        <v>960</v>
      </c>
      <c r="R134" s="3">
        <v>5940</v>
      </c>
      <c r="S134" s="14">
        <v>0.62</v>
      </c>
      <c r="T134" s="14">
        <v>0.37</v>
      </c>
      <c r="U134" s="14">
        <v>0.47</v>
      </c>
      <c r="V134" s="14">
        <v>0.03</v>
      </c>
      <c r="W134" s="14">
        <v>0.61</v>
      </c>
      <c r="X134" s="14">
        <v>0.43560000000000004</v>
      </c>
      <c r="Y134" s="14">
        <v>0.55000000000000004</v>
      </c>
      <c r="Z134">
        <v>95</v>
      </c>
      <c r="AA134">
        <v>78</v>
      </c>
      <c r="AB134">
        <v>15</v>
      </c>
      <c r="AC134" s="4">
        <f t="shared" si="5"/>
        <v>0.53186666666666671</v>
      </c>
      <c r="AD134" s="25"/>
      <c r="AE134" s="3"/>
      <c r="AF134" s="3"/>
    </row>
    <row r="135" spans="1:32" x14ac:dyDescent="0.25">
      <c r="A135" s="20">
        <v>45791</v>
      </c>
      <c r="B135" s="3" t="s">
        <v>57</v>
      </c>
      <c r="C135" s="3">
        <f t="shared" si="4"/>
        <v>3</v>
      </c>
      <c r="D135" t="s">
        <v>68</v>
      </c>
      <c r="E135" s="14">
        <v>0.81</v>
      </c>
      <c r="F135" s="14">
        <v>0.84</v>
      </c>
      <c r="G135" s="14">
        <v>0.7</v>
      </c>
      <c r="H135" s="3">
        <v>21</v>
      </c>
      <c r="I135" s="3">
        <v>32</v>
      </c>
      <c r="J135" s="3">
        <v>1</v>
      </c>
      <c r="K135" s="3">
        <v>11</v>
      </c>
      <c r="L135" s="3">
        <v>12</v>
      </c>
      <c r="M135" s="3">
        <v>3</v>
      </c>
      <c r="N135" s="3">
        <v>4</v>
      </c>
      <c r="O135" s="3">
        <v>1395</v>
      </c>
      <c r="P135" s="3">
        <v>399</v>
      </c>
      <c r="Q135" s="3">
        <v>40.5</v>
      </c>
      <c r="R135" s="3">
        <v>2028</v>
      </c>
      <c r="S135" s="14">
        <v>0.85</v>
      </c>
      <c r="T135" s="14">
        <v>0.53</v>
      </c>
      <c r="U135" s="14">
        <v>0.24</v>
      </c>
      <c r="V135" s="14">
        <v>0.06</v>
      </c>
      <c r="W135" s="14">
        <v>0.83</v>
      </c>
      <c r="X135" s="14">
        <v>0.73920000000000008</v>
      </c>
      <c r="Y135" s="14">
        <v>0.5</v>
      </c>
      <c r="Z135">
        <v>83</v>
      </c>
      <c r="AA135">
        <v>76</v>
      </c>
      <c r="AB135">
        <v>25</v>
      </c>
      <c r="AC135" s="4">
        <f t="shared" si="5"/>
        <v>0.68973333333333331</v>
      </c>
      <c r="AD135" s="25"/>
      <c r="AE135" s="3"/>
      <c r="AF135" s="3"/>
    </row>
    <row r="136" spans="1:32" x14ac:dyDescent="0.25">
      <c r="A136" s="20">
        <v>45792</v>
      </c>
      <c r="B136" s="3" t="s">
        <v>57</v>
      </c>
      <c r="C136" s="3">
        <f t="shared" si="4"/>
        <v>3</v>
      </c>
      <c r="D136" t="s">
        <v>69</v>
      </c>
      <c r="E136" s="14">
        <v>0.67</v>
      </c>
      <c r="F136" s="14">
        <v>0.65</v>
      </c>
      <c r="G136" s="14">
        <v>0.82</v>
      </c>
      <c r="H136" s="3">
        <v>10</v>
      </c>
      <c r="I136" s="3">
        <v>10</v>
      </c>
      <c r="J136" s="3">
        <v>1</v>
      </c>
      <c r="K136" s="3">
        <v>12</v>
      </c>
      <c r="L136" s="3">
        <v>8</v>
      </c>
      <c r="M136" s="3">
        <v>1</v>
      </c>
      <c r="N136" s="3">
        <v>9</v>
      </c>
      <c r="O136" s="3">
        <v>812</v>
      </c>
      <c r="P136" s="3">
        <v>474</v>
      </c>
      <c r="Q136" s="3">
        <v>2587.5</v>
      </c>
      <c r="R136" s="3">
        <v>2846</v>
      </c>
      <c r="S136" s="14">
        <v>0.39</v>
      </c>
      <c r="T136" s="14">
        <v>0.88</v>
      </c>
      <c r="U136" s="14">
        <v>0.54</v>
      </c>
      <c r="V136" s="14">
        <v>0.05</v>
      </c>
      <c r="W136" s="14">
        <v>0.8</v>
      </c>
      <c r="X136" s="14">
        <v>0.75239999999999996</v>
      </c>
      <c r="Y136" s="14">
        <v>0.51</v>
      </c>
      <c r="Z136">
        <v>99</v>
      </c>
      <c r="AA136">
        <v>75</v>
      </c>
      <c r="AB136">
        <v>33</v>
      </c>
      <c r="AC136" s="4">
        <f t="shared" si="5"/>
        <v>0.68746666666666678</v>
      </c>
      <c r="AD136" s="25"/>
      <c r="AE136" s="3"/>
      <c r="AF136" s="3"/>
    </row>
    <row r="137" spans="1:32" x14ac:dyDescent="0.25">
      <c r="A137" s="20">
        <v>45793</v>
      </c>
      <c r="B137" s="3" t="s">
        <v>57</v>
      </c>
      <c r="C137" s="3">
        <f t="shared" si="4"/>
        <v>3</v>
      </c>
      <c r="D137" t="s">
        <v>70</v>
      </c>
      <c r="E137" s="14">
        <v>0.8</v>
      </c>
      <c r="F137" s="14">
        <v>0.43</v>
      </c>
      <c r="G137" s="14">
        <v>0.84</v>
      </c>
      <c r="H137" s="3">
        <v>9</v>
      </c>
      <c r="I137" s="3">
        <v>38</v>
      </c>
      <c r="J137" s="3">
        <v>1</v>
      </c>
      <c r="K137" s="3">
        <v>4</v>
      </c>
      <c r="L137" s="3">
        <v>7</v>
      </c>
      <c r="M137" s="3">
        <v>2</v>
      </c>
      <c r="N137" s="3">
        <v>6</v>
      </c>
      <c r="O137" s="3">
        <v>153</v>
      </c>
      <c r="P137" s="3">
        <v>45</v>
      </c>
      <c r="Q137" s="3">
        <v>1246.5</v>
      </c>
      <c r="R137" s="3">
        <v>1371</v>
      </c>
      <c r="S137" s="14">
        <v>0.8</v>
      </c>
      <c r="T137" s="14">
        <v>0.64</v>
      </c>
      <c r="U137" s="14">
        <v>0.66</v>
      </c>
      <c r="V137" s="14">
        <v>0.01</v>
      </c>
      <c r="W137" s="14">
        <v>0.83</v>
      </c>
      <c r="X137" s="14">
        <v>0.8580000000000001</v>
      </c>
      <c r="Y137" s="14">
        <v>0.75</v>
      </c>
      <c r="Z137">
        <v>91</v>
      </c>
      <c r="AA137">
        <v>69</v>
      </c>
      <c r="AB137">
        <v>11</v>
      </c>
      <c r="AC137" s="4">
        <f t="shared" si="5"/>
        <v>0.81266666666666676</v>
      </c>
      <c r="AD137" s="25"/>
      <c r="AE137" s="3"/>
      <c r="AF137" s="3"/>
    </row>
    <row r="138" spans="1:32" x14ac:dyDescent="0.25">
      <c r="A138" s="20">
        <v>45794</v>
      </c>
      <c r="B138" s="3" t="s">
        <v>57</v>
      </c>
      <c r="C138" s="3">
        <f t="shared" si="4"/>
        <v>3</v>
      </c>
      <c r="D138" t="s">
        <v>51</v>
      </c>
      <c r="E138" s="14">
        <v>0.43</v>
      </c>
      <c r="F138" s="14">
        <v>0.56999999999999995</v>
      </c>
      <c r="G138" s="14">
        <v>0.77</v>
      </c>
      <c r="H138" s="3">
        <v>24</v>
      </c>
      <c r="I138" s="3">
        <v>32</v>
      </c>
      <c r="J138" s="3">
        <v>2</v>
      </c>
      <c r="K138" s="3">
        <v>2</v>
      </c>
      <c r="L138" s="3">
        <v>7</v>
      </c>
      <c r="M138" s="3">
        <v>2</v>
      </c>
      <c r="N138" s="3">
        <v>2</v>
      </c>
      <c r="O138" s="3">
        <v>3456</v>
      </c>
      <c r="P138" s="3">
        <v>3258</v>
      </c>
      <c r="Q138" s="3">
        <v>2571</v>
      </c>
      <c r="R138" s="3">
        <v>6082</v>
      </c>
      <c r="S138" s="14">
        <v>0.16</v>
      </c>
      <c r="T138" s="14">
        <v>0.68</v>
      </c>
      <c r="U138" s="14">
        <v>0.15</v>
      </c>
      <c r="V138" s="14">
        <v>0.04</v>
      </c>
      <c r="W138" s="14">
        <v>0.26100000000000001</v>
      </c>
      <c r="X138" s="14">
        <v>0.18414000000000003</v>
      </c>
      <c r="Y138" s="14">
        <v>0.28800000000000003</v>
      </c>
      <c r="Z138">
        <v>98</v>
      </c>
      <c r="AA138">
        <v>68</v>
      </c>
      <c r="AB138">
        <v>37</v>
      </c>
      <c r="AC138" s="4">
        <f t="shared" si="5"/>
        <v>0.24438000000000004</v>
      </c>
      <c r="AD138" s="25"/>
      <c r="AE138" s="3"/>
      <c r="AF138" s="3"/>
    </row>
    <row r="139" spans="1:32" x14ac:dyDescent="0.25">
      <c r="A139" s="20">
        <v>45795</v>
      </c>
      <c r="B139" s="3" t="s">
        <v>57</v>
      </c>
      <c r="C139" s="3">
        <f t="shared" si="4"/>
        <v>3</v>
      </c>
      <c r="D139" t="s">
        <v>65</v>
      </c>
      <c r="E139" s="14">
        <v>0.13</v>
      </c>
      <c r="F139" s="14">
        <v>0.57999999999999996</v>
      </c>
      <c r="G139" s="14">
        <v>0.46</v>
      </c>
      <c r="H139" s="3">
        <v>35</v>
      </c>
      <c r="I139" s="3">
        <v>34</v>
      </c>
      <c r="J139" s="3">
        <v>2</v>
      </c>
      <c r="K139" s="3">
        <v>4</v>
      </c>
      <c r="L139" s="3">
        <v>8</v>
      </c>
      <c r="M139" s="3">
        <v>7</v>
      </c>
      <c r="N139" s="3">
        <v>3</v>
      </c>
      <c r="O139" s="3">
        <v>1466</v>
      </c>
      <c r="P139" s="3">
        <v>3074</v>
      </c>
      <c r="Q139" s="3">
        <v>2026.5</v>
      </c>
      <c r="R139" s="3">
        <v>3381</v>
      </c>
      <c r="S139" s="14">
        <v>1.1200000000000001</v>
      </c>
      <c r="T139" s="14">
        <v>0.83</v>
      </c>
      <c r="U139" s="14">
        <v>1</v>
      </c>
      <c r="V139" s="14">
        <v>0.08</v>
      </c>
      <c r="W139" s="14">
        <v>0.23400000000000001</v>
      </c>
      <c r="X139" s="14">
        <v>0.35640000000000005</v>
      </c>
      <c r="Y139" s="14">
        <v>0.30600000000000005</v>
      </c>
      <c r="Z139">
        <v>85</v>
      </c>
      <c r="AA139">
        <v>62</v>
      </c>
      <c r="AB139">
        <v>33</v>
      </c>
      <c r="AC139" s="4">
        <f t="shared" si="5"/>
        <v>0.29880000000000001</v>
      </c>
      <c r="AD139" s="25"/>
      <c r="AE139" s="3"/>
      <c r="AF139" s="3"/>
    </row>
    <row r="140" spans="1:32" x14ac:dyDescent="0.25">
      <c r="A140" s="20">
        <v>45796</v>
      </c>
      <c r="B140" s="3" t="s">
        <v>57</v>
      </c>
      <c r="C140" s="3">
        <f t="shared" si="4"/>
        <v>4</v>
      </c>
      <c r="D140" t="s">
        <v>66</v>
      </c>
      <c r="E140" s="14">
        <v>0.82</v>
      </c>
      <c r="F140" s="14">
        <v>0.51</v>
      </c>
      <c r="G140" s="14">
        <v>0.62</v>
      </c>
      <c r="H140" s="3">
        <v>30</v>
      </c>
      <c r="I140" s="3">
        <v>22</v>
      </c>
      <c r="J140" s="3">
        <v>9</v>
      </c>
      <c r="K140" s="3">
        <v>4</v>
      </c>
      <c r="L140" s="3">
        <v>12</v>
      </c>
      <c r="M140" s="3">
        <v>8</v>
      </c>
      <c r="N140" s="3">
        <v>4</v>
      </c>
      <c r="O140" s="3">
        <v>3613</v>
      </c>
      <c r="P140" s="3">
        <v>1719</v>
      </c>
      <c r="Q140" s="3">
        <v>333</v>
      </c>
      <c r="R140" s="3">
        <v>5107</v>
      </c>
      <c r="S140" s="14">
        <v>0.31</v>
      </c>
      <c r="T140" s="14">
        <v>0.7</v>
      </c>
      <c r="U140" s="14">
        <v>0.81</v>
      </c>
      <c r="V140" s="14">
        <v>0.08</v>
      </c>
      <c r="W140" s="14">
        <v>0.56000000000000005</v>
      </c>
      <c r="X140" s="14">
        <v>0.54120000000000001</v>
      </c>
      <c r="Y140" s="14">
        <v>0.88</v>
      </c>
      <c r="Z140">
        <v>86</v>
      </c>
      <c r="AA140">
        <v>52</v>
      </c>
      <c r="AB140">
        <v>10</v>
      </c>
      <c r="AC140" s="4">
        <f t="shared" si="5"/>
        <v>0.66039999999999999</v>
      </c>
      <c r="AD140" s="25"/>
      <c r="AE140" s="3"/>
      <c r="AF140" s="3"/>
    </row>
    <row r="141" spans="1:32" x14ac:dyDescent="0.25">
      <c r="A141" s="20">
        <v>45797</v>
      </c>
      <c r="B141" s="3" t="s">
        <v>57</v>
      </c>
      <c r="C141" s="3">
        <f t="shared" si="4"/>
        <v>4</v>
      </c>
      <c r="D141" t="s">
        <v>67</v>
      </c>
      <c r="E141" s="14">
        <v>0.83</v>
      </c>
      <c r="F141" s="14">
        <v>0.77</v>
      </c>
      <c r="G141" s="14">
        <v>0.51</v>
      </c>
      <c r="H141" s="3">
        <v>37</v>
      </c>
      <c r="I141" s="3">
        <v>27</v>
      </c>
      <c r="J141" s="3">
        <v>11</v>
      </c>
      <c r="K141" s="3">
        <v>7</v>
      </c>
      <c r="L141" s="3">
        <v>3</v>
      </c>
      <c r="M141" s="3">
        <v>1</v>
      </c>
      <c r="N141" s="3">
        <v>12</v>
      </c>
      <c r="O141" s="3">
        <v>1015</v>
      </c>
      <c r="P141" s="3">
        <v>238</v>
      </c>
      <c r="Q141" s="3">
        <v>103.5</v>
      </c>
      <c r="R141" s="3">
        <v>1394</v>
      </c>
      <c r="S141" s="14">
        <v>0.5</v>
      </c>
      <c r="T141" s="14">
        <v>0.57999999999999996</v>
      </c>
      <c r="U141" s="14">
        <v>0.47</v>
      </c>
      <c r="V141" s="14">
        <v>0.02</v>
      </c>
      <c r="W141" s="14">
        <v>0.46</v>
      </c>
      <c r="X141" s="14">
        <v>0.54120000000000001</v>
      </c>
      <c r="Y141" s="14">
        <v>0.4</v>
      </c>
      <c r="Z141">
        <v>99</v>
      </c>
      <c r="AA141">
        <v>70</v>
      </c>
      <c r="AB141">
        <v>10</v>
      </c>
      <c r="AC141" s="4">
        <f t="shared" si="5"/>
        <v>0.46706666666666674</v>
      </c>
      <c r="AD141" s="25"/>
      <c r="AE141" s="3"/>
      <c r="AF141" s="3"/>
    </row>
    <row r="142" spans="1:32" x14ac:dyDescent="0.25">
      <c r="A142" s="20">
        <v>45798</v>
      </c>
      <c r="B142" s="3" t="s">
        <v>57</v>
      </c>
      <c r="C142" s="3">
        <f t="shared" si="4"/>
        <v>4</v>
      </c>
      <c r="D142" t="s">
        <v>68</v>
      </c>
      <c r="E142" s="14">
        <v>0.94</v>
      </c>
      <c r="F142" s="14">
        <v>0.45</v>
      </c>
      <c r="G142" s="14">
        <v>0.37</v>
      </c>
      <c r="H142" s="3">
        <v>34</v>
      </c>
      <c r="I142" s="3">
        <v>13</v>
      </c>
      <c r="J142" s="3">
        <v>1</v>
      </c>
      <c r="K142" s="3">
        <v>2</v>
      </c>
      <c r="L142" s="3">
        <v>12</v>
      </c>
      <c r="M142" s="3">
        <v>8</v>
      </c>
      <c r="N142" s="3">
        <v>5</v>
      </c>
      <c r="O142" s="3">
        <v>369</v>
      </c>
      <c r="P142" s="3">
        <v>347</v>
      </c>
      <c r="Q142" s="3">
        <v>2179.5</v>
      </c>
      <c r="R142" s="3">
        <v>2397</v>
      </c>
      <c r="S142" s="14">
        <v>0.59</v>
      </c>
      <c r="T142" s="14">
        <v>0.33</v>
      </c>
      <c r="U142" s="14">
        <v>1.06</v>
      </c>
      <c r="V142" s="14">
        <v>0.09</v>
      </c>
      <c r="W142" s="14">
        <v>0.94</v>
      </c>
      <c r="X142" s="14">
        <v>0.51480000000000004</v>
      </c>
      <c r="Y142" s="14">
        <v>0.37</v>
      </c>
      <c r="Z142">
        <v>97</v>
      </c>
      <c r="AA142">
        <v>79</v>
      </c>
      <c r="AB142">
        <v>10</v>
      </c>
      <c r="AC142" s="4">
        <f t="shared" si="5"/>
        <v>0.60826666666666673</v>
      </c>
      <c r="AD142" s="25"/>
      <c r="AE142" s="3"/>
      <c r="AF142" s="3"/>
    </row>
    <row r="143" spans="1:32" x14ac:dyDescent="0.25">
      <c r="A143" s="20">
        <v>45799</v>
      </c>
      <c r="B143" s="3" t="s">
        <v>57</v>
      </c>
      <c r="C143" s="3">
        <f t="shared" si="4"/>
        <v>4</v>
      </c>
      <c r="D143" t="s">
        <v>69</v>
      </c>
      <c r="E143" s="14">
        <v>0.87</v>
      </c>
      <c r="F143" s="14">
        <v>0.84</v>
      </c>
      <c r="G143" s="14">
        <v>0.64</v>
      </c>
      <c r="H143" s="3">
        <v>12</v>
      </c>
      <c r="I143" s="3">
        <v>34</v>
      </c>
      <c r="J143" s="3">
        <v>9</v>
      </c>
      <c r="K143" s="3">
        <v>1</v>
      </c>
      <c r="L143" s="3">
        <v>2</v>
      </c>
      <c r="M143" s="3">
        <v>6</v>
      </c>
      <c r="N143" s="3">
        <v>12</v>
      </c>
      <c r="O143" s="3">
        <v>588</v>
      </c>
      <c r="P143" s="3">
        <v>2488</v>
      </c>
      <c r="Q143" s="3">
        <v>2034</v>
      </c>
      <c r="R143" s="3">
        <v>2736</v>
      </c>
      <c r="S143" s="14">
        <v>0.6</v>
      </c>
      <c r="T143" s="14">
        <v>0.9</v>
      </c>
      <c r="U143" s="14">
        <v>1.02</v>
      </c>
      <c r="V143" s="14">
        <v>0.08</v>
      </c>
      <c r="W143" s="14">
        <v>0.53</v>
      </c>
      <c r="X143" s="14">
        <v>0.96360000000000012</v>
      </c>
      <c r="Y143" s="14">
        <v>0.82</v>
      </c>
      <c r="Z143">
        <v>83</v>
      </c>
      <c r="AA143">
        <v>57</v>
      </c>
      <c r="AB143">
        <v>37</v>
      </c>
      <c r="AC143" s="4">
        <f t="shared" si="5"/>
        <v>0.7712</v>
      </c>
      <c r="AD143" s="25"/>
      <c r="AE143" s="3"/>
      <c r="AF143" s="3"/>
    </row>
    <row r="144" spans="1:32" x14ac:dyDescent="0.25">
      <c r="A144" s="20">
        <v>45800</v>
      </c>
      <c r="B144" s="3" t="s">
        <v>57</v>
      </c>
      <c r="C144" s="3">
        <f t="shared" si="4"/>
        <v>4</v>
      </c>
      <c r="D144" t="s">
        <v>70</v>
      </c>
      <c r="E144" s="14">
        <v>0.76</v>
      </c>
      <c r="F144" s="14">
        <v>0.55000000000000004</v>
      </c>
      <c r="G144" s="14">
        <v>0.41</v>
      </c>
      <c r="H144" s="3">
        <v>36</v>
      </c>
      <c r="I144" s="3">
        <v>34</v>
      </c>
      <c r="J144" s="3">
        <v>7</v>
      </c>
      <c r="K144" s="3">
        <v>2</v>
      </c>
      <c r="L144" s="3">
        <v>2</v>
      </c>
      <c r="M144" s="3">
        <v>4</v>
      </c>
      <c r="N144" s="3">
        <v>4</v>
      </c>
      <c r="O144" s="3">
        <v>182</v>
      </c>
      <c r="P144" s="3">
        <v>1944</v>
      </c>
      <c r="Q144" s="3">
        <v>2416.5</v>
      </c>
      <c r="R144" s="3">
        <v>2658</v>
      </c>
      <c r="S144" s="14">
        <v>0.3</v>
      </c>
      <c r="T144" s="14">
        <v>0.7</v>
      </c>
      <c r="U144" s="14">
        <v>1.04</v>
      </c>
      <c r="V144" s="14">
        <v>0.01</v>
      </c>
      <c r="W144" s="14">
        <v>0.8</v>
      </c>
      <c r="X144" s="14">
        <v>0.83160000000000012</v>
      </c>
      <c r="Y144" s="14">
        <v>0.76</v>
      </c>
      <c r="Z144">
        <v>79</v>
      </c>
      <c r="AA144">
        <v>75</v>
      </c>
      <c r="AB144">
        <v>22</v>
      </c>
      <c r="AC144" s="4">
        <f t="shared" si="5"/>
        <v>0.79720000000000013</v>
      </c>
      <c r="AD144" s="25"/>
      <c r="AE144" s="3"/>
      <c r="AF144" s="3"/>
    </row>
    <row r="145" spans="1:32" x14ac:dyDescent="0.25">
      <c r="A145" s="20">
        <v>45801</v>
      </c>
      <c r="B145" s="3" t="s">
        <v>57</v>
      </c>
      <c r="C145" s="3">
        <f t="shared" si="4"/>
        <v>4</v>
      </c>
      <c r="D145" t="s">
        <v>51</v>
      </c>
      <c r="E145" s="14">
        <v>0.21</v>
      </c>
      <c r="F145" s="14">
        <v>0.86</v>
      </c>
      <c r="G145" s="14">
        <v>0.69</v>
      </c>
      <c r="H145" s="3">
        <v>35</v>
      </c>
      <c r="I145" s="3">
        <v>8</v>
      </c>
      <c r="J145" s="3">
        <v>5</v>
      </c>
      <c r="K145" s="3">
        <v>1</v>
      </c>
      <c r="L145" s="3">
        <v>7</v>
      </c>
      <c r="M145" s="3">
        <v>4</v>
      </c>
      <c r="N145" s="3">
        <v>8</v>
      </c>
      <c r="O145" s="3">
        <v>3261</v>
      </c>
      <c r="P145" s="3">
        <v>2961</v>
      </c>
      <c r="Q145" s="3">
        <v>123</v>
      </c>
      <c r="R145" s="3">
        <v>5001</v>
      </c>
      <c r="S145" s="14">
        <v>0.95</v>
      </c>
      <c r="T145" s="14">
        <v>0.23</v>
      </c>
      <c r="U145" s="14">
        <v>0.51</v>
      </c>
      <c r="V145" s="14">
        <v>0.05</v>
      </c>
      <c r="W145" s="14">
        <v>0.40500000000000003</v>
      </c>
      <c r="X145" s="14">
        <v>0.19008000000000003</v>
      </c>
      <c r="Y145" s="14">
        <v>0.3735</v>
      </c>
      <c r="Z145">
        <v>86</v>
      </c>
      <c r="AA145">
        <v>66</v>
      </c>
      <c r="AB145">
        <v>21</v>
      </c>
      <c r="AC145" s="4">
        <f t="shared" si="5"/>
        <v>0.32285999999999998</v>
      </c>
      <c r="AD145" s="25"/>
      <c r="AE145" s="3"/>
      <c r="AF145" s="3"/>
    </row>
    <row r="146" spans="1:32" x14ac:dyDescent="0.25">
      <c r="A146" s="20">
        <v>45802</v>
      </c>
      <c r="B146" s="3" t="s">
        <v>57</v>
      </c>
      <c r="C146" s="3">
        <f t="shared" si="4"/>
        <v>4</v>
      </c>
      <c r="D146" t="s">
        <v>65</v>
      </c>
      <c r="E146" s="14">
        <v>0.13</v>
      </c>
      <c r="F146" s="14">
        <v>0.38</v>
      </c>
      <c r="G146" s="14">
        <v>0.61</v>
      </c>
      <c r="H146" s="3">
        <v>32</v>
      </c>
      <c r="I146" s="3">
        <v>16</v>
      </c>
      <c r="J146" s="3">
        <v>6</v>
      </c>
      <c r="K146" s="3">
        <v>7</v>
      </c>
      <c r="L146" s="3">
        <v>4</v>
      </c>
      <c r="M146" s="3">
        <v>4</v>
      </c>
      <c r="N146" s="3">
        <v>4</v>
      </c>
      <c r="O146" s="3">
        <v>885</v>
      </c>
      <c r="P146" s="3">
        <v>27</v>
      </c>
      <c r="Q146" s="3">
        <v>379.5</v>
      </c>
      <c r="R146" s="3">
        <v>1144</v>
      </c>
      <c r="S146" s="14">
        <v>0.2</v>
      </c>
      <c r="T146" s="14">
        <v>0.93</v>
      </c>
      <c r="U146" s="14">
        <v>0.49</v>
      </c>
      <c r="V146" s="14">
        <v>7.0000000000000007E-2</v>
      </c>
      <c r="W146" s="14">
        <v>0.27</v>
      </c>
      <c r="X146" s="14">
        <v>0.24948000000000004</v>
      </c>
      <c r="Y146" s="14">
        <v>0.38250000000000001</v>
      </c>
      <c r="Z146">
        <v>86</v>
      </c>
      <c r="AA146">
        <v>76</v>
      </c>
      <c r="AB146">
        <v>33</v>
      </c>
      <c r="AC146" s="4">
        <f t="shared" si="5"/>
        <v>0.30065999999999998</v>
      </c>
      <c r="AD146" s="25"/>
      <c r="AE146" s="3"/>
      <c r="AF146" s="3"/>
    </row>
    <row r="147" spans="1:32" x14ac:dyDescent="0.25">
      <c r="A147" s="20">
        <v>45803</v>
      </c>
      <c r="B147" s="3" t="s">
        <v>57</v>
      </c>
      <c r="C147" s="3">
        <f t="shared" si="4"/>
        <v>5</v>
      </c>
      <c r="D147" t="s">
        <v>66</v>
      </c>
      <c r="E147" s="14">
        <v>0.79</v>
      </c>
      <c r="F147" s="14">
        <v>0.69</v>
      </c>
      <c r="G147" s="14">
        <v>0.57999999999999996</v>
      </c>
      <c r="H147" s="3">
        <v>33</v>
      </c>
      <c r="I147" s="3">
        <v>40</v>
      </c>
      <c r="J147" s="3">
        <v>2</v>
      </c>
      <c r="K147" s="3">
        <v>6</v>
      </c>
      <c r="L147" s="3">
        <v>8</v>
      </c>
      <c r="M147" s="3">
        <v>4</v>
      </c>
      <c r="N147" s="3">
        <v>4</v>
      </c>
      <c r="O147" s="3">
        <v>1498</v>
      </c>
      <c r="P147" s="3">
        <v>189</v>
      </c>
      <c r="Q147" s="3">
        <v>1711.5</v>
      </c>
      <c r="R147" s="3">
        <v>1882</v>
      </c>
      <c r="S147" s="14">
        <v>0.7</v>
      </c>
      <c r="T147" s="14">
        <v>0.89</v>
      </c>
      <c r="U147" s="14">
        <v>0.74</v>
      </c>
      <c r="V147" s="14">
        <v>7.0000000000000007E-2</v>
      </c>
      <c r="W147" s="14">
        <v>0.76</v>
      </c>
      <c r="X147" s="14">
        <v>0.39600000000000002</v>
      </c>
      <c r="Y147" s="14">
        <v>0.71</v>
      </c>
      <c r="Z147">
        <v>94</v>
      </c>
      <c r="AA147">
        <v>57</v>
      </c>
      <c r="AB147">
        <v>18</v>
      </c>
      <c r="AC147" s="4">
        <f t="shared" si="5"/>
        <v>0.622</v>
      </c>
      <c r="AD147" s="25"/>
      <c r="AE147" s="3"/>
      <c r="AF147" s="3"/>
    </row>
    <row r="148" spans="1:32" x14ac:dyDescent="0.25">
      <c r="A148" s="20">
        <v>45804</v>
      </c>
      <c r="B148" s="3" t="s">
        <v>57</v>
      </c>
      <c r="C148" s="3">
        <f t="shared" si="4"/>
        <v>5</v>
      </c>
      <c r="D148" t="s">
        <v>67</v>
      </c>
      <c r="E148" s="14">
        <v>0.71</v>
      </c>
      <c r="F148" s="14">
        <v>0.84</v>
      </c>
      <c r="G148" s="14">
        <v>0.49</v>
      </c>
      <c r="H148" s="3">
        <v>18</v>
      </c>
      <c r="I148" s="3">
        <v>12</v>
      </c>
      <c r="J148" s="3">
        <v>9</v>
      </c>
      <c r="K148" s="3">
        <v>7</v>
      </c>
      <c r="L148" s="3">
        <v>11</v>
      </c>
      <c r="M148" s="3">
        <v>4</v>
      </c>
      <c r="N148" s="3">
        <v>7</v>
      </c>
      <c r="O148" s="3">
        <v>443</v>
      </c>
      <c r="P148" s="3">
        <v>981</v>
      </c>
      <c r="Q148" s="3">
        <v>1881</v>
      </c>
      <c r="R148" s="3">
        <v>2069</v>
      </c>
      <c r="S148" s="14">
        <v>0.44</v>
      </c>
      <c r="T148" s="14">
        <v>0.26</v>
      </c>
      <c r="U148" s="14">
        <v>0.37</v>
      </c>
      <c r="V148" s="14">
        <v>0.08</v>
      </c>
      <c r="W148" s="14">
        <v>0.48</v>
      </c>
      <c r="X148" s="14">
        <v>0.80520000000000003</v>
      </c>
      <c r="Y148" s="14">
        <v>0.6</v>
      </c>
      <c r="Z148">
        <v>95</v>
      </c>
      <c r="AA148">
        <v>51</v>
      </c>
      <c r="AB148">
        <v>11</v>
      </c>
      <c r="AC148" s="4">
        <f t="shared" si="5"/>
        <v>0.62840000000000007</v>
      </c>
      <c r="AD148" s="25"/>
      <c r="AE148" s="3"/>
      <c r="AF148" s="3"/>
    </row>
    <row r="149" spans="1:32" x14ac:dyDescent="0.25">
      <c r="A149" s="20">
        <v>45805</v>
      </c>
      <c r="B149" s="3" t="s">
        <v>57</v>
      </c>
      <c r="C149" s="3">
        <f t="shared" si="4"/>
        <v>5</v>
      </c>
      <c r="D149" t="s">
        <v>68</v>
      </c>
      <c r="E149" s="14">
        <v>0.85</v>
      </c>
      <c r="F149" s="14">
        <v>0.59</v>
      </c>
      <c r="G149" s="14">
        <v>0.62</v>
      </c>
      <c r="H149" s="3">
        <v>30</v>
      </c>
      <c r="I149" s="3">
        <v>27</v>
      </c>
      <c r="J149" s="3">
        <v>11</v>
      </c>
      <c r="K149" s="3">
        <v>6</v>
      </c>
      <c r="L149" s="3">
        <v>12</v>
      </c>
      <c r="M149" s="3">
        <v>2</v>
      </c>
      <c r="N149" s="3">
        <v>11</v>
      </c>
      <c r="O149" s="3">
        <v>2725</v>
      </c>
      <c r="P149" s="3">
        <v>3161</v>
      </c>
      <c r="Q149" s="3">
        <v>1846.5</v>
      </c>
      <c r="R149" s="3">
        <v>3924</v>
      </c>
      <c r="S149" s="14">
        <v>1.2</v>
      </c>
      <c r="T149" s="14">
        <v>0.89</v>
      </c>
      <c r="U149" s="14">
        <v>0.36</v>
      </c>
      <c r="V149" s="14">
        <v>0.01</v>
      </c>
      <c r="W149" s="14">
        <v>0.56999999999999995</v>
      </c>
      <c r="X149" s="14">
        <v>0.58080000000000009</v>
      </c>
      <c r="Y149" s="14">
        <v>0.63</v>
      </c>
      <c r="Z149">
        <v>85</v>
      </c>
      <c r="AA149">
        <v>77</v>
      </c>
      <c r="AB149">
        <v>13</v>
      </c>
      <c r="AC149" s="4">
        <f t="shared" si="5"/>
        <v>0.59360000000000002</v>
      </c>
      <c r="AD149" s="25"/>
      <c r="AE149" s="3"/>
      <c r="AF149" s="3"/>
    </row>
    <row r="150" spans="1:32" x14ac:dyDescent="0.25">
      <c r="A150" s="20">
        <v>45806</v>
      </c>
      <c r="B150" s="3" t="s">
        <v>57</v>
      </c>
      <c r="C150" s="3">
        <f t="shared" si="4"/>
        <v>5</v>
      </c>
      <c r="D150" t="s">
        <v>69</v>
      </c>
      <c r="E150" s="14">
        <v>0.91</v>
      </c>
      <c r="F150" s="14">
        <v>0.56999999999999995</v>
      </c>
      <c r="G150" s="14">
        <v>0.4</v>
      </c>
      <c r="H150" s="3">
        <v>37</v>
      </c>
      <c r="I150" s="3">
        <v>33</v>
      </c>
      <c r="J150" s="3">
        <v>8</v>
      </c>
      <c r="K150" s="3">
        <v>6</v>
      </c>
      <c r="L150" s="3">
        <v>8</v>
      </c>
      <c r="M150" s="3">
        <v>4</v>
      </c>
      <c r="N150" s="3">
        <v>2</v>
      </c>
      <c r="O150" s="3">
        <v>2262</v>
      </c>
      <c r="P150" s="3">
        <v>3085</v>
      </c>
      <c r="Q150" s="3">
        <v>150</v>
      </c>
      <c r="R150" s="3">
        <v>3167</v>
      </c>
      <c r="S150" s="14">
        <v>0.64</v>
      </c>
      <c r="T150" s="14">
        <v>0.62</v>
      </c>
      <c r="U150" s="14">
        <v>0.54</v>
      </c>
      <c r="V150" s="14">
        <v>0.01</v>
      </c>
      <c r="W150" s="14">
        <v>0.94</v>
      </c>
      <c r="X150" s="14">
        <v>0.87120000000000009</v>
      </c>
      <c r="Y150" s="14">
        <v>0.4</v>
      </c>
      <c r="Z150">
        <v>80</v>
      </c>
      <c r="AA150">
        <v>54</v>
      </c>
      <c r="AB150">
        <v>32</v>
      </c>
      <c r="AC150" s="4">
        <f t="shared" si="5"/>
        <v>0.73706666666666665</v>
      </c>
      <c r="AD150" s="25"/>
      <c r="AE150" s="3"/>
      <c r="AF150" s="3"/>
    </row>
    <row r="151" spans="1:32" x14ac:dyDescent="0.25">
      <c r="A151" s="20">
        <v>45807</v>
      </c>
      <c r="B151" s="3" t="s">
        <v>57</v>
      </c>
      <c r="C151" s="3">
        <f t="shared" si="4"/>
        <v>5</v>
      </c>
      <c r="D151" t="s">
        <v>70</v>
      </c>
      <c r="E151" s="14">
        <v>0.68</v>
      </c>
      <c r="F151" s="14">
        <v>0.36</v>
      </c>
      <c r="G151" s="14">
        <v>0.62</v>
      </c>
      <c r="H151" s="3">
        <v>7</v>
      </c>
      <c r="I151" s="3">
        <v>20</v>
      </c>
      <c r="J151" s="3">
        <v>2</v>
      </c>
      <c r="K151" s="3">
        <v>8</v>
      </c>
      <c r="L151" s="3">
        <v>4</v>
      </c>
      <c r="M151" s="3">
        <v>1</v>
      </c>
      <c r="N151" s="3">
        <v>3</v>
      </c>
      <c r="O151" s="3">
        <v>1452</v>
      </c>
      <c r="P151" s="3">
        <v>16</v>
      </c>
      <c r="Q151" s="3">
        <v>351</v>
      </c>
      <c r="R151" s="3">
        <v>2072</v>
      </c>
      <c r="S151" s="14">
        <v>0.31</v>
      </c>
      <c r="T151" s="14">
        <v>0.91</v>
      </c>
      <c r="U151" s="14">
        <v>1.1399999999999999</v>
      </c>
      <c r="V151" s="14">
        <v>7.0000000000000007E-2</v>
      </c>
      <c r="W151" s="14">
        <v>0.6</v>
      </c>
      <c r="X151" s="14">
        <v>0.63360000000000005</v>
      </c>
      <c r="Y151" s="14">
        <v>0.5</v>
      </c>
      <c r="Z151">
        <v>86</v>
      </c>
      <c r="AA151">
        <v>51</v>
      </c>
      <c r="AB151">
        <v>24</v>
      </c>
      <c r="AC151" s="4">
        <f t="shared" si="5"/>
        <v>0.57786666666666664</v>
      </c>
      <c r="AD151" s="25"/>
      <c r="AE151" s="3"/>
      <c r="AF151" s="3"/>
    </row>
    <row r="152" spans="1:32" x14ac:dyDescent="0.25">
      <c r="A152" s="20">
        <v>45808</v>
      </c>
      <c r="B152" s="3" t="s">
        <v>57</v>
      </c>
      <c r="C152" s="3">
        <f t="shared" si="4"/>
        <v>5</v>
      </c>
      <c r="D152" t="s">
        <v>51</v>
      </c>
      <c r="E152" s="14">
        <v>0.12</v>
      </c>
      <c r="F152" s="14">
        <v>0.53</v>
      </c>
      <c r="G152" s="14">
        <v>0.39</v>
      </c>
      <c r="H152" s="3">
        <v>10</v>
      </c>
      <c r="I152" s="3">
        <v>14</v>
      </c>
      <c r="J152" s="3">
        <v>7</v>
      </c>
      <c r="K152" s="3">
        <v>6</v>
      </c>
      <c r="L152" s="3">
        <v>2</v>
      </c>
      <c r="M152" s="3">
        <v>6</v>
      </c>
      <c r="N152" s="3">
        <v>2</v>
      </c>
      <c r="O152" s="3">
        <v>1632</v>
      </c>
      <c r="P152" s="3">
        <v>610</v>
      </c>
      <c r="Q152" s="3">
        <v>139.5</v>
      </c>
      <c r="R152" s="3">
        <v>1719</v>
      </c>
      <c r="S152" s="14">
        <v>0.95</v>
      </c>
      <c r="T152" s="14">
        <v>0.16</v>
      </c>
      <c r="U152" s="14">
        <v>1.04</v>
      </c>
      <c r="V152" s="14">
        <v>0.06</v>
      </c>
      <c r="W152" s="14">
        <v>0.24300000000000002</v>
      </c>
      <c r="X152" s="14">
        <v>0.32076000000000005</v>
      </c>
      <c r="Y152" s="14">
        <v>0.189</v>
      </c>
      <c r="Z152">
        <v>82</v>
      </c>
      <c r="AA152">
        <v>51</v>
      </c>
      <c r="AB152">
        <v>33</v>
      </c>
      <c r="AC152" s="4">
        <f t="shared" si="5"/>
        <v>0.25092000000000003</v>
      </c>
      <c r="AD152" s="25"/>
      <c r="AE152" s="3"/>
      <c r="AF152" s="3"/>
    </row>
    <row r="153" spans="1:32" x14ac:dyDescent="0.25">
      <c r="A153" s="20">
        <v>45809</v>
      </c>
      <c r="B153" s="3" t="s">
        <v>58</v>
      </c>
      <c r="C153" s="3">
        <f t="shared" si="4"/>
        <v>1</v>
      </c>
      <c r="D153" t="s">
        <v>65</v>
      </c>
      <c r="E153" s="14">
        <v>0.45</v>
      </c>
      <c r="F153" s="14">
        <v>0.76</v>
      </c>
      <c r="G153" s="14">
        <v>0.47</v>
      </c>
      <c r="H153" s="3">
        <v>28</v>
      </c>
      <c r="I153" s="3">
        <v>40</v>
      </c>
      <c r="J153" s="3">
        <v>6</v>
      </c>
      <c r="K153" s="3">
        <v>4</v>
      </c>
      <c r="L153" s="3">
        <v>2</v>
      </c>
      <c r="M153" s="3">
        <v>2</v>
      </c>
      <c r="N153" s="3">
        <v>2</v>
      </c>
      <c r="O153" s="3">
        <v>3058</v>
      </c>
      <c r="P153" s="3">
        <v>2014</v>
      </c>
      <c r="Q153" s="3">
        <v>2382</v>
      </c>
      <c r="R153" s="3">
        <v>3058</v>
      </c>
      <c r="S153" s="14">
        <v>0.47</v>
      </c>
      <c r="T153" s="14">
        <v>0.88</v>
      </c>
      <c r="U153" s="14">
        <v>0.41</v>
      </c>
      <c r="V153" s="14">
        <v>0.09</v>
      </c>
      <c r="W153" s="14">
        <v>0.33750000000000002</v>
      </c>
      <c r="X153" s="14">
        <v>0.17820000000000003</v>
      </c>
      <c r="Y153" s="14">
        <v>0.24750000000000003</v>
      </c>
      <c r="Z153">
        <v>85</v>
      </c>
      <c r="AA153">
        <v>65</v>
      </c>
      <c r="AB153">
        <v>18</v>
      </c>
      <c r="AC153" s="4">
        <f t="shared" si="5"/>
        <v>0.25440000000000002</v>
      </c>
      <c r="AD153" s="25"/>
      <c r="AE153" s="3"/>
      <c r="AF153" s="3"/>
    </row>
    <row r="154" spans="1:32" x14ac:dyDescent="0.25">
      <c r="A154" s="20">
        <v>45810</v>
      </c>
      <c r="B154" s="3" t="s">
        <v>58</v>
      </c>
      <c r="C154" s="3">
        <f t="shared" si="4"/>
        <v>2</v>
      </c>
      <c r="D154" t="s">
        <v>66</v>
      </c>
      <c r="E154" s="14">
        <v>0.74</v>
      </c>
      <c r="F154" s="14">
        <v>0.42</v>
      </c>
      <c r="G154" s="14">
        <v>0.69</v>
      </c>
      <c r="H154" s="3">
        <v>28</v>
      </c>
      <c r="I154" s="3">
        <v>15</v>
      </c>
      <c r="J154" s="3">
        <v>3</v>
      </c>
      <c r="K154" s="3">
        <v>1</v>
      </c>
      <c r="L154" s="3">
        <v>2</v>
      </c>
      <c r="M154" s="3">
        <v>11</v>
      </c>
      <c r="N154" s="3">
        <v>2</v>
      </c>
      <c r="O154" s="3">
        <v>1365</v>
      </c>
      <c r="P154" s="3">
        <v>1895</v>
      </c>
      <c r="Q154" s="3">
        <v>1480.5</v>
      </c>
      <c r="R154" s="3">
        <v>2084</v>
      </c>
      <c r="S154" s="14">
        <v>1.24</v>
      </c>
      <c r="T154" s="14">
        <v>0.75</v>
      </c>
      <c r="U154" s="14">
        <v>0.28999999999999998</v>
      </c>
      <c r="V154" s="14">
        <v>0.1</v>
      </c>
      <c r="W154" s="14">
        <v>0.56000000000000005</v>
      </c>
      <c r="X154" s="14">
        <v>0.91080000000000005</v>
      </c>
      <c r="Y154" s="14">
        <v>0.84</v>
      </c>
      <c r="Z154">
        <v>94</v>
      </c>
      <c r="AA154">
        <v>71</v>
      </c>
      <c r="AB154">
        <v>43</v>
      </c>
      <c r="AC154" s="4">
        <f t="shared" si="5"/>
        <v>0.77026666666666666</v>
      </c>
      <c r="AD154" s="25"/>
      <c r="AE154" s="3"/>
      <c r="AF154" s="3"/>
    </row>
    <row r="155" spans="1:32" x14ac:dyDescent="0.25">
      <c r="A155" s="20">
        <v>45811</v>
      </c>
      <c r="B155" s="3" t="s">
        <v>58</v>
      </c>
      <c r="C155" s="3">
        <f t="shared" si="4"/>
        <v>2</v>
      </c>
      <c r="D155" t="s">
        <v>67</v>
      </c>
      <c r="E155" s="14">
        <v>0.69</v>
      </c>
      <c r="F155" s="14">
        <v>0.41</v>
      </c>
      <c r="G155" s="14">
        <v>0.46</v>
      </c>
      <c r="H155" s="3">
        <v>8</v>
      </c>
      <c r="I155" s="3">
        <v>25</v>
      </c>
      <c r="J155" s="3">
        <v>5</v>
      </c>
      <c r="K155" s="3">
        <v>1</v>
      </c>
      <c r="L155" s="3">
        <v>12</v>
      </c>
      <c r="M155" s="3">
        <v>8</v>
      </c>
      <c r="N155" s="3">
        <v>5</v>
      </c>
      <c r="O155" s="3">
        <v>108</v>
      </c>
      <c r="P155" s="3">
        <v>2655</v>
      </c>
      <c r="Q155" s="3">
        <v>2409</v>
      </c>
      <c r="R155" s="3">
        <v>2920</v>
      </c>
      <c r="S155" s="14">
        <v>1.05</v>
      </c>
      <c r="T155" s="14">
        <v>1.1499999999999999</v>
      </c>
      <c r="U155" s="14">
        <v>0.22</v>
      </c>
      <c r="V155" s="14">
        <v>0.05</v>
      </c>
      <c r="W155" s="14">
        <v>0.85</v>
      </c>
      <c r="X155" s="14">
        <v>0.64680000000000004</v>
      </c>
      <c r="Y155" s="14">
        <v>0.6</v>
      </c>
      <c r="Z155">
        <v>85</v>
      </c>
      <c r="AA155">
        <v>65</v>
      </c>
      <c r="AB155">
        <v>15</v>
      </c>
      <c r="AC155" s="4">
        <f t="shared" si="5"/>
        <v>0.6989333333333333</v>
      </c>
      <c r="AD155" s="25"/>
      <c r="AE155" s="3"/>
      <c r="AF155" s="3"/>
    </row>
    <row r="156" spans="1:32" x14ac:dyDescent="0.25">
      <c r="A156" s="20">
        <v>45812</v>
      </c>
      <c r="B156" s="3" t="s">
        <v>58</v>
      </c>
      <c r="C156" s="3">
        <f t="shared" si="4"/>
        <v>2</v>
      </c>
      <c r="D156" t="s">
        <v>68</v>
      </c>
      <c r="E156" s="14">
        <v>0.78</v>
      </c>
      <c r="F156" s="14">
        <v>0.47</v>
      </c>
      <c r="G156" s="14">
        <v>0.67</v>
      </c>
      <c r="H156" s="3">
        <v>26</v>
      </c>
      <c r="I156" s="3">
        <v>12</v>
      </c>
      <c r="J156" s="3">
        <v>5</v>
      </c>
      <c r="K156" s="3">
        <v>6</v>
      </c>
      <c r="L156" s="3">
        <v>11</v>
      </c>
      <c r="M156" s="3">
        <v>6</v>
      </c>
      <c r="N156" s="3">
        <v>6</v>
      </c>
      <c r="O156" s="3">
        <v>1530</v>
      </c>
      <c r="P156" s="3">
        <v>2149</v>
      </c>
      <c r="Q156" s="3">
        <v>582</v>
      </c>
      <c r="R156" s="3">
        <v>2203</v>
      </c>
      <c r="S156" s="14">
        <v>0.4</v>
      </c>
      <c r="T156" s="14">
        <v>1.1000000000000001</v>
      </c>
      <c r="U156" s="14">
        <v>1.08</v>
      </c>
      <c r="V156" s="14">
        <v>0.09</v>
      </c>
      <c r="W156" s="14">
        <v>0.52</v>
      </c>
      <c r="X156" s="14">
        <v>0.42240000000000005</v>
      </c>
      <c r="Y156" s="14">
        <v>0.61</v>
      </c>
      <c r="Z156">
        <v>83</v>
      </c>
      <c r="AA156">
        <v>60</v>
      </c>
      <c r="AB156">
        <v>37</v>
      </c>
      <c r="AC156" s="4">
        <f t="shared" si="5"/>
        <v>0.51746666666666663</v>
      </c>
      <c r="AD156" s="25"/>
      <c r="AE156" s="3"/>
      <c r="AF156" s="3"/>
    </row>
    <row r="157" spans="1:32" x14ac:dyDescent="0.25">
      <c r="A157" s="20">
        <v>45813</v>
      </c>
      <c r="B157" s="3" t="s">
        <v>58</v>
      </c>
      <c r="C157" s="3">
        <f t="shared" si="4"/>
        <v>2</v>
      </c>
      <c r="D157" t="s">
        <v>69</v>
      </c>
      <c r="E157" s="14">
        <v>0.91</v>
      </c>
      <c r="F157" s="14">
        <v>0.4</v>
      </c>
      <c r="G157" s="14">
        <v>0.9</v>
      </c>
      <c r="H157" s="3">
        <v>27</v>
      </c>
      <c r="I157" s="3">
        <v>11</v>
      </c>
      <c r="J157" s="3">
        <v>8</v>
      </c>
      <c r="K157" s="3">
        <v>12</v>
      </c>
      <c r="L157" s="3">
        <v>12</v>
      </c>
      <c r="M157" s="3">
        <v>5</v>
      </c>
      <c r="N157" s="3">
        <v>11</v>
      </c>
      <c r="O157" s="3">
        <v>3286</v>
      </c>
      <c r="P157" s="3">
        <v>1773</v>
      </c>
      <c r="Q157" s="3">
        <v>625.5</v>
      </c>
      <c r="R157" s="3">
        <v>6003</v>
      </c>
      <c r="S157" s="14">
        <v>0.51</v>
      </c>
      <c r="T157" s="14">
        <v>1.18</v>
      </c>
      <c r="U157" s="14">
        <v>0.57999999999999996</v>
      </c>
      <c r="V157" s="14">
        <v>0.1</v>
      </c>
      <c r="W157" s="14">
        <v>0.82</v>
      </c>
      <c r="X157" s="14">
        <v>0.72600000000000009</v>
      </c>
      <c r="Y157" s="14">
        <v>0.64</v>
      </c>
      <c r="Z157">
        <v>78</v>
      </c>
      <c r="AA157">
        <v>54</v>
      </c>
      <c r="AB157">
        <v>13</v>
      </c>
      <c r="AC157" s="4">
        <f t="shared" si="5"/>
        <v>0.72866666666666668</v>
      </c>
      <c r="AD157" s="25"/>
      <c r="AE157" s="3"/>
      <c r="AF157" s="3"/>
    </row>
    <row r="158" spans="1:32" x14ac:dyDescent="0.25">
      <c r="A158" s="20">
        <v>45814</v>
      </c>
      <c r="B158" s="3" t="s">
        <v>58</v>
      </c>
      <c r="C158" s="3">
        <f t="shared" si="4"/>
        <v>2</v>
      </c>
      <c r="D158" t="s">
        <v>70</v>
      </c>
      <c r="E158" s="14">
        <v>0.6</v>
      </c>
      <c r="F158" s="14">
        <v>0.62</v>
      </c>
      <c r="G158" s="14">
        <v>0.47</v>
      </c>
      <c r="H158" s="3">
        <v>32</v>
      </c>
      <c r="I158" s="3">
        <v>8</v>
      </c>
      <c r="J158" s="3">
        <v>3</v>
      </c>
      <c r="K158" s="3">
        <v>7</v>
      </c>
      <c r="L158" s="3">
        <v>1</v>
      </c>
      <c r="M158" s="3">
        <v>1</v>
      </c>
      <c r="N158" s="3">
        <v>7</v>
      </c>
      <c r="O158" s="3">
        <v>981</v>
      </c>
      <c r="P158" s="3">
        <v>2007</v>
      </c>
      <c r="Q158" s="3">
        <v>186</v>
      </c>
      <c r="R158" s="3">
        <v>2207</v>
      </c>
      <c r="S158" s="14">
        <v>0.52</v>
      </c>
      <c r="T158" s="14">
        <v>0.98</v>
      </c>
      <c r="U158" s="14">
        <v>0.28000000000000003</v>
      </c>
      <c r="V158" s="14">
        <v>0.08</v>
      </c>
      <c r="W158" s="14">
        <v>0.95</v>
      </c>
      <c r="X158" s="14">
        <v>0.40920000000000001</v>
      </c>
      <c r="Y158" s="14">
        <v>0.47</v>
      </c>
      <c r="Z158">
        <v>92</v>
      </c>
      <c r="AA158">
        <v>51</v>
      </c>
      <c r="AB158">
        <v>43</v>
      </c>
      <c r="AC158" s="4">
        <f t="shared" si="5"/>
        <v>0.60973333333333335</v>
      </c>
      <c r="AD158" s="25"/>
      <c r="AE158" s="3"/>
      <c r="AF158" s="3"/>
    </row>
    <row r="159" spans="1:32" x14ac:dyDescent="0.25">
      <c r="A159" s="20">
        <v>45815</v>
      </c>
      <c r="B159" s="3" t="s">
        <v>58</v>
      </c>
      <c r="C159" s="3">
        <f t="shared" si="4"/>
        <v>2</v>
      </c>
      <c r="D159" t="s">
        <v>51</v>
      </c>
      <c r="E159" s="14">
        <v>0.1</v>
      </c>
      <c r="F159" s="14">
        <v>0.56000000000000005</v>
      </c>
      <c r="G159" s="14">
        <v>0.85</v>
      </c>
      <c r="H159" s="3">
        <v>26</v>
      </c>
      <c r="I159" s="3">
        <v>20</v>
      </c>
      <c r="J159" s="3">
        <v>4</v>
      </c>
      <c r="K159" s="3">
        <v>7</v>
      </c>
      <c r="L159" s="3">
        <v>2</v>
      </c>
      <c r="M159" s="3">
        <v>4</v>
      </c>
      <c r="N159" s="3">
        <v>2</v>
      </c>
      <c r="O159" s="3">
        <v>2550</v>
      </c>
      <c r="P159" s="3">
        <v>126</v>
      </c>
      <c r="Q159" s="3">
        <v>429</v>
      </c>
      <c r="R159" s="3">
        <v>2890</v>
      </c>
      <c r="S159" s="14">
        <v>0.41</v>
      </c>
      <c r="T159" s="14">
        <v>0.56000000000000005</v>
      </c>
      <c r="U159" s="14">
        <v>0.26</v>
      </c>
      <c r="V159" s="14">
        <v>0.01</v>
      </c>
      <c r="W159" s="14">
        <v>0.315</v>
      </c>
      <c r="X159" s="14">
        <v>0.43362000000000001</v>
      </c>
      <c r="Y159" s="14">
        <v>0.27900000000000003</v>
      </c>
      <c r="Z159">
        <v>91</v>
      </c>
      <c r="AA159">
        <v>64</v>
      </c>
      <c r="AB159">
        <v>14</v>
      </c>
      <c r="AC159" s="4">
        <f t="shared" si="5"/>
        <v>0.34254000000000007</v>
      </c>
      <c r="AD159" s="25"/>
      <c r="AE159" s="3"/>
      <c r="AF159" s="3"/>
    </row>
    <row r="160" spans="1:32" x14ac:dyDescent="0.25">
      <c r="A160" s="20">
        <v>45816</v>
      </c>
      <c r="B160" s="3" t="s">
        <v>58</v>
      </c>
      <c r="C160" s="3">
        <f t="shared" si="4"/>
        <v>2</v>
      </c>
      <c r="D160" t="s">
        <v>65</v>
      </c>
      <c r="E160" s="14">
        <v>0.13</v>
      </c>
      <c r="F160" s="14">
        <v>0.46</v>
      </c>
      <c r="G160" s="14">
        <v>0.52</v>
      </c>
      <c r="H160" s="3">
        <v>25</v>
      </c>
      <c r="I160" s="3">
        <v>21</v>
      </c>
      <c r="J160" s="3">
        <v>6</v>
      </c>
      <c r="K160" s="3">
        <v>4</v>
      </c>
      <c r="L160" s="3">
        <v>7</v>
      </c>
      <c r="M160" s="3">
        <v>1</v>
      </c>
      <c r="N160" s="3">
        <v>5</v>
      </c>
      <c r="O160" s="3">
        <v>3730</v>
      </c>
      <c r="P160" s="3">
        <v>2794</v>
      </c>
      <c r="Q160" s="3">
        <v>2220</v>
      </c>
      <c r="R160" s="3">
        <v>6515</v>
      </c>
      <c r="S160" s="14">
        <v>0.53</v>
      </c>
      <c r="T160" s="14">
        <v>0.33</v>
      </c>
      <c r="U160" s="14">
        <v>1.06</v>
      </c>
      <c r="V160" s="14">
        <v>7.0000000000000007E-2</v>
      </c>
      <c r="W160" s="14">
        <v>0.42299999999999999</v>
      </c>
      <c r="X160" s="14">
        <v>0.37422000000000005</v>
      </c>
      <c r="Y160" s="14">
        <v>0.216</v>
      </c>
      <c r="Z160">
        <v>96</v>
      </c>
      <c r="AA160">
        <v>72</v>
      </c>
      <c r="AB160">
        <v>22</v>
      </c>
      <c r="AC160" s="4">
        <f t="shared" si="5"/>
        <v>0.33773999999999998</v>
      </c>
      <c r="AD160" s="25"/>
      <c r="AE160" s="3"/>
      <c r="AF160" s="3"/>
    </row>
    <row r="161" spans="1:32" x14ac:dyDescent="0.25">
      <c r="A161" s="20">
        <v>45817</v>
      </c>
      <c r="B161" s="3" t="s">
        <v>58</v>
      </c>
      <c r="C161" s="3">
        <f t="shared" si="4"/>
        <v>3</v>
      </c>
      <c r="D161" t="s">
        <v>66</v>
      </c>
      <c r="E161" s="14">
        <v>0.85</v>
      </c>
      <c r="F161" s="14">
        <v>0.39</v>
      </c>
      <c r="G161" s="14">
        <v>0.59</v>
      </c>
      <c r="H161" s="3">
        <v>38</v>
      </c>
      <c r="I161" s="3">
        <v>16</v>
      </c>
      <c r="J161" s="3">
        <v>11</v>
      </c>
      <c r="K161" s="3">
        <v>2</v>
      </c>
      <c r="L161" s="3">
        <v>9</v>
      </c>
      <c r="M161" s="3">
        <v>1</v>
      </c>
      <c r="N161" s="3">
        <v>7</v>
      </c>
      <c r="O161" s="3">
        <v>201</v>
      </c>
      <c r="P161" s="3">
        <v>1158</v>
      </c>
      <c r="Q161" s="3">
        <v>40.5</v>
      </c>
      <c r="R161" s="3">
        <v>1273</v>
      </c>
      <c r="S161" s="14">
        <v>0.97</v>
      </c>
      <c r="T161" s="14">
        <v>0.35</v>
      </c>
      <c r="U161" s="14">
        <v>0.59</v>
      </c>
      <c r="V161" s="14">
        <v>0.09</v>
      </c>
      <c r="W161" s="14">
        <v>0.82</v>
      </c>
      <c r="X161" s="14">
        <v>0.75239999999999996</v>
      </c>
      <c r="Y161" s="14">
        <v>0.48</v>
      </c>
      <c r="Z161">
        <v>82</v>
      </c>
      <c r="AA161">
        <v>72</v>
      </c>
      <c r="AB161">
        <v>19</v>
      </c>
      <c r="AC161" s="4">
        <f t="shared" si="5"/>
        <v>0.68413333333333337</v>
      </c>
      <c r="AD161" s="25"/>
      <c r="AE161" s="3"/>
      <c r="AF161" s="3"/>
    </row>
    <row r="162" spans="1:32" x14ac:dyDescent="0.25">
      <c r="A162" s="20">
        <v>45818</v>
      </c>
      <c r="B162" s="3" t="s">
        <v>58</v>
      </c>
      <c r="C162" s="3">
        <f t="shared" si="4"/>
        <v>3</v>
      </c>
      <c r="D162" t="s">
        <v>67</v>
      </c>
      <c r="E162" s="14">
        <v>0.75</v>
      </c>
      <c r="F162" s="14">
        <v>0.35</v>
      </c>
      <c r="G162" s="14">
        <v>0.69</v>
      </c>
      <c r="H162" s="3">
        <v>30</v>
      </c>
      <c r="I162" s="3">
        <v>9</v>
      </c>
      <c r="J162" s="3">
        <v>4</v>
      </c>
      <c r="K162" s="3">
        <v>6</v>
      </c>
      <c r="L162" s="3">
        <v>7</v>
      </c>
      <c r="M162" s="3">
        <v>7</v>
      </c>
      <c r="N162" s="3">
        <v>8</v>
      </c>
      <c r="O162" s="3">
        <v>2075</v>
      </c>
      <c r="P162" s="3">
        <v>1197</v>
      </c>
      <c r="Q162" s="3">
        <v>357</v>
      </c>
      <c r="R162" s="3">
        <v>2960</v>
      </c>
      <c r="S162" s="14">
        <v>0.4</v>
      </c>
      <c r="T162" s="14">
        <v>0.22</v>
      </c>
      <c r="U162" s="14">
        <v>0.93</v>
      </c>
      <c r="V162" s="14">
        <v>0.1</v>
      </c>
      <c r="W162" s="14">
        <v>0.63</v>
      </c>
      <c r="X162" s="14">
        <v>0.62039999999999995</v>
      </c>
      <c r="Y162" s="14">
        <v>0.53</v>
      </c>
      <c r="Z162">
        <v>79</v>
      </c>
      <c r="AA162">
        <v>72</v>
      </c>
      <c r="AB162">
        <v>45</v>
      </c>
      <c r="AC162" s="4">
        <f t="shared" si="5"/>
        <v>0.5934666666666667</v>
      </c>
      <c r="AD162" s="25"/>
      <c r="AE162" s="3"/>
      <c r="AF162" s="3"/>
    </row>
    <row r="163" spans="1:32" x14ac:dyDescent="0.25">
      <c r="A163" s="20">
        <v>45819</v>
      </c>
      <c r="B163" s="3" t="s">
        <v>58</v>
      </c>
      <c r="C163" s="3">
        <f t="shared" si="4"/>
        <v>3</v>
      </c>
      <c r="D163" t="s">
        <v>68</v>
      </c>
      <c r="E163" s="14">
        <v>0.86</v>
      </c>
      <c r="F163" s="14">
        <v>0.85</v>
      </c>
      <c r="G163" s="14">
        <v>0.69</v>
      </c>
      <c r="H163" s="3">
        <v>29</v>
      </c>
      <c r="I163" s="3">
        <v>15</v>
      </c>
      <c r="J163" s="3">
        <v>2</v>
      </c>
      <c r="K163" s="3">
        <v>2</v>
      </c>
      <c r="L163" s="3">
        <v>2</v>
      </c>
      <c r="M163" s="3">
        <v>1</v>
      </c>
      <c r="N163" s="3">
        <v>2</v>
      </c>
      <c r="O163" s="3">
        <v>3032</v>
      </c>
      <c r="P163" s="3">
        <v>2302</v>
      </c>
      <c r="Q163" s="3">
        <v>676.5</v>
      </c>
      <c r="R163" s="3">
        <v>3881</v>
      </c>
      <c r="S163" s="14">
        <v>1.1000000000000001</v>
      </c>
      <c r="T163" s="14">
        <v>1.05</v>
      </c>
      <c r="U163" s="14">
        <v>0.53</v>
      </c>
      <c r="V163" s="14">
        <v>0.04</v>
      </c>
      <c r="W163" s="14">
        <v>0.76</v>
      </c>
      <c r="X163" s="14">
        <v>0.43560000000000004</v>
      </c>
      <c r="Y163" s="14">
        <v>0.83</v>
      </c>
      <c r="Z163">
        <v>86</v>
      </c>
      <c r="AA163">
        <v>66</v>
      </c>
      <c r="AB163">
        <v>42</v>
      </c>
      <c r="AC163" s="4">
        <f t="shared" si="5"/>
        <v>0.67519999999999991</v>
      </c>
      <c r="AD163" s="25"/>
      <c r="AE163" s="3"/>
      <c r="AF163" s="3"/>
    </row>
    <row r="164" spans="1:32" x14ac:dyDescent="0.25">
      <c r="A164" s="20">
        <v>45820</v>
      </c>
      <c r="B164" s="3" t="s">
        <v>58</v>
      </c>
      <c r="C164" s="3">
        <f t="shared" si="4"/>
        <v>3</v>
      </c>
      <c r="D164" t="s">
        <v>69</v>
      </c>
      <c r="E164" s="14">
        <v>0.78</v>
      </c>
      <c r="F164" s="14">
        <v>0.79</v>
      </c>
      <c r="G164" s="14">
        <v>0.65</v>
      </c>
      <c r="H164" s="3">
        <v>29</v>
      </c>
      <c r="I164" s="3">
        <v>19</v>
      </c>
      <c r="J164" s="3">
        <v>12</v>
      </c>
      <c r="K164" s="3">
        <v>2</v>
      </c>
      <c r="L164" s="3">
        <v>11</v>
      </c>
      <c r="M164" s="3">
        <v>6</v>
      </c>
      <c r="N164" s="3">
        <v>6</v>
      </c>
      <c r="O164" s="3">
        <v>195</v>
      </c>
      <c r="P164" s="3">
        <v>25</v>
      </c>
      <c r="Q164" s="3">
        <v>765</v>
      </c>
      <c r="R164" s="3">
        <v>841</v>
      </c>
      <c r="S164" s="14">
        <v>0.78</v>
      </c>
      <c r="T164" s="14">
        <v>0.52</v>
      </c>
      <c r="U164" s="14">
        <v>0.54</v>
      </c>
      <c r="V164" s="14">
        <v>0.03</v>
      </c>
      <c r="W164" s="14">
        <v>0.9</v>
      </c>
      <c r="X164" s="14">
        <v>0.97680000000000011</v>
      </c>
      <c r="Y164" s="14">
        <v>0.43</v>
      </c>
      <c r="Z164">
        <v>86</v>
      </c>
      <c r="AA164">
        <v>68</v>
      </c>
      <c r="AB164">
        <v>44</v>
      </c>
      <c r="AC164" s="4">
        <f t="shared" si="5"/>
        <v>0.76893333333333347</v>
      </c>
      <c r="AD164" s="25"/>
      <c r="AE164" s="3"/>
      <c r="AF164" s="3"/>
    </row>
    <row r="165" spans="1:32" x14ac:dyDescent="0.25">
      <c r="A165" s="20">
        <v>45821</v>
      </c>
      <c r="B165" s="3" t="s">
        <v>58</v>
      </c>
      <c r="C165" s="3">
        <f t="shared" si="4"/>
        <v>3</v>
      </c>
      <c r="D165" t="s">
        <v>70</v>
      </c>
      <c r="E165" s="14">
        <v>0.72</v>
      </c>
      <c r="F165" s="14">
        <v>0.65</v>
      </c>
      <c r="G165" s="14">
        <v>0.84</v>
      </c>
      <c r="H165" s="3">
        <v>33</v>
      </c>
      <c r="I165" s="3">
        <v>34</v>
      </c>
      <c r="J165" s="3">
        <v>8</v>
      </c>
      <c r="K165" s="3">
        <v>2</v>
      </c>
      <c r="L165" s="3">
        <v>2</v>
      </c>
      <c r="M165" s="3">
        <v>7</v>
      </c>
      <c r="N165" s="3">
        <v>5</v>
      </c>
      <c r="O165" s="3">
        <v>1554</v>
      </c>
      <c r="P165" s="3">
        <v>1485</v>
      </c>
      <c r="Q165" s="3">
        <v>2233.5</v>
      </c>
      <c r="R165" s="3">
        <v>2456</v>
      </c>
      <c r="S165" s="14">
        <v>0.84</v>
      </c>
      <c r="T165" s="14">
        <v>0.96</v>
      </c>
      <c r="U165" s="14">
        <v>0.81</v>
      </c>
      <c r="V165" s="14">
        <v>0.03</v>
      </c>
      <c r="W165" s="14">
        <v>0.66</v>
      </c>
      <c r="X165" s="14">
        <v>0.7128000000000001</v>
      </c>
      <c r="Y165" s="14">
        <v>0.56999999999999995</v>
      </c>
      <c r="Z165">
        <v>79</v>
      </c>
      <c r="AA165">
        <v>77</v>
      </c>
      <c r="AB165">
        <v>39</v>
      </c>
      <c r="AC165" s="4">
        <f t="shared" si="5"/>
        <v>0.64760000000000006</v>
      </c>
      <c r="AD165" s="25"/>
      <c r="AE165" s="3"/>
      <c r="AF165" s="3"/>
    </row>
    <row r="166" spans="1:32" x14ac:dyDescent="0.25">
      <c r="A166" s="20">
        <v>45822</v>
      </c>
      <c r="B166" s="3" t="s">
        <v>58</v>
      </c>
      <c r="C166" s="3">
        <f t="shared" si="4"/>
        <v>3</v>
      </c>
      <c r="D166" t="s">
        <v>51</v>
      </c>
      <c r="E166" s="14">
        <v>0.24</v>
      </c>
      <c r="F166" s="14">
        <v>0.76</v>
      </c>
      <c r="G166" s="14">
        <v>0.61</v>
      </c>
      <c r="H166" s="3">
        <v>18</v>
      </c>
      <c r="I166" s="3">
        <v>14</v>
      </c>
      <c r="J166" s="3">
        <v>2</v>
      </c>
      <c r="K166" s="3">
        <v>2</v>
      </c>
      <c r="L166" s="3">
        <v>4</v>
      </c>
      <c r="M166" s="3">
        <v>4</v>
      </c>
      <c r="N166" s="3">
        <v>2</v>
      </c>
      <c r="O166" s="3">
        <v>683</v>
      </c>
      <c r="P166" s="3">
        <v>2228</v>
      </c>
      <c r="Q166" s="3">
        <v>2413.5</v>
      </c>
      <c r="R166" s="3">
        <v>2654</v>
      </c>
      <c r="S166" s="14">
        <v>1</v>
      </c>
      <c r="T166" s="14">
        <v>0.37</v>
      </c>
      <c r="U166" s="14">
        <v>0.49</v>
      </c>
      <c r="V166" s="14">
        <v>0.08</v>
      </c>
      <c r="W166" s="14">
        <v>0.32400000000000001</v>
      </c>
      <c r="X166" s="14">
        <v>0.31482000000000004</v>
      </c>
      <c r="Y166" s="14">
        <v>0.33750000000000002</v>
      </c>
      <c r="Z166">
        <v>98</v>
      </c>
      <c r="AA166">
        <v>63</v>
      </c>
      <c r="AB166">
        <v>21</v>
      </c>
      <c r="AC166" s="4">
        <f t="shared" si="5"/>
        <v>0.32544000000000001</v>
      </c>
      <c r="AD166" s="25"/>
      <c r="AE166" s="3"/>
      <c r="AF166" s="3"/>
    </row>
    <row r="167" spans="1:32" x14ac:dyDescent="0.25">
      <c r="A167" s="20">
        <v>45823</v>
      </c>
      <c r="B167" s="3" t="s">
        <v>58</v>
      </c>
      <c r="C167" s="3">
        <f t="shared" si="4"/>
        <v>3</v>
      </c>
      <c r="D167" t="s">
        <v>65</v>
      </c>
      <c r="E167" s="14">
        <v>0.43</v>
      </c>
      <c r="F167" s="14">
        <v>0.44</v>
      </c>
      <c r="G167" s="14">
        <v>0.65</v>
      </c>
      <c r="H167" s="3">
        <v>34</v>
      </c>
      <c r="I167" s="3">
        <v>27</v>
      </c>
      <c r="J167" s="3">
        <v>1</v>
      </c>
      <c r="K167" s="3">
        <v>7</v>
      </c>
      <c r="L167" s="3">
        <v>1</v>
      </c>
      <c r="M167" s="3">
        <v>7</v>
      </c>
      <c r="N167" s="3">
        <v>2</v>
      </c>
      <c r="O167" s="3">
        <v>2670</v>
      </c>
      <c r="P167" s="3">
        <v>1248</v>
      </c>
      <c r="Q167" s="3">
        <v>1081.5</v>
      </c>
      <c r="R167" s="3">
        <v>4094</v>
      </c>
      <c r="S167" s="14">
        <v>0.28000000000000003</v>
      </c>
      <c r="T167" s="14">
        <v>0.38</v>
      </c>
      <c r="U167" s="14">
        <v>0.26</v>
      </c>
      <c r="V167" s="14">
        <v>0.02</v>
      </c>
      <c r="W167" s="14">
        <v>0.26550000000000001</v>
      </c>
      <c r="X167" s="14">
        <v>0.20790000000000003</v>
      </c>
      <c r="Y167" s="14">
        <v>0.27900000000000003</v>
      </c>
      <c r="Z167">
        <v>93</v>
      </c>
      <c r="AA167">
        <v>60</v>
      </c>
      <c r="AB167">
        <v>12</v>
      </c>
      <c r="AC167" s="4">
        <f t="shared" si="5"/>
        <v>0.25080000000000002</v>
      </c>
      <c r="AD167" s="25"/>
      <c r="AE167" s="3"/>
      <c r="AF167" s="3"/>
    </row>
    <row r="168" spans="1:32" x14ac:dyDescent="0.25">
      <c r="A168" s="20">
        <v>45824</v>
      </c>
      <c r="B168" s="3" t="s">
        <v>58</v>
      </c>
      <c r="C168" s="3">
        <f t="shared" si="4"/>
        <v>4</v>
      </c>
      <c r="D168" t="s">
        <v>66</v>
      </c>
      <c r="E168" s="14">
        <v>0.83</v>
      </c>
      <c r="F168" s="14">
        <v>0.4</v>
      </c>
      <c r="G168" s="14">
        <v>0.78</v>
      </c>
      <c r="H168" s="3">
        <v>24</v>
      </c>
      <c r="I168" s="3">
        <v>13</v>
      </c>
      <c r="J168" s="3">
        <v>2</v>
      </c>
      <c r="K168" s="3">
        <v>9</v>
      </c>
      <c r="L168" s="3">
        <v>4</v>
      </c>
      <c r="M168" s="3">
        <v>1</v>
      </c>
      <c r="N168" s="3">
        <v>12</v>
      </c>
      <c r="O168" s="3">
        <v>1266</v>
      </c>
      <c r="P168" s="3">
        <v>2245</v>
      </c>
      <c r="Q168" s="3">
        <v>1365</v>
      </c>
      <c r="R168" s="3">
        <v>2469</v>
      </c>
      <c r="S168" s="14">
        <v>1.17</v>
      </c>
      <c r="T168" s="14">
        <v>0.71</v>
      </c>
      <c r="U168" s="14">
        <v>1.1299999999999999</v>
      </c>
      <c r="V168" s="14">
        <v>0.1</v>
      </c>
      <c r="W168" s="14">
        <v>0.78</v>
      </c>
      <c r="X168" s="14">
        <v>0.54120000000000001</v>
      </c>
      <c r="Y168" s="14">
        <v>0.59</v>
      </c>
      <c r="Z168">
        <v>97</v>
      </c>
      <c r="AA168">
        <v>78</v>
      </c>
      <c r="AB168">
        <v>30</v>
      </c>
      <c r="AC168" s="4">
        <f t="shared" si="5"/>
        <v>0.63706666666666667</v>
      </c>
      <c r="AD168" s="25"/>
      <c r="AE168" s="3"/>
      <c r="AF168" s="3"/>
    </row>
    <row r="169" spans="1:32" x14ac:dyDescent="0.25">
      <c r="A169" s="20">
        <v>45825</v>
      </c>
      <c r="B169" s="3" t="s">
        <v>58</v>
      </c>
      <c r="C169" s="3">
        <f t="shared" si="4"/>
        <v>4</v>
      </c>
      <c r="D169" t="s">
        <v>67</v>
      </c>
      <c r="E169" s="14">
        <v>0.92</v>
      </c>
      <c r="F169" s="14">
        <v>0.54</v>
      </c>
      <c r="G169" s="14">
        <v>0.79</v>
      </c>
      <c r="H169" s="3">
        <v>29</v>
      </c>
      <c r="I169" s="3">
        <v>15</v>
      </c>
      <c r="J169" s="3">
        <v>8</v>
      </c>
      <c r="K169" s="3">
        <v>3</v>
      </c>
      <c r="L169" s="3">
        <v>5</v>
      </c>
      <c r="M169" s="3">
        <v>7</v>
      </c>
      <c r="N169" s="3">
        <v>6</v>
      </c>
      <c r="O169" s="3">
        <v>1992</v>
      </c>
      <c r="P169" s="3">
        <v>895</v>
      </c>
      <c r="Q169" s="3">
        <v>1257</v>
      </c>
      <c r="R169" s="3">
        <v>3426</v>
      </c>
      <c r="S169" s="14">
        <v>0.86</v>
      </c>
      <c r="T169" s="14">
        <v>0.93</v>
      </c>
      <c r="U169" s="14">
        <v>0.66</v>
      </c>
      <c r="V169" s="14">
        <v>0.06</v>
      </c>
      <c r="W169" s="14">
        <v>0.92</v>
      </c>
      <c r="X169" s="14">
        <v>0.64680000000000004</v>
      </c>
      <c r="Y169" s="14">
        <v>0.87</v>
      </c>
      <c r="Z169">
        <v>79</v>
      </c>
      <c r="AA169">
        <v>58</v>
      </c>
      <c r="AB169">
        <v>29</v>
      </c>
      <c r="AC169" s="4">
        <f t="shared" si="5"/>
        <v>0.8122666666666668</v>
      </c>
      <c r="AD169" s="25"/>
      <c r="AE169" s="3"/>
      <c r="AF169" s="3"/>
    </row>
    <row r="170" spans="1:32" x14ac:dyDescent="0.25">
      <c r="A170" s="20">
        <v>45826</v>
      </c>
      <c r="B170" s="3" t="s">
        <v>58</v>
      </c>
      <c r="C170" s="3">
        <f t="shared" si="4"/>
        <v>4</v>
      </c>
      <c r="D170" t="s">
        <v>68</v>
      </c>
      <c r="E170" s="14">
        <v>0.65</v>
      </c>
      <c r="F170" s="14">
        <v>0.45</v>
      </c>
      <c r="G170" s="14">
        <v>0.56000000000000005</v>
      </c>
      <c r="H170" s="3">
        <v>10</v>
      </c>
      <c r="I170" s="3">
        <v>5</v>
      </c>
      <c r="J170" s="3">
        <v>3</v>
      </c>
      <c r="K170" s="3">
        <v>8</v>
      </c>
      <c r="L170" s="3">
        <v>11</v>
      </c>
      <c r="M170" s="3">
        <v>7</v>
      </c>
      <c r="N170" s="3">
        <v>12</v>
      </c>
      <c r="O170" s="3">
        <v>1544</v>
      </c>
      <c r="P170" s="3">
        <v>826</v>
      </c>
      <c r="Q170" s="3">
        <v>1347</v>
      </c>
      <c r="R170" s="3">
        <v>2429</v>
      </c>
      <c r="S170" s="14">
        <v>1.1299999999999999</v>
      </c>
      <c r="T170" s="14">
        <v>1.1599999999999999</v>
      </c>
      <c r="U170" s="14">
        <v>0.2</v>
      </c>
      <c r="V170" s="14">
        <v>0.09</v>
      </c>
      <c r="W170" s="14">
        <v>0.55000000000000004</v>
      </c>
      <c r="X170" s="14">
        <v>0.89760000000000018</v>
      </c>
      <c r="Y170" s="14">
        <v>0.4</v>
      </c>
      <c r="Z170">
        <v>99</v>
      </c>
      <c r="AA170">
        <v>60</v>
      </c>
      <c r="AB170">
        <v>38</v>
      </c>
      <c r="AC170" s="4">
        <f t="shared" si="5"/>
        <v>0.61586666666666678</v>
      </c>
      <c r="AD170" s="25"/>
      <c r="AE170" s="3"/>
      <c r="AF170" s="3"/>
    </row>
    <row r="171" spans="1:32" x14ac:dyDescent="0.25">
      <c r="A171" s="20">
        <v>45827</v>
      </c>
      <c r="B171" s="3" t="s">
        <v>58</v>
      </c>
      <c r="C171" s="3">
        <f t="shared" si="4"/>
        <v>4</v>
      </c>
      <c r="D171" t="s">
        <v>69</v>
      </c>
      <c r="E171" s="14">
        <v>0.99</v>
      </c>
      <c r="F171" s="14">
        <v>0.75</v>
      </c>
      <c r="G171" s="14">
        <v>0.49</v>
      </c>
      <c r="H171" s="3">
        <v>31</v>
      </c>
      <c r="I171" s="3">
        <v>7</v>
      </c>
      <c r="J171" s="3">
        <v>12</v>
      </c>
      <c r="K171" s="3">
        <v>8</v>
      </c>
      <c r="L171" s="3">
        <v>2</v>
      </c>
      <c r="M171" s="3">
        <v>4</v>
      </c>
      <c r="N171" s="3">
        <v>12</v>
      </c>
      <c r="O171" s="3">
        <v>1875</v>
      </c>
      <c r="P171" s="3">
        <v>3305</v>
      </c>
      <c r="Q171" s="3">
        <v>2314.5</v>
      </c>
      <c r="R171" s="3">
        <v>3635</v>
      </c>
      <c r="S171" s="14">
        <v>0.17</v>
      </c>
      <c r="T171" s="14">
        <v>0.59</v>
      </c>
      <c r="U171" s="14">
        <v>0.91</v>
      </c>
      <c r="V171" s="14">
        <v>0.08</v>
      </c>
      <c r="W171" s="14">
        <v>0.56000000000000005</v>
      </c>
      <c r="X171" s="14">
        <v>0.88440000000000007</v>
      </c>
      <c r="Y171" s="14">
        <v>0.45</v>
      </c>
      <c r="Z171">
        <v>96</v>
      </c>
      <c r="AA171">
        <v>56</v>
      </c>
      <c r="AB171">
        <v>48</v>
      </c>
      <c r="AC171" s="4">
        <f t="shared" si="5"/>
        <v>0.63146666666666673</v>
      </c>
      <c r="AD171" s="25"/>
      <c r="AE171" s="3"/>
      <c r="AF171" s="3"/>
    </row>
    <row r="172" spans="1:32" x14ac:dyDescent="0.25">
      <c r="A172" s="20">
        <v>45828</v>
      </c>
      <c r="B172" s="3" t="s">
        <v>58</v>
      </c>
      <c r="C172" s="3">
        <f t="shared" si="4"/>
        <v>4</v>
      </c>
      <c r="D172" t="s">
        <v>70</v>
      </c>
      <c r="E172" s="14">
        <v>0.79</v>
      </c>
      <c r="F172" s="14">
        <v>0.77</v>
      </c>
      <c r="G172" s="14">
        <v>0.49</v>
      </c>
      <c r="H172" s="3">
        <v>17</v>
      </c>
      <c r="I172" s="3">
        <v>32</v>
      </c>
      <c r="J172" s="3">
        <v>7</v>
      </c>
      <c r="K172" s="3">
        <v>7</v>
      </c>
      <c r="L172" s="3">
        <v>2</v>
      </c>
      <c r="M172" s="3">
        <v>3</v>
      </c>
      <c r="N172" s="3">
        <v>8</v>
      </c>
      <c r="O172" s="3">
        <v>1647</v>
      </c>
      <c r="P172" s="3">
        <v>1258</v>
      </c>
      <c r="Q172" s="3">
        <v>1242</v>
      </c>
      <c r="R172" s="3">
        <v>2788</v>
      </c>
      <c r="S172" s="14">
        <v>0.51</v>
      </c>
      <c r="T172" s="14">
        <v>0.8</v>
      </c>
      <c r="U172" s="14">
        <v>0.52</v>
      </c>
      <c r="V172" s="14">
        <v>0.08</v>
      </c>
      <c r="W172" s="14">
        <v>0.67</v>
      </c>
      <c r="X172" s="14">
        <v>0.79200000000000004</v>
      </c>
      <c r="Y172" s="14">
        <v>0.7</v>
      </c>
      <c r="Z172">
        <v>84</v>
      </c>
      <c r="AA172">
        <v>62</v>
      </c>
      <c r="AB172">
        <v>42</v>
      </c>
      <c r="AC172" s="4">
        <f t="shared" si="5"/>
        <v>0.72066666666666668</v>
      </c>
      <c r="AD172" s="25"/>
      <c r="AE172" s="3"/>
      <c r="AF172" s="3"/>
    </row>
    <row r="173" spans="1:32" x14ac:dyDescent="0.25">
      <c r="A173" s="20">
        <v>45829</v>
      </c>
      <c r="B173" s="3" t="s">
        <v>58</v>
      </c>
      <c r="C173" s="3">
        <f t="shared" si="4"/>
        <v>4</v>
      </c>
      <c r="D173" t="s">
        <v>51</v>
      </c>
      <c r="E173" s="14">
        <v>0.1</v>
      </c>
      <c r="F173" s="14">
        <v>0.56999999999999995</v>
      </c>
      <c r="G173" s="14">
        <v>0.46</v>
      </c>
      <c r="H173" s="3">
        <v>24</v>
      </c>
      <c r="I173" s="3">
        <v>11</v>
      </c>
      <c r="J173" s="3">
        <v>8</v>
      </c>
      <c r="K173" s="3">
        <v>2</v>
      </c>
      <c r="L173" s="3">
        <v>3</v>
      </c>
      <c r="M173" s="3">
        <v>2</v>
      </c>
      <c r="N173" s="3">
        <v>7</v>
      </c>
      <c r="O173" s="3">
        <v>1851</v>
      </c>
      <c r="P173" s="3">
        <v>3258</v>
      </c>
      <c r="Q173" s="3">
        <v>1968</v>
      </c>
      <c r="R173" s="3">
        <v>3583</v>
      </c>
      <c r="S173" s="14">
        <v>1.1399999999999999</v>
      </c>
      <c r="T173" s="14">
        <v>0.89</v>
      </c>
      <c r="U173" s="14">
        <v>1.1000000000000001</v>
      </c>
      <c r="V173" s="14">
        <v>0.03</v>
      </c>
      <c r="W173" s="14">
        <v>0.3735</v>
      </c>
      <c r="X173" s="14">
        <v>0.23760000000000003</v>
      </c>
      <c r="Y173" s="14">
        <v>0.216</v>
      </c>
      <c r="Z173">
        <v>82</v>
      </c>
      <c r="AA173">
        <v>71</v>
      </c>
      <c r="AB173">
        <v>18</v>
      </c>
      <c r="AC173" s="4">
        <f t="shared" si="5"/>
        <v>0.2757</v>
      </c>
      <c r="AD173" s="25"/>
      <c r="AE173" s="3"/>
      <c r="AF173" s="3"/>
    </row>
    <row r="174" spans="1:32" x14ac:dyDescent="0.25">
      <c r="A174" s="20">
        <v>45830</v>
      </c>
      <c r="B174" s="3" t="s">
        <v>58</v>
      </c>
      <c r="C174" s="3">
        <f t="shared" si="4"/>
        <v>4</v>
      </c>
      <c r="D174" t="s">
        <v>65</v>
      </c>
      <c r="E174" s="14">
        <v>0.16</v>
      </c>
      <c r="F174" s="14">
        <v>0.88</v>
      </c>
      <c r="G174" s="14">
        <v>0.82</v>
      </c>
      <c r="H174" s="3">
        <v>5</v>
      </c>
      <c r="I174" s="3">
        <v>34</v>
      </c>
      <c r="J174" s="3">
        <v>6</v>
      </c>
      <c r="K174" s="3">
        <v>7</v>
      </c>
      <c r="L174" s="3">
        <v>8</v>
      </c>
      <c r="M174" s="3">
        <v>4</v>
      </c>
      <c r="N174" s="3">
        <v>2</v>
      </c>
      <c r="O174" s="3">
        <v>1560</v>
      </c>
      <c r="P174" s="3">
        <v>204</v>
      </c>
      <c r="Q174" s="3">
        <v>2611.5</v>
      </c>
      <c r="R174" s="3">
        <v>2872</v>
      </c>
      <c r="S174" s="14">
        <v>0.17</v>
      </c>
      <c r="T174" s="14">
        <v>0.32</v>
      </c>
      <c r="U174" s="14">
        <v>0.83</v>
      </c>
      <c r="V174" s="14">
        <v>0.03</v>
      </c>
      <c r="W174" s="14">
        <v>0.27900000000000003</v>
      </c>
      <c r="X174" s="14">
        <v>0.24948000000000004</v>
      </c>
      <c r="Y174" s="14">
        <v>0.22500000000000001</v>
      </c>
      <c r="Z174">
        <v>79</v>
      </c>
      <c r="AA174">
        <v>74</v>
      </c>
      <c r="AB174">
        <v>36</v>
      </c>
      <c r="AC174" s="4">
        <f t="shared" si="5"/>
        <v>0.25115999999999999</v>
      </c>
      <c r="AD174" s="25"/>
      <c r="AE174" s="3"/>
      <c r="AF174" s="3"/>
    </row>
    <row r="175" spans="1:32" x14ac:dyDescent="0.25">
      <c r="A175" s="20">
        <v>45831</v>
      </c>
      <c r="B175" s="3" t="s">
        <v>58</v>
      </c>
      <c r="C175" s="3">
        <f t="shared" si="4"/>
        <v>5</v>
      </c>
      <c r="D175" t="s">
        <v>66</v>
      </c>
      <c r="E175" s="14">
        <v>0.84</v>
      </c>
      <c r="F175" s="14">
        <v>0.82</v>
      </c>
      <c r="G175" s="14">
        <v>0.41</v>
      </c>
      <c r="H175" s="3">
        <v>15</v>
      </c>
      <c r="I175" s="3">
        <v>31</v>
      </c>
      <c r="J175" s="3">
        <v>2</v>
      </c>
      <c r="K175" s="3">
        <v>8</v>
      </c>
      <c r="L175" s="3">
        <v>12</v>
      </c>
      <c r="M175" s="3">
        <v>8</v>
      </c>
      <c r="N175" s="3">
        <v>7</v>
      </c>
      <c r="O175" s="3">
        <v>1959</v>
      </c>
      <c r="P175" s="3">
        <v>2997</v>
      </c>
      <c r="Q175" s="3">
        <v>793.5</v>
      </c>
      <c r="R175" s="3">
        <v>3296</v>
      </c>
      <c r="S175" s="14">
        <v>0.97</v>
      </c>
      <c r="T175" s="14">
        <v>0.38</v>
      </c>
      <c r="U175" s="14">
        <v>0.75</v>
      </c>
      <c r="V175" s="14">
        <v>0.06</v>
      </c>
      <c r="W175" s="14">
        <v>0.56999999999999995</v>
      </c>
      <c r="X175" s="14">
        <v>0.76560000000000006</v>
      </c>
      <c r="Y175" s="14">
        <v>0.63</v>
      </c>
      <c r="Z175">
        <v>93</v>
      </c>
      <c r="AA175">
        <v>77</v>
      </c>
      <c r="AB175">
        <v>48</v>
      </c>
      <c r="AC175" s="4">
        <f t="shared" si="5"/>
        <v>0.65519999999999989</v>
      </c>
      <c r="AD175" s="25"/>
      <c r="AE175" s="3"/>
      <c r="AF175" s="3"/>
    </row>
    <row r="176" spans="1:32" x14ac:dyDescent="0.25">
      <c r="A176" s="20">
        <v>45832</v>
      </c>
      <c r="B176" s="3" t="s">
        <v>58</v>
      </c>
      <c r="C176" s="3">
        <f t="shared" si="4"/>
        <v>5</v>
      </c>
      <c r="D176" t="s">
        <v>67</v>
      </c>
      <c r="E176" s="14">
        <v>0.73</v>
      </c>
      <c r="F176" s="14">
        <v>0.57999999999999996</v>
      </c>
      <c r="G176" s="14">
        <v>0.47</v>
      </c>
      <c r="H176" s="3">
        <v>18</v>
      </c>
      <c r="I176" s="3">
        <v>17</v>
      </c>
      <c r="J176" s="3">
        <v>3</v>
      </c>
      <c r="K176" s="3">
        <v>5</v>
      </c>
      <c r="L176" s="3">
        <v>3</v>
      </c>
      <c r="M176" s="3">
        <v>8</v>
      </c>
      <c r="N176" s="3">
        <v>5</v>
      </c>
      <c r="O176" s="3">
        <v>1257</v>
      </c>
      <c r="P176" s="3">
        <v>1719</v>
      </c>
      <c r="Q176" s="3">
        <v>2035.5</v>
      </c>
      <c r="R176" s="3">
        <v>2239</v>
      </c>
      <c r="S176" s="14">
        <v>0.33</v>
      </c>
      <c r="T176" s="14">
        <v>0.54</v>
      </c>
      <c r="U176" s="14">
        <v>0.9</v>
      </c>
      <c r="V176" s="14">
        <v>0.09</v>
      </c>
      <c r="W176" s="14">
        <v>0.8</v>
      </c>
      <c r="X176" s="14">
        <v>0.89760000000000018</v>
      </c>
      <c r="Y176" s="14">
        <v>0.46</v>
      </c>
      <c r="Z176">
        <v>98</v>
      </c>
      <c r="AA176">
        <v>71</v>
      </c>
      <c r="AB176">
        <v>16</v>
      </c>
      <c r="AC176" s="4">
        <f t="shared" si="5"/>
        <v>0.71920000000000017</v>
      </c>
      <c r="AD176" s="25"/>
      <c r="AE176" s="3"/>
      <c r="AF176" s="3"/>
    </row>
    <row r="177" spans="1:32" x14ac:dyDescent="0.25">
      <c r="A177" s="20">
        <v>45833</v>
      </c>
      <c r="B177" s="3" t="s">
        <v>58</v>
      </c>
      <c r="C177" s="3">
        <f t="shared" si="4"/>
        <v>5</v>
      </c>
      <c r="D177" t="s">
        <v>68</v>
      </c>
      <c r="E177" s="14">
        <v>0.96</v>
      </c>
      <c r="F177" s="14">
        <v>0.49</v>
      </c>
      <c r="G177" s="14">
        <v>0.87</v>
      </c>
      <c r="H177" s="3">
        <v>20</v>
      </c>
      <c r="I177" s="3">
        <v>16</v>
      </c>
      <c r="J177" s="3">
        <v>11</v>
      </c>
      <c r="K177" s="3">
        <v>11</v>
      </c>
      <c r="L177" s="3">
        <v>1</v>
      </c>
      <c r="M177" s="3">
        <v>4</v>
      </c>
      <c r="N177" s="3">
        <v>9</v>
      </c>
      <c r="O177" s="3">
        <v>2636</v>
      </c>
      <c r="P177" s="3">
        <v>3004</v>
      </c>
      <c r="Q177" s="3">
        <v>2134.5</v>
      </c>
      <c r="R177" s="3">
        <v>4534</v>
      </c>
      <c r="S177" s="14">
        <v>0.84</v>
      </c>
      <c r="T177" s="14">
        <v>0.99</v>
      </c>
      <c r="U177" s="14">
        <v>1.02</v>
      </c>
      <c r="V177" s="14">
        <v>0.06</v>
      </c>
      <c r="W177" s="14">
        <v>0.75</v>
      </c>
      <c r="X177" s="14">
        <v>0.93720000000000003</v>
      </c>
      <c r="Y177" s="14">
        <v>0.62</v>
      </c>
      <c r="Z177">
        <v>99</v>
      </c>
      <c r="AA177">
        <v>72</v>
      </c>
      <c r="AB177">
        <v>17</v>
      </c>
      <c r="AC177" s="4">
        <f t="shared" si="5"/>
        <v>0.76906666666666668</v>
      </c>
      <c r="AD177" s="25"/>
      <c r="AE177" s="3"/>
      <c r="AF177" s="3"/>
    </row>
    <row r="178" spans="1:32" x14ac:dyDescent="0.25">
      <c r="A178" s="20">
        <v>45834</v>
      </c>
      <c r="B178" s="3" t="s">
        <v>58</v>
      </c>
      <c r="C178" s="3">
        <f t="shared" si="4"/>
        <v>5</v>
      </c>
      <c r="D178" t="s">
        <v>69</v>
      </c>
      <c r="E178" s="14">
        <v>0.92</v>
      </c>
      <c r="F178" s="14">
        <v>0.9</v>
      </c>
      <c r="G178" s="14">
        <v>0.73</v>
      </c>
      <c r="H178" s="3">
        <v>15</v>
      </c>
      <c r="I178" s="3">
        <v>30</v>
      </c>
      <c r="J178" s="3">
        <v>4</v>
      </c>
      <c r="K178" s="3">
        <v>4</v>
      </c>
      <c r="L178" s="3">
        <v>9</v>
      </c>
      <c r="M178" s="3">
        <v>8</v>
      </c>
      <c r="N178" s="3">
        <v>12</v>
      </c>
      <c r="O178" s="3">
        <v>2247</v>
      </c>
      <c r="P178" s="3">
        <v>212</v>
      </c>
      <c r="Q178" s="3">
        <v>661.5</v>
      </c>
      <c r="R178" s="3">
        <v>3205</v>
      </c>
      <c r="S178" s="14">
        <v>0.99</v>
      </c>
      <c r="T178" s="14">
        <v>0.37</v>
      </c>
      <c r="U178" s="14">
        <v>0.88</v>
      </c>
      <c r="V178" s="14">
        <v>0.05</v>
      </c>
      <c r="W178" s="14">
        <v>0.56999999999999995</v>
      </c>
      <c r="X178" s="14">
        <v>0.5676000000000001</v>
      </c>
      <c r="Y178" s="14">
        <v>0.71</v>
      </c>
      <c r="Z178">
        <v>86</v>
      </c>
      <c r="AA178">
        <v>67</v>
      </c>
      <c r="AB178">
        <v>29</v>
      </c>
      <c r="AC178" s="4">
        <f t="shared" si="5"/>
        <v>0.61586666666666667</v>
      </c>
      <c r="AD178" s="25"/>
      <c r="AE178" s="3"/>
      <c r="AF178" s="3"/>
    </row>
    <row r="179" spans="1:32" x14ac:dyDescent="0.25">
      <c r="A179" s="20">
        <v>45835</v>
      </c>
      <c r="B179" s="3" t="s">
        <v>58</v>
      </c>
      <c r="C179" s="3">
        <f t="shared" si="4"/>
        <v>5</v>
      </c>
      <c r="D179" t="s">
        <v>70</v>
      </c>
      <c r="E179" s="14">
        <v>0.89</v>
      </c>
      <c r="F179" s="14">
        <v>0.36</v>
      </c>
      <c r="G179" s="14">
        <v>0.51</v>
      </c>
      <c r="H179" s="3">
        <v>15</v>
      </c>
      <c r="I179" s="3">
        <v>24</v>
      </c>
      <c r="J179" s="3">
        <v>7</v>
      </c>
      <c r="K179" s="3">
        <v>2</v>
      </c>
      <c r="L179" s="3">
        <v>2</v>
      </c>
      <c r="M179" s="3">
        <v>2</v>
      </c>
      <c r="N179" s="3">
        <v>2</v>
      </c>
      <c r="O179" s="3">
        <v>816</v>
      </c>
      <c r="P179" s="3">
        <v>1336</v>
      </c>
      <c r="Q179" s="3">
        <v>1819.5</v>
      </c>
      <c r="R179" s="3">
        <v>2001</v>
      </c>
      <c r="S179" s="14">
        <v>0.35</v>
      </c>
      <c r="T179" s="14">
        <v>0.17</v>
      </c>
      <c r="U179" s="14">
        <v>0.98</v>
      </c>
      <c r="V179" s="14">
        <v>0.04</v>
      </c>
      <c r="W179" s="14">
        <v>0.81</v>
      </c>
      <c r="X179" s="14">
        <v>0.40920000000000001</v>
      </c>
      <c r="Y179" s="14">
        <v>0.4</v>
      </c>
      <c r="Z179">
        <v>90</v>
      </c>
      <c r="AA179">
        <v>50</v>
      </c>
      <c r="AB179">
        <v>35</v>
      </c>
      <c r="AC179" s="4">
        <f t="shared" si="5"/>
        <v>0.5397333333333334</v>
      </c>
      <c r="AD179" s="25"/>
      <c r="AE179" s="3"/>
      <c r="AF179" s="3"/>
    </row>
    <row r="180" spans="1:32" x14ac:dyDescent="0.25">
      <c r="A180" s="20">
        <v>45836</v>
      </c>
      <c r="B180" s="3" t="s">
        <v>58</v>
      </c>
      <c r="C180" s="3">
        <f t="shared" si="4"/>
        <v>5</v>
      </c>
      <c r="D180" t="s">
        <v>51</v>
      </c>
      <c r="E180" s="14">
        <v>0.27</v>
      </c>
      <c r="F180" s="14">
        <v>0.38</v>
      </c>
      <c r="G180" s="14">
        <v>0.84</v>
      </c>
      <c r="H180" s="3">
        <v>23</v>
      </c>
      <c r="I180" s="3">
        <v>29</v>
      </c>
      <c r="J180" s="3">
        <v>7</v>
      </c>
      <c r="K180" s="3">
        <v>2</v>
      </c>
      <c r="L180" s="3">
        <v>7</v>
      </c>
      <c r="M180" s="3">
        <v>3</v>
      </c>
      <c r="N180" s="3">
        <v>6</v>
      </c>
      <c r="O180" s="3">
        <v>81</v>
      </c>
      <c r="P180" s="3">
        <v>828</v>
      </c>
      <c r="Q180" s="3">
        <v>1341</v>
      </c>
      <c r="R180" s="3">
        <v>1475</v>
      </c>
      <c r="S180" s="14">
        <v>0.51</v>
      </c>
      <c r="T180" s="14">
        <v>1.07</v>
      </c>
      <c r="U180" s="14">
        <v>0.21</v>
      </c>
      <c r="V180" s="14">
        <v>0.05</v>
      </c>
      <c r="W180" s="14">
        <v>0.315</v>
      </c>
      <c r="X180" s="14">
        <v>0.43362000000000001</v>
      </c>
      <c r="Y180" s="14">
        <v>0.30150000000000005</v>
      </c>
      <c r="Z180">
        <v>90</v>
      </c>
      <c r="AA180">
        <v>54</v>
      </c>
      <c r="AB180">
        <v>29</v>
      </c>
      <c r="AC180" s="4">
        <f t="shared" si="5"/>
        <v>0.35004000000000007</v>
      </c>
      <c r="AD180" s="25"/>
      <c r="AE180" s="3"/>
      <c r="AF180" s="3"/>
    </row>
    <row r="181" spans="1:32" x14ac:dyDescent="0.25">
      <c r="A181" s="20">
        <v>45837</v>
      </c>
      <c r="B181" s="3" t="s">
        <v>58</v>
      </c>
      <c r="C181" s="3">
        <f t="shared" si="4"/>
        <v>5</v>
      </c>
      <c r="D181" t="s">
        <v>65</v>
      </c>
      <c r="E181" s="14">
        <v>0.27</v>
      </c>
      <c r="F181" s="14">
        <v>0.57999999999999996</v>
      </c>
      <c r="G181" s="14">
        <v>0.87</v>
      </c>
      <c r="H181" s="3">
        <v>22</v>
      </c>
      <c r="I181" s="3">
        <v>11</v>
      </c>
      <c r="J181" s="3">
        <v>3</v>
      </c>
      <c r="K181" s="3">
        <v>3</v>
      </c>
      <c r="L181" s="3">
        <v>2</v>
      </c>
      <c r="M181" s="3">
        <v>5</v>
      </c>
      <c r="N181" s="3">
        <v>7</v>
      </c>
      <c r="O181" s="3">
        <v>1500</v>
      </c>
      <c r="P181" s="3">
        <v>504</v>
      </c>
      <c r="Q181" s="3">
        <v>513</v>
      </c>
      <c r="R181" s="3">
        <v>2500</v>
      </c>
      <c r="S181" s="14">
        <v>0.84</v>
      </c>
      <c r="T181" s="14">
        <v>0.95</v>
      </c>
      <c r="U181" s="14">
        <v>0.49</v>
      </c>
      <c r="V181" s="14">
        <v>0.1</v>
      </c>
      <c r="W181" s="14">
        <v>0.28350000000000003</v>
      </c>
      <c r="X181" s="14">
        <v>0.44550000000000006</v>
      </c>
      <c r="Y181" s="14">
        <v>0.27</v>
      </c>
      <c r="Z181">
        <v>78</v>
      </c>
      <c r="AA181">
        <v>52</v>
      </c>
      <c r="AB181">
        <v>33</v>
      </c>
      <c r="AC181" s="4">
        <f t="shared" si="5"/>
        <v>0.33300000000000002</v>
      </c>
      <c r="AD181" s="25"/>
      <c r="AE181" s="3"/>
      <c r="AF181" s="3"/>
    </row>
    <row r="182" spans="1:32" x14ac:dyDescent="0.25">
      <c r="A182" s="20">
        <v>45838</v>
      </c>
      <c r="B182" s="3" t="s">
        <v>58</v>
      </c>
      <c r="C182" s="3">
        <f t="shared" si="4"/>
        <v>6</v>
      </c>
      <c r="D182" t="s">
        <v>66</v>
      </c>
      <c r="E182" s="14">
        <v>0.77</v>
      </c>
      <c r="F182" s="14">
        <v>0.8</v>
      </c>
      <c r="G182" s="14">
        <v>0.55000000000000004</v>
      </c>
      <c r="H182" s="3">
        <v>31</v>
      </c>
      <c r="I182" s="3">
        <v>37</v>
      </c>
      <c r="J182" s="3">
        <v>6</v>
      </c>
      <c r="K182" s="3">
        <v>2</v>
      </c>
      <c r="L182" s="3">
        <v>4</v>
      </c>
      <c r="M182" s="3">
        <v>2</v>
      </c>
      <c r="N182" s="3">
        <v>8</v>
      </c>
      <c r="O182" s="3">
        <v>1896</v>
      </c>
      <c r="P182" s="3">
        <v>3172</v>
      </c>
      <c r="Q182" s="3">
        <v>2548.5</v>
      </c>
      <c r="R182" s="3">
        <v>3489</v>
      </c>
      <c r="S182" s="14">
        <v>0.64</v>
      </c>
      <c r="T182" s="14">
        <v>0.6</v>
      </c>
      <c r="U182" s="14">
        <v>0.98</v>
      </c>
      <c r="V182" s="14">
        <v>0.02</v>
      </c>
      <c r="W182" s="14">
        <v>0.45</v>
      </c>
      <c r="X182" s="14">
        <v>0.52800000000000002</v>
      </c>
      <c r="Y182" s="14">
        <v>0.83</v>
      </c>
      <c r="Z182">
        <v>100</v>
      </c>
      <c r="AA182">
        <v>60</v>
      </c>
      <c r="AB182">
        <v>42</v>
      </c>
      <c r="AC182" s="4">
        <f t="shared" si="5"/>
        <v>0.60266666666666657</v>
      </c>
      <c r="AD182" s="25"/>
      <c r="AE182" s="3"/>
      <c r="AF182" s="3"/>
    </row>
    <row r="183" spans="1:32" x14ac:dyDescent="0.25">
      <c r="A183" s="20">
        <v>45839</v>
      </c>
      <c r="B183" s="3" t="s">
        <v>59</v>
      </c>
      <c r="C183" s="3">
        <f t="shared" si="4"/>
        <v>1</v>
      </c>
      <c r="D183" t="s">
        <v>67</v>
      </c>
      <c r="E183" s="14">
        <v>0.8</v>
      </c>
      <c r="F183" s="14">
        <v>0.48</v>
      </c>
      <c r="G183" s="14">
        <v>0.7</v>
      </c>
      <c r="H183" s="3">
        <v>25</v>
      </c>
      <c r="I183" s="3">
        <v>30</v>
      </c>
      <c r="J183" s="3">
        <v>6</v>
      </c>
      <c r="K183" s="3">
        <v>9</v>
      </c>
      <c r="L183" s="3">
        <v>9</v>
      </c>
      <c r="M183" s="3">
        <v>7</v>
      </c>
      <c r="N183" s="3">
        <v>1</v>
      </c>
      <c r="O183" s="3">
        <v>2868</v>
      </c>
      <c r="P183" s="3">
        <v>1857</v>
      </c>
      <c r="Q183" s="3">
        <v>1611</v>
      </c>
      <c r="R183" s="3">
        <v>3633</v>
      </c>
      <c r="S183" s="14">
        <v>0.99</v>
      </c>
      <c r="T183" s="14">
        <v>0.28000000000000003</v>
      </c>
      <c r="U183" s="14">
        <v>0.59</v>
      </c>
      <c r="V183" s="14">
        <v>0.08</v>
      </c>
      <c r="W183" s="14">
        <v>0.9</v>
      </c>
      <c r="X183" s="14">
        <v>0.75239999999999996</v>
      </c>
      <c r="Y183" s="14">
        <v>0.55000000000000004</v>
      </c>
      <c r="Z183">
        <v>85</v>
      </c>
      <c r="AA183">
        <v>80</v>
      </c>
      <c r="AB183">
        <v>29</v>
      </c>
      <c r="AC183" s="4">
        <f t="shared" si="5"/>
        <v>0.7341333333333333</v>
      </c>
      <c r="AD183" s="25"/>
      <c r="AE183" s="3"/>
      <c r="AF183" s="3"/>
    </row>
    <row r="184" spans="1:32" x14ac:dyDescent="0.25">
      <c r="A184" s="20">
        <v>45840</v>
      </c>
      <c r="B184" s="3" t="s">
        <v>59</v>
      </c>
      <c r="C184" s="3">
        <f t="shared" si="4"/>
        <v>1</v>
      </c>
      <c r="D184" t="s">
        <v>68</v>
      </c>
      <c r="E184" s="14">
        <v>0.89</v>
      </c>
      <c r="F184" s="14">
        <v>0.89</v>
      </c>
      <c r="G184" s="14">
        <v>0.88</v>
      </c>
      <c r="H184" s="3">
        <v>28</v>
      </c>
      <c r="I184" s="3">
        <v>19</v>
      </c>
      <c r="J184" s="3">
        <v>7</v>
      </c>
      <c r="K184" s="3">
        <v>3</v>
      </c>
      <c r="L184" s="3">
        <v>11</v>
      </c>
      <c r="M184" s="3">
        <v>12</v>
      </c>
      <c r="N184" s="3">
        <v>12</v>
      </c>
      <c r="O184" s="3">
        <v>795</v>
      </c>
      <c r="P184" s="3">
        <v>2145</v>
      </c>
      <c r="Q184" s="3">
        <v>996</v>
      </c>
      <c r="R184" s="3">
        <v>2359</v>
      </c>
      <c r="S184" s="14">
        <v>1.2</v>
      </c>
      <c r="T184" s="14">
        <v>0.91</v>
      </c>
      <c r="U184" s="14">
        <v>0.99</v>
      </c>
      <c r="V184" s="14">
        <v>0.09</v>
      </c>
      <c r="W184" s="14">
        <v>0.54</v>
      </c>
      <c r="X184" s="14">
        <v>0.64680000000000004</v>
      </c>
      <c r="Y184" s="14">
        <v>0.43</v>
      </c>
      <c r="Z184">
        <v>91</v>
      </c>
      <c r="AA184">
        <v>50</v>
      </c>
      <c r="AB184">
        <v>42</v>
      </c>
      <c r="AC184" s="4">
        <f t="shared" si="5"/>
        <v>0.53893333333333338</v>
      </c>
      <c r="AD184" s="25"/>
      <c r="AE184" s="3"/>
      <c r="AF184" s="3"/>
    </row>
    <row r="185" spans="1:32" x14ac:dyDescent="0.25">
      <c r="A185" s="20">
        <v>45841</v>
      </c>
      <c r="B185" s="3" t="s">
        <v>59</v>
      </c>
      <c r="C185" s="3">
        <f t="shared" si="4"/>
        <v>1</v>
      </c>
      <c r="D185" t="s">
        <v>69</v>
      </c>
      <c r="E185" s="14">
        <v>0.71</v>
      </c>
      <c r="F185" s="14">
        <v>0.88</v>
      </c>
      <c r="G185" s="14">
        <v>0.85</v>
      </c>
      <c r="H185" s="3">
        <v>15</v>
      </c>
      <c r="I185" s="3">
        <v>31</v>
      </c>
      <c r="J185" s="3">
        <v>11</v>
      </c>
      <c r="K185" s="3">
        <v>8</v>
      </c>
      <c r="L185" s="3">
        <v>4</v>
      </c>
      <c r="M185" s="3">
        <v>3</v>
      </c>
      <c r="N185" s="3">
        <v>2</v>
      </c>
      <c r="O185" s="3">
        <v>1305</v>
      </c>
      <c r="P185" s="3">
        <v>1181</v>
      </c>
      <c r="Q185" s="3">
        <v>186</v>
      </c>
      <c r="R185" s="3">
        <v>2071</v>
      </c>
      <c r="S185" s="14">
        <v>0.78</v>
      </c>
      <c r="T185" s="14">
        <v>0.31</v>
      </c>
      <c r="U185" s="14">
        <v>0.75</v>
      </c>
      <c r="V185" s="14">
        <v>0.04</v>
      </c>
      <c r="W185" s="14">
        <v>0.63</v>
      </c>
      <c r="X185" s="14">
        <v>0.76560000000000006</v>
      </c>
      <c r="Y185" s="14">
        <v>0.69</v>
      </c>
      <c r="Z185">
        <v>92</v>
      </c>
      <c r="AA185">
        <v>53</v>
      </c>
      <c r="AB185">
        <v>43</v>
      </c>
      <c r="AC185" s="4">
        <f t="shared" si="5"/>
        <v>0.69519999999999993</v>
      </c>
      <c r="AD185" s="25"/>
      <c r="AE185" s="3"/>
      <c r="AF185" s="3"/>
    </row>
    <row r="186" spans="1:32" x14ac:dyDescent="0.25">
      <c r="A186" s="20">
        <v>45842</v>
      </c>
      <c r="B186" s="3" t="s">
        <v>59</v>
      </c>
      <c r="C186" s="3">
        <f t="shared" si="4"/>
        <v>1</v>
      </c>
      <c r="D186" t="s">
        <v>70</v>
      </c>
      <c r="E186" s="14">
        <v>0.63</v>
      </c>
      <c r="F186" s="14">
        <v>0.8</v>
      </c>
      <c r="G186" s="14">
        <v>0.73</v>
      </c>
      <c r="H186" s="3">
        <v>21</v>
      </c>
      <c r="I186" s="3">
        <v>25</v>
      </c>
      <c r="J186" s="3">
        <v>6</v>
      </c>
      <c r="K186" s="3">
        <v>8</v>
      </c>
      <c r="L186" s="3">
        <v>2</v>
      </c>
      <c r="M186" s="3">
        <v>7</v>
      </c>
      <c r="N186" s="3">
        <v>2</v>
      </c>
      <c r="O186" s="3">
        <v>2863</v>
      </c>
      <c r="P186" s="3">
        <v>852</v>
      </c>
      <c r="Q186" s="3">
        <v>670.5</v>
      </c>
      <c r="R186" s="3">
        <v>3818</v>
      </c>
      <c r="S186" s="14">
        <v>0.95</v>
      </c>
      <c r="T186" s="14">
        <v>0.25</v>
      </c>
      <c r="U186" s="14">
        <v>0.8</v>
      </c>
      <c r="V186" s="14">
        <v>0.03</v>
      </c>
      <c r="W186" s="14">
        <v>0.45</v>
      </c>
      <c r="X186" s="14">
        <v>0.75239999999999996</v>
      </c>
      <c r="Y186" s="14">
        <v>0.66</v>
      </c>
      <c r="Z186">
        <v>80</v>
      </c>
      <c r="AA186">
        <v>72</v>
      </c>
      <c r="AB186">
        <v>41</v>
      </c>
      <c r="AC186" s="4">
        <f t="shared" si="5"/>
        <v>0.62080000000000002</v>
      </c>
      <c r="AD186" s="25"/>
      <c r="AE186" s="3"/>
      <c r="AF186" s="3"/>
    </row>
    <row r="187" spans="1:32" x14ac:dyDescent="0.25">
      <c r="A187" s="20">
        <v>45843</v>
      </c>
      <c r="B187" s="3" t="s">
        <v>59</v>
      </c>
      <c r="C187" s="3">
        <f t="shared" si="4"/>
        <v>1</v>
      </c>
      <c r="D187" t="s">
        <v>51</v>
      </c>
      <c r="E187" s="14">
        <v>0.28999999999999998</v>
      </c>
      <c r="F187" s="14">
        <v>0.8</v>
      </c>
      <c r="G187" s="14">
        <v>0.6</v>
      </c>
      <c r="H187" s="3">
        <v>17</v>
      </c>
      <c r="I187" s="3">
        <v>38</v>
      </c>
      <c r="J187" s="3">
        <v>3</v>
      </c>
      <c r="K187" s="3">
        <v>8</v>
      </c>
      <c r="L187" s="3">
        <v>7</v>
      </c>
      <c r="M187" s="3">
        <v>5</v>
      </c>
      <c r="N187" s="3">
        <v>2</v>
      </c>
      <c r="O187" s="3">
        <v>192</v>
      </c>
      <c r="P187" s="3">
        <v>2920</v>
      </c>
      <c r="Q187" s="3">
        <v>2328</v>
      </c>
      <c r="R187" s="3">
        <v>3212</v>
      </c>
      <c r="S187" s="14">
        <v>0.81</v>
      </c>
      <c r="T187" s="14">
        <v>0.34</v>
      </c>
      <c r="U187" s="14">
        <v>0.64</v>
      </c>
      <c r="V187" s="14">
        <v>0.06</v>
      </c>
      <c r="W187" s="14">
        <v>0.36450000000000005</v>
      </c>
      <c r="X187" s="14">
        <v>0.42174000000000006</v>
      </c>
      <c r="Y187" s="14">
        <v>0.189</v>
      </c>
      <c r="Z187">
        <v>86</v>
      </c>
      <c r="AA187">
        <v>51</v>
      </c>
      <c r="AB187">
        <v>36</v>
      </c>
      <c r="AC187" s="4">
        <f t="shared" si="5"/>
        <v>0.32508000000000004</v>
      </c>
      <c r="AD187" s="25"/>
      <c r="AE187" s="3"/>
      <c r="AF187" s="3"/>
    </row>
    <row r="188" spans="1:32" x14ac:dyDescent="0.25">
      <c r="A188" s="20">
        <v>45844</v>
      </c>
      <c r="B188" s="3" t="s">
        <v>59</v>
      </c>
      <c r="C188" s="3">
        <f t="shared" si="4"/>
        <v>1</v>
      </c>
      <c r="D188" t="s">
        <v>65</v>
      </c>
      <c r="E188" s="14">
        <v>0.38</v>
      </c>
      <c r="F188" s="14">
        <v>0.67</v>
      </c>
      <c r="G188" s="14">
        <v>0.63</v>
      </c>
      <c r="H188" s="3">
        <v>26</v>
      </c>
      <c r="I188" s="3">
        <v>36</v>
      </c>
      <c r="J188" s="3">
        <v>5</v>
      </c>
      <c r="K188" s="3">
        <v>4</v>
      </c>
      <c r="L188" s="3">
        <v>3</v>
      </c>
      <c r="M188" s="3">
        <v>4</v>
      </c>
      <c r="N188" s="3">
        <v>4</v>
      </c>
      <c r="O188" s="3">
        <v>3157</v>
      </c>
      <c r="P188" s="3">
        <v>2981</v>
      </c>
      <c r="Q188" s="3">
        <v>1552.5</v>
      </c>
      <c r="R188" s="3">
        <v>4041</v>
      </c>
      <c r="S188" s="14">
        <v>1</v>
      </c>
      <c r="T188" s="14">
        <v>0.85</v>
      </c>
      <c r="U188" s="14">
        <v>0.18</v>
      </c>
      <c r="V188" s="14">
        <v>0.03</v>
      </c>
      <c r="W188" s="14">
        <v>0.34650000000000003</v>
      </c>
      <c r="X188" s="14">
        <v>0.26136000000000004</v>
      </c>
      <c r="Y188" s="14">
        <v>0.32400000000000001</v>
      </c>
      <c r="Z188">
        <v>78</v>
      </c>
      <c r="AA188">
        <v>50</v>
      </c>
      <c r="AB188">
        <v>44</v>
      </c>
      <c r="AC188" s="4">
        <f t="shared" si="5"/>
        <v>0.31062000000000006</v>
      </c>
      <c r="AD188" s="25"/>
      <c r="AE188" s="3"/>
      <c r="AF188" s="3"/>
    </row>
    <row r="189" spans="1:32" x14ac:dyDescent="0.25">
      <c r="A189" s="20">
        <v>45845</v>
      </c>
      <c r="B189" s="3" t="s">
        <v>59</v>
      </c>
      <c r="C189" s="3">
        <f t="shared" si="4"/>
        <v>2</v>
      </c>
      <c r="D189" t="s">
        <v>66</v>
      </c>
      <c r="E189" s="14">
        <v>0.79</v>
      </c>
      <c r="F189" s="14">
        <v>0.6</v>
      </c>
      <c r="G189" s="14">
        <v>0.48</v>
      </c>
      <c r="H189" s="3">
        <v>25</v>
      </c>
      <c r="I189" s="3">
        <v>7</v>
      </c>
      <c r="J189" s="3">
        <v>4</v>
      </c>
      <c r="K189" s="3">
        <v>2</v>
      </c>
      <c r="L189" s="3">
        <v>2</v>
      </c>
      <c r="M189" s="3">
        <v>4</v>
      </c>
      <c r="N189" s="3">
        <v>11</v>
      </c>
      <c r="O189" s="3">
        <v>2832</v>
      </c>
      <c r="P189" s="3">
        <v>1527</v>
      </c>
      <c r="Q189" s="3">
        <v>2169</v>
      </c>
      <c r="R189" s="3">
        <v>3360</v>
      </c>
      <c r="S189" s="14">
        <v>0.72</v>
      </c>
      <c r="T189" s="14">
        <v>1.1599999999999999</v>
      </c>
      <c r="U189" s="14">
        <v>0.88</v>
      </c>
      <c r="V189" s="14">
        <v>0.08</v>
      </c>
      <c r="W189" s="14">
        <v>0.8</v>
      </c>
      <c r="X189" s="14">
        <v>0.73920000000000008</v>
      </c>
      <c r="Y189" s="14">
        <v>0.63</v>
      </c>
      <c r="Z189">
        <v>94</v>
      </c>
      <c r="AA189">
        <v>75</v>
      </c>
      <c r="AB189">
        <v>45</v>
      </c>
      <c r="AC189" s="4">
        <f t="shared" si="5"/>
        <v>0.72306666666666664</v>
      </c>
      <c r="AD189" s="25"/>
      <c r="AE189" s="3"/>
      <c r="AF189" s="3"/>
    </row>
    <row r="190" spans="1:32" x14ac:dyDescent="0.25">
      <c r="A190" s="20">
        <v>45846</v>
      </c>
      <c r="B190" s="3" t="s">
        <v>59</v>
      </c>
      <c r="C190" s="3">
        <f t="shared" si="4"/>
        <v>2</v>
      </c>
      <c r="D190" t="s">
        <v>67</v>
      </c>
      <c r="E190" s="14">
        <v>0.95</v>
      </c>
      <c r="F190" s="14">
        <v>0.55000000000000004</v>
      </c>
      <c r="G190" s="14">
        <v>0.54</v>
      </c>
      <c r="H190" s="3">
        <v>16</v>
      </c>
      <c r="I190" s="3">
        <v>8</v>
      </c>
      <c r="J190" s="3">
        <v>12</v>
      </c>
      <c r="K190" s="3">
        <v>12</v>
      </c>
      <c r="L190" s="3">
        <v>2</v>
      </c>
      <c r="M190" s="3">
        <v>11</v>
      </c>
      <c r="N190" s="3">
        <v>5</v>
      </c>
      <c r="O190" s="3">
        <v>1975</v>
      </c>
      <c r="P190" s="3">
        <v>220</v>
      </c>
      <c r="Q190" s="3">
        <v>1.5</v>
      </c>
      <c r="R190" s="3">
        <v>2792</v>
      </c>
      <c r="S190" s="14">
        <v>0.93</v>
      </c>
      <c r="T190" s="14">
        <v>0.82</v>
      </c>
      <c r="U190" s="14">
        <v>0.28999999999999998</v>
      </c>
      <c r="V190" s="14">
        <v>0.01</v>
      </c>
      <c r="W190" s="14">
        <v>0.8</v>
      </c>
      <c r="X190" s="14">
        <v>0.39600000000000002</v>
      </c>
      <c r="Y190" s="14">
        <v>0.75</v>
      </c>
      <c r="Z190">
        <v>94</v>
      </c>
      <c r="AA190">
        <v>54</v>
      </c>
      <c r="AB190">
        <v>24</v>
      </c>
      <c r="AC190" s="4">
        <f t="shared" si="5"/>
        <v>0.64866666666666672</v>
      </c>
      <c r="AD190" s="25"/>
      <c r="AE190" s="3"/>
      <c r="AF190" s="3"/>
    </row>
    <row r="191" spans="1:32" x14ac:dyDescent="0.25">
      <c r="A191" s="20">
        <v>45847</v>
      </c>
      <c r="B191" s="3" t="s">
        <v>59</v>
      </c>
      <c r="C191" s="3">
        <f t="shared" si="4"/>
        <v>2</v>
      </c>
      <c r="D191" t="s">
        <v>68</v>
      </c>
      <c r="E191" s="14">
        <v>0.75</v>
      </c>
      <c r="F191" s="14">
        <v>0.56000000000000005</v>
      </c>
      <c r="G191" s="14">
        <v>0.54</v>
      </c>
      <c r="H191" s="3">
        <v>8</v>
      </c>
      <c r="I191" s="3">
        <v>27</v>
      </c>
      <c r="J191" s="3">
        <v>6</v>
      </c>
      <c r="K191" s="3">
        <v>4</v>
      </c>
      <c r="L191" s="3">
        <v>2</v>
      </c>
      <c r="M191" s="3">
        <v>7</v>
      </c>
      <c r="N191" s="3">
        <v>4</v>
      </c>
      <c r="O191" s="3">
        <v>651</v>
      </c>
      <c r="P191" s="3">
        <v>673</v>
      </c>
      <c r="Q191" s="3">
        <v>2502</v>
      </c>
      <c r="R191" s="3">
        <v>2752</v>
      </c>
      <c r="S191" s="14">
        <v>0.54</v>
      </c>
      <c r="T191" s="14">
        <v>0.33</v>
      </c>
      <c r="U191" s="14">
        <v>0.24</v>
      </c>
      <c r="V191" s="14">
        <v>0.01</v>
      </c>
      <c r="W191" s="14">
        <v>0.5</v>
      </c>
      <c r="X191" s="14">
        <v>0.69960000000000011</v>
      </c>
      <c r="Y191" s="14">
        <v>0.68</v>
      </c>
      <c r="Z191">
        <v>90</v>
      </c>
      <c r="AA191">
        <v>73</v>
      </c>
      <c r="AB191">
        <v>11</v>
      </c>
      <c r="AC191" s="4">
        <f t="shared" si="5"/>
        <v>0.6265333333333335</v>
      </c>
      <c r="AD191" s="25"/>
      <c r="AE191" s="3"/>
      <c r="AF191" s="3"/>
    </row>
    <row r="192" spans="1:32" x14ac:dyDescent="0.25">
      <c r="A192" s="20">
        <v>45848</v>
      </c>
      <c r="B192" s="3" t="s">
        <v>59</v>
      </c>
      <c r="C192" s="3">
        <f t="shared" si="4"/>
        <v>2</v>
      </c>
      <c r="D192" t="s">
        <v>69</v>
      </c>
      <c r="E192" s="14">
        <v>0.76</v>
      </c>
      <c r="F192" s="14">
        <v>0.67</v>
      </c>
      <c r="G192" s="14">
        <v>0.5</v>
      </c>
      <c r="H192" s="3">
        <v>13</v>
      </c>
      <c r="I192" s="3">
        <v>11</v>
      </c>
      <c r="J192" s="3">
        <v>6</v>
      </c>
      <c r="K192" s="3">
        <v>7</v>
      </c>
      <c r="L192" s="3">
        <v>8</v>
      </c>
      <c r="M192" s="3">
        <v>12</v>
      </c>
      <c r="N192" s="3">
        <v>2</v>
      </c>
      <c r="O192" s="3">
        <v>3666</v>
      </c>
      <c r="P192" s="3">
        <v>2335</v>
      </c>
      <c r="Q192" s="3">
        <v>2115</v>
      </c>
      <c r="R192" s="3">
        <v>3763</v>
      </c>
      <c r="S192" s="14">
        <v>1.1299999999999999</v>
      </c>
      <c r="T192" s="14">
        <v>0.79</v>
      </c>
      <c r="U192" s="14">
        <v>0.57999999999999996</v>
      </c>
      <c r="V192" s="14">
        <v>0.02</v>
      </c>
      <c r="W192" s="14">
        <v>0.71</v>
      </c>
      <c r="X192" s="14">
        <v>0.80520000000000003</v>
      </c>
      <c r="Y192" s="14">
        <v>0.44</v>
      </c>
      <c r="Z192">
        <v>79</v>
      </c>
      <c r="AA192">
        <v>68</v>
      </c>
      <c r="AB192">
        <v>35</v>
      </c>
      <c r="AC192" s="4">
        <f t="shared" si="5"/>
        <v>0.65173333333333339</v>
      </c>
      <c r="AD192" s="25"/>
      <c r="AE192" s="3"/>
      <c r="AF192" s="3"/>
    </row>
    <row r="193" spans="1:32" x14ac:dyDescent="0.25">
      <c r="A193" s="20">
        <v>45849</v>
      </c>
      <c r="B193" s="3" t="s">
        <v>59</v>
      </c>
      <c r="C193" s="3">
        <f t="shared" si="4"/>
        <v>2</v>
      </c>
      <c r="D193" t="s">
        <v>70</v>
      </c>
      <c r="E193" s="14">
        <v>0.77</v>
      </c>
      <c r="F193" s="14">
        <v>0.44</v>
      </c>
      <c r="G193" s="14">
        <v>0.69</v>
      </c>
      <c r="H193" s="3">
        <v>10</v>
      </c>
      <c r="I193" s="3">
        <v>11</v>
      </c>
      <c r="J193" s="3">
        <v>2</v>
      </c>
      <c r="K193" s="3">
        <v>7</v>
      </c>
      <c r="L193" s="3">
        <v>2</v>
      </c>
      <c r="M193" s="3">
        <v>4</v>
      </c>
      <c r="N193" s="3">
        <v>7</v>
      </c>
      <c r="O193" s="3">
        <v>1421</v>
      </c>
      <c r="P193" s="3">
        <v>1625</v>
      </c>
      <c r="Q193" s="3">
        <v>2481</v>
      </c>
      <c r="R193" s="3">
        <v>2729</v>
      </c>
      <c r="S193" s="14">
        <v>0.68</v>
      </c>
      <c r="T193" s="14">
        <v>0.35</v>
      </c>
      <c r="U193" s="14">
        <v>0.5</v>
      </c>
      <c r="V193" s="14">
        <v>0.03</v>
      </c>
      <c r="W193" s="14">
        <v>0.84</v>
      </c>
      <c r="X193" s="14">
        <v>0.76560000000000006</v>
      </c>
      <c r="Y193" s="14">
        <v>0.43</v>
      </c>
      <c r="Z193">
        <v>91</v>
      </c>
      <c r="AA193">
        <v>55</v>
      </c>
      <c r="AB193">
        <v>45</v>
      </c>
      <c r="AC193" s="4">
        <f t="shared" si="5"/>
        <v>0.67853333333333332</v>
      </c>
      <c r="AD193" s="25"/>
      <c r="AE193" s="3"/>
      <c r="AF193" s="3"/>
    </row>
    <row r="194" spans="1:32" x14ac:dyDescent="0.25">
      <c r="A194" s="20">
        <v>45850</v>
      </c>
      <c r="B194" s="3" t="s">
        <v>59</v>
      </c>
      <c r="C194" s="3">
        <f t="shared" si="4"/>
        <v>2</v>
      </c>
      <c r="D194" t="s">
        <v>51</v>
      </c>
      <c r="E194" s="14">
        <v>0.11</v>
      </c>
      <c r="F194" s="14">
        <v>0.85</v>
      </c>
      <c r="G194" s="14">
        <v>0.89</v>
      </c>
      <c r="H194" s="3">
        <v>14</v>
      </c>
      <c r="I194" s="3">
        <v>8</v>
      </c>
      <c r="J194" s="3">
        <v>2</v>
      </c>
      <c r="K194" s="3">
        <v>8</v>
      </c>
      <c r="L194" s="3">
        <v>5</v>
      </c>
      <c r="M194" s="3">
        <v>6</v>
      </c>
      <c r="N194" s="3">
        <v>8</v>
      </c>
      <c r="O194" s="3">
        <v>3022</v>
      </c>
      <c r="P194" s="3">
        <v>513</v>
      </c>
      <c r="Q194" s="3">
        <v>172.5</v>
      </c>
      <c r="R194" s="3">
        <v>5239</v>
      </c>
      <c r="S194" s="14">
        <v>0.7</v>
      </c>
      <c r="T194" s="14">
        <v>0.48</v>
      </c>
      <c r="U194" s="14">
        <v>0.16</v>
      </c>
      <c r="V194" s="14">
        <v>7.0000000000000007E-2</v>
      </c>
      <c r="W194" s="14">
        <v>0.3735</v>
      </c>
      <c r="X194" s="14">
        <v>0.26730000000000004</v>
      </c>
      <c r="Y194" s="14">
        <v>0.36899999999999999</v>
      </c>
      <c r="Z194">
        <v>91</v>
      </c>
      <c r="AA194">
        <v>50</v>
      </c>
      <c r="AB194">
        <v>47</v>
      </c>
      <c r="AC194" s="4">
        <f t="shared" si="5"/>
        <v>0.33660000000000001</v>
      </c>
      <c r="AD194" s="25"/>
      <c r="AE194" s="3"/>
      <c r="AF194" s="3"/>
    </row>
    <row r="195" spans="1:32" x14ac:dyDescent="0.25">
      <c r="A195" s="20">
        <v>45851</v>
      </c>
      <c r="B195" s="3" t="s">
        <v>59</v>
      </c>
      <c r="C195" s="3">
        <f t="shared" ref="C195:C258" si="6">WEEKNUM(A195, 2)-WEEKNUM(DATE(YEAR(A195),MONTH(A195),1),2) +1</f>
        <v>2</v>
      </c>
      <c r="D195" t="s">
        <v>65</v>
      </c>
      <c r="E195" s="14">
        <v>0.41</v>
      </c>
      <c r="F195" s="14">
        <v>0.76</v>
      </c>
      <c r="G195" s="14">
        <v>0.56000000000000005</v>
      </c>
      <c r="H195" s="3">
        <v>36</v>
      </c>
      <c r="I195" s="3">
        <v>7</v>
      </c>
      <c r="J195" s="3">
        <v>2</v>
      </c>
      <c r="K195" s="3">
        <v>8</v>
      </c>
      <c r="L195" s="3">
        <v>2</v>
      </c>
      <c r="M195" s="3">
        <v>4</v>
      </c>
      <c r="N195" s="3">
        <v>4</v>
      </c>
      <c r="O195" s="3">
        <v>326</v>
      </c>
      <c r="P195" s="3">
        <v>3006</v>
      </c>
      <c r="Q195" s="3">
        <v>2220</v>
      </c>
      <c r="R195" s="3">
        <v>3306</v>
      </c>
      <c r="S195" s="14">
        <v>0.28999999999999998</v>
      </c>
      <c r="T195" s="14">
        <v>1.04</v>
      </c>
      <c r="U195" s="14">
        <v>0.66</v>
      </c>
      <c r="V195" s="14">
        <v>0.02</v>
      </c>
      <c r="W195" s="14">
        <v>0.24750000000000003</v>
      </c>
      <c r="X195" s="14">
        <v>0.30293999999999999</v>
      </c>
      <c r="Y195" s="14">
        <v>0.38250000000000001</v>
      </c>
      <c r="Z195">
        <v>81</v>
      </c>
      <c r="AA195">
        <v>78</v>
      </c>
      <c r="AB195">
        <v>41</v>
      </c>
      <c r="AC195" s="4">
        <f t="shared" ref="AC195:AC258" si="7">AVERAGE(W195:Y195)</f>
        <v>0.31098000000000003</v>
      </c>
      <c r="AD195" s="25"/>
      <c r="AE195" s="3"/>
      <c r="AF195" s="3"/>
    </row>
    <row r="196" spans="1:32" x14ac:dyDescent="0.25">
      <c r="A196" s="20">
        <v>45852</v>
      </c>
      <c r="B196" s="3" t="s">
        <v>59</v>
      </c>
      <c r="C196" s="3">
        <f t="shared" si="6"/>
        <v>3</v>
      </c>
      <c r="D196" t="s">
        <v>66</v>
      </c>
      <c r="E196" s="14">
        <v>0.71</v>
      </c>
      <c r="F196" s="14">
        <v>0.42</v>
      </c>
      <c r="G196" s="14">
        <v>0.59</v>
      </c>
      <c r="H196" s="3">
        <v>38</v>
      </c>
      <c r="I196" s="3">
        <v>18</v>
      </c>
      <c r="J196" s="3">
        <v>8</v>
      </c>
      <c r="K196" s="3">
        <v>7</v>
      </c>
      <c r="L196" s="3">
        <v>2</v>
      </c>
      <c r="M196" s="3">
        <v>8</v>
      </c>
      <c r="N196" s="3">
        <v>5</v>
      </c>
      <c r="O196" s="3">
        <v>1129</v>
      </c>
      <c r="P196" s="3">
        <v>1042</v>
      </c>
      <c r="Q196" s="3">
        <v>2242.5</v>
      </c>
      <c r="R196" s="3">
        <v>2466</v>
      </c>
      <c r="S196" s="14">
        <v>0.37</v>
      </c>
      <c r="T196" s="14">
        <v>0.8</v>
      </c>
      <c r="U196" s="14">
        <v>1.05</v>
      </c>
      <c r="V196" s="14">
        <v>0.04</v>
      </c>
      <c r="W196" s="14">
        <v>0.52</v>
      </c>
      <c r="X196" s="14">
        <v>0.92400000000000004</v>
      </c>
      <c r="Y196" s="14">
        <v>0.54</v>
      </c>
      <c r="Z196">
        <v>97</v>
      </c>
      <c r="AA196">
        <v>63</v>
      </c>
      <c r="AB196">
        <v>29</v>
      </c>
      <c r="AC196" s="4">
        <f t="shared" si="7"/>
        <v>0.66133333333333333</v>
      </c>
      <c r="AD196" s="25"/>
      <c r="AE196" s="3"/>
      <c r="AF196" s="3"/>
    </row>
    <row r="197" spans="1:32" x14ac:dyDescent="0.25">
      <c r="A197" s="20">
        <v>45853</v>
      </c>
      <c r="B197" s="3" t="s">
        <v>59</v>
      </c>
      <c r="C197" s="3">
        <f t="shared" si="6"/>
        <v>3</v>
      </c>
      <c r="D197" t="s">
        <v>67</v>
      </c>
      <c r="E197" s="14">
        <v>0.96</v>
      </c>
      <c r="F197" s="14">
        <v>0.45</v>
      </c>
      <c r="G197" s="14">
        <v>0.46</v>
      </c>
      <c r="H197" s="3">
        <v>40</v>
      </c>
      <c r="I197" s="3">
        <v>30</v>
      </c>
      <c r="J197" s="3">
        <v>9</v>
      </c>
      <c r="K197" s="3">
        <v>3</v>
      </c>
      <c r="L197" s="3">
        <v>8</v>
      </c>
      <c r="M197" s="3">
        <v>9</v>
      </c>
      <c r="N197" s="3">
        <v>5</v>
      </c>
      <c r="O197" s="3">
        <v>1430</v>
      </c>
      <c r="P197" s="3">
        <v>1278</v>
      </c>
      <c r="Q197" s="3">
        <v>2650.5</v>
      </c>
      <c r="R197" s="3">
        <v>2915</v>
      </c>
      <c r="S197" s="14">
        <v>1.21</v>
      </c>
      <c r="T197" s="14">
        <v>1.02</v>
      </c>
      <c r="U197" s="14">
        <v>0.6</v>
      </c>
      <c r="V197" s="14">
        <v>0.05</v>
      </c>
      <c r="W197" s="14">
        <v>0.76</v>
      </c>
      <c r="X197" s="14">
        <v>0.77880000000000005</v>
      </c>
      <c r="Y197" s="14">
        <v>0.55000000000000004</v>
      </c>
      <c r="Z197">
        <v>86</v>
      </c>
      <c r="AA197">
        <v>51</v>
      </c>
      <c r="AB197">
        <v>29</v>
      </c>
      <c r="AC197" s="4">
        <f t="shared" si="7"/>
        <v>0.6962666666666667</v>
      </c>
      <c r="AD197" s="25"/>
      <c r="AE197" s="3"/>
      <c r="AF197" s="3"/>
    </row>
    <row r="198" spans="1:32" x14ac:dyDescent="0.25">
      <c r="A198" s="20">
        <v>45854</v>
      </c>
      <c r="B198" s="3" t="s">
        <v>59</v>
      </c>
      <c r="C198" s="3">
        <f t="shared" si="6"/>
        <v>3</v>
      </c>
      <c r="D198" t="s">
        <v>68</v>
      </c>
      <c r="E198" s="14">
        <v>0.74</v>
      </c>
      <c r="F198" s="14">
        <v>0.67</v>
      </c>
      <c r="G198" s="14">
        <v>0.64</v>
      </c>
      <c r="H198" s="3">
        <v>22</v>
      </c>
      <c r="I198" s="3">
        <v>18</v>
      </c>
      <c r="J198" s="3">
        <v>7</v>
      </c>
      <c r="K198" s="3">
        <v>9</v>
      </c>
      <c r="L198" s="3">
        <v>2</v>
      </c>
      <c r="M198" s="3">
        <v>2</v>
      </c>
      <c r="N198" s="3">
        <v>11</v>
      </c>
      <c r="O198" s="3">
        <v>2538</v>
      </c>
      <c r="P198" s="3">
        <v>2409</v>
      </c>
      <c r="Q198" s="3">
        <v>771</v>
      </c>
      <c r="R198" s="3">
        <v>4637</v>
      </c>
      <c r="S198" s="14">
        <v>1.18</v>
      </c>
      <c r="T198" s="14">
        <v>0.51</v>
      </c>
      <c r="U198" s="14">
        <v>0.59</v>
      </c>
      <c r="V198" s="14">
        <v>0.08</v>
      </c>
      <c r="W198" s="14">
        <v>0.89</v>
      </c>
      <c r="X198" s="14">
        <v>0.96360000000000012</v>
      </c>
      <c r="Y198" s="14">
        <v>0.45</v>
      </c>
      <c r="Z198">
        <v>78</v>
      </c>
      <c r="AA198">
        <v>65</v>
      </c>
      <c r="AB198">
        <v>28</v>
      </c>
      <c r="AC198" s="4">
        <f t="shared" si="7"/>
        <v>0.76786666666666681</v>
      </c>
      <c r="AD198" s="25"/>
      <c r="AE198" s="3"/>
      <c r="AF198" s="3"/>
    </row>
    <row r="199" spans="1:32" x14ac:dyDescent="0.25">
      <c r="A199" s="20">
        <v>45855</v>
      </c>
      <c r="B199" s="3" t="s">
        <v>59</v>
      </c>
      <c r="C199" s="3">
        <f t="shared" si="6"/>
        <v>3</v>
      </c>
      <c r="D199" t="s">
        <v>69</v>
      </c>
      <c r="E199" s="14">
        <v>0.89</v>
      </c>
      <c r="F199" s="14">
        <v>0.59</v>
      </c>
      <c r="G199" s="14">
        <v>0.64</v>
      </c>
      <c r="H199" s="3">
        <v>23</v>
      </c>
      <c r="I199" s="3">
        <v>6</v>
      </c>
      <c r="J199" s="3">
        <v>9</v>
      </c>
      <c r="K199" s="3">
        <v>9</v>
      </c>
      <c r="L199" s="3">
        <v>2</v>
      </c>
      <c r="M199" s="3">
        <v>5</v>
      </c>
      <c r="N199" s="3">
        <v>11</v>
      </c>
      <c r="O199" s="3">
        <v>3514</v>
      </c>
      <c r="P199" s="3">
        <v>2210</v>
      </c>
      <c r="Q199" s="3">
        <v>2679</v>
      </c>
      <c r="R199" s="3">
        <v>3889</v>
      </c>
      <c r="S199" s="14">
        <v>0.5</v>
      </c>
      <c r="T199" s="14">
        <v>0.41</v>
      </c>
      <c r="U199" s="14">
        <v>0.3</v>
      </c>
      <c r="V199" s="14">
        <v>0.09</v>
      </c>
      <c r="W199" s="14">
        <v>0.49</v>
      </c>
      <c r="X199" s="14">
        <v>0.80520000000000003</v>
      </c>
      <c r="Y199" s="14">
        <v>0.88</v>
      </c>
      <c r="Z199">
        <v>92</v>
      </c>
      <c r="AA199">
        <v>54</v>
      </c>
      <c r="AB199">
        <v>40</v>
      </c>
      <c r="AC199" s="4">
        <f t="shared" si="7"/>
        <v>0.72506666666666664</v>
      </c>
      <c r="AD199" s="25"/>
      <c r="AE199" s="3"/>
      <c r="AF199" s="3"/>
    </row>
    <row r="200" spans="1:32" x14ac:dyDescent="0.25">
      <c r="A200" s="20">
        <v>45856</v>
      </c>
      <c r="B200" s="3" t="s">
        <v>59</v>
      </c>
      <c r="C200" s="3">
        <f t="shared" si="6"/>
        <v>3</v>
      </c>
      <c r="D200" t="s">
        <v>70</v>
      </c>
      <c r="E200" s="14">
        <v>0.92</v>
      </c>
      <c r="F200" s="14">
        <v>0.56000000000000005</v>
      </c>
      <c r="G200" s="14">
        <v>0.78</v>
      </c>
      <c r="H200" s="3">
        <v>6</v>
      </c>
      <c r="I200" s="3">
        <v>8</v>
      </c>
      <c r="J200" s="3">
        <v>6</v>
      </c>
      <c r="K200" s="3">
        <v>3</v>
      </c>
      <c r="L200" s="3">
        <v>8</v>
      </c>
      <c r="M200" s="3">
        <v>2</v>
      </c>
      <c r="N200" s="3">
        <v>6</v>
      </c>
      <c r="O200" s="3">
        <v>2181</v>
      </c>
      <c r="P200" s="3">
        <v>2788</v>
      </c>
      <c r="Q200" s="3">
        <v>168</v>
      </c>
      <c r="R200" s="3">
        <v>3431</v>
      </c>
      <c r="S200" s="14">
        <v>1.03</v>
      </c>
      <c r="T200" s="14">
        <v>1.04</v>
      </c>
      <c r="U200" s="14">
        <v>0.32</v>
      </c>
      <c r="V200" s="14">
        <v>0.04</v>
      </c>
      <c r="W200" s="14">
        <v>0.48</v>
      </c>
      <c r="X200" s="14">
        <v>0.47520000000000001</v>
      </c>
      <c r="Y200" s="14">
        <v>0.45</v>
      </c>
      <c r="Z200">
        <v>91</v>
      </c>
      <c r="AA200">
        <v>74</v>
      </c>
      <c r="AB200">
        <v>26</v>
      </c>
      <c r="AC200" s="4">
        <f t="shared" si="7"/>
        <v>0.46839999999999998</v>
      </c>
      <c r="AD200" s="25"/>
      <c r="AE200" s="3"/>
      <c r="AF200" s="3"/>
    </row>
    <row r="201" spans="1:32" x14ac:dyDescent="0.25">
      <c r="A201" s="20">
        <v>45857</v>
      </c>
      <c r="B201" s="3" t="s">
        <v>59</v>
      </c>
      <c r="C201" s="3">
        <f t="shared" si="6"/>
        <v>3</v>
      </c>
      <c r="D201" t="s">
        <v>51</v>
      </c>
      <c r="E201" s="14">
        <v>0.46</v>
      </c>
      <c r="F201" s="14">
        <v>0.82</v>
      </c>
      <c r="G201" s="14">
        <v>0.54</v>
      </c>
      <c r="H201" s="3">
        <v>31</v>
      </c>
      <c r="I201" s="3">
        <v>11</v>
      </c>
      <c r="J201" s="3">
        <v>1</v>
      </c>
      <c r="K201" s="3">
        <v>3</v>
      </c>
      <c r="L201" s="3">
        <v>3</v>
      </c>
      <c r="M201" s="3">
        <v>3</v>
      </c>
      <c r="N201" s="3">
        <v>7</v>
      </c>
      <c r="O201" s="3">
        <v>1422</v>
      </c>
      <c r="P201" s="3">
        <v>3020</v>
      </c>
      <c r="Q201" s="3">
        <v>2362.5</v>
      </c>
      <c r="R201" s="3">
        <v>3322</v>
      </c>
      <c r="S201" s="14">
        <v>0.16</v>
      </c>
      <c r="T201" s="14">
        <v>1.17</v>
      </c>
      <c r="U201" s="14">
        <v>0.68</v>
      </c>
      <c r="V201" s="14">
        <v>0.04</v>
      </c>
      <c r="W201" s="14">
        <v>0.35550000000000004</v>
      </c>
      <c r="X201" s="14">
        <v>0.40986</v>
      </c>
      <c r="Y201" s="14">
        <v>0.3735</v>
      </c>
      <c r="Z201">
        <v>99</v>
      </c>
      <c r="AA201">
        <v>55</v>
      </c>
      <c r="AB201">
        <v>12</v>
      </c>
      <c r="AC201" s="4">
        <f t="shared" si="7"/>
        <v>0.37962000000000001</v>
      </c>
      <c r="AD201" s="25"/>
      <c r="AE201" s="3"/>
      <c r="AF201" s="3"/>
    </row>
    <row r="202" spans="1:32" x14ac:dyDescent="0.25">
      <c r="A202" s="20">
        <v>45858</v>
      </c>
      <c r="B202" s="3" t="s">
        <v>59</v>
      </c>
      <c r="C202" s="3">
        <f t="shared" si="6"/>
        <v>3</v>
      </c>
      <c r="D202" t="s">
        <v>65</v>
      </c>
      <c r="E202" s="14">
        <v>0.44</v>
      </c>
      <c r="F202" s="14">
        <v>0.5</v>
      </c>
      <c r="G202" s="14">
        <v>0.75</v>
      </c>
      <c r="H202" s="3">
        <v>34</v>
      </c>
      <c r="I202" s="3">
        <v>39</v>
      </c>
      <c r="J202" s="3">
        <v>2</v>
      </c>
      <c r="K202" s="3">
        <v>2</v>
      </c>
      <c r="L202" s="3">
        <v>5</v>
      </c>
      <c r="M202" s="3">
        <v>2</v>
      </c>
      <c r="N202" s="3">
        <v>2</v>
      </c>
      <c r="O202" s="3">
        <v>1962</v>
      </c>
      <c r="P202" s="3">
        <v>2280</v>
      </c>
      <c r="Q202" s="3">
        <v>1548</v>
      </c>
      <c r="R202" s="3">
        <v>2508</v>
      </c>
      <c r="S202" s="14">
        <v>0.43</v>
      </c>
      <c r="T202" s="14">
        <v>0.28999999999999998</v>
      </c>
      <c r="U202" s="14">
        <v>0.9</v>
      </c>
      <c r="V202" s="14">
        <v>0.03</v>
      </c>
      <c r="W202" s="14">
        <v>0.3735</v>
      </c>
      <c r="X202" s="14">
        <v>0.36828000000000005</v>
      </c>
      <c r="Y202" s="14">
        <v>0.17550000000000002</v>
      </c>
      <c r="Z202">
        <v>100</v>
      </c>
      <c r="AA202">
        <v>50</v>
      </c>
      <c r="AB202">
        <v>10</v>
      </c>
      <c r="AC202" s="4">
        <f t="shared" si="7"/>
        <v>0.30576000000000003</v>
      </c>
      <c r="AD202" s="25"/>
      <c r="AE202" s="3"/>
      <c r="AF202" s="3"/>
    </row>
    <row r="203" spans="1:32" x14ac:dyDescent="0.25">
      <c r="A203" s="20">
        <v>45859</v>
      </c>
      <c r="B203" s="3" t="s">
        <v>59</v>
      </c>
      <c r="C203" s="3">
        <f t="shared" si="6"/>
        <v>4</v>
      </c>
      <c r="D203" t="s">
        <v>66</v>
      </c>
      <c r="E203" s="14">
        <v>0.62</v>
      </c>
      <c r="F203" s="14">
        <v>0.56999999999999995</v>
      </c>
      <c r="G203" s="14">
        <v>0.41</v>
      </c>
      <c r="H203" s="3">
        <v>15</v>
      </c>
      <c r="I203" s="3">
        <v>6</v>
      </c>
      <c r="J203" s="3">
        <v>12</v>
      </c>
      <c r="K203" s="3">
        <v>1</v>
      </c>
      <c r="L203" s="3">
        <v>9</v>
      </c>
      <c r="M203" s="3">
        <v>7</v>
      </c>
      <c r="N203" s="3">
        <v>2</v>
      </c>
      <c r="O203" s="3">
        <v>2924</v>
      </c>
      <c r="P203" s="3">
        <v>2367</v>
      </c>
      <c r="Q203" s="3">
        <v>1945.5</v>
      </c>
      <c r="R203" s="3">
        <v>5380</v>
      </c>
      <c r="S203" s="14">
        <v>1.08</v>
      </c>
      <c r="T203" s="14">
        <v>0.84</v>
      </c>
      <c r="U203" s="14">
        <v>0.5</v>
      </c>
      <c r="V203" s="14">
        <v>0.06</v>
      </c>
      <c r="W203" s="14">
        <v>0.62</v>
      </c>
      <c r="X203" s="14">
        <v>0.81840000000000002</v>
      </c>
      <c r="Y203" s="14">
        <v>0.48</v>
      </c>
      <c r="Z203">
        <v>81</v>
      </c>
      <c r="AA203">
        <v>78</v>
      </c>
      <c r="AB203">
        <v>32</v>
      </c>
      <c r="AC203" s="4">
        <f t="shared" si="7"/>
        <v>0.63946666666666674</v>
      </c>
      <c r="AD203" s="25"/>
      <c r="AE203" s="3"/>
      <c r="AF203" s="3"/>
    </row>
    <row r="204" spans="1:32" x14ac:dyDescent="0.25">
      <c r="A204" s="20">
        <v>45860</v>
      </c>
      <c r="B204" s="3" t="s">
        <v>59</v>
      </c>
      <c r="C204" s="3">
        <f t="shared" si="6"/>
        <v>4</v>
      </c>
      <c r="D204" t="s">
        <v>67</v>
      </c>
      <c r="E204" s="14">
        <v>0.92</v>
      </c>
      <c r="F204" s="14">
        <v>0.45</v>
      </c>
      <c r="G204" s="14">
        <v>0.81</v>
      </c>
      <c r="H204" s="3">
        <v>18</v>
      </c>
      <c r="I204" s="3">
        <v>25</v>
      </c>
      <c r="J204" s="3">
        <v>8</v>
      </c>
      <c r="K204" s="3">
        <v>6</v>
      </c>
      <c r="L204" s="3">
        <v>12</v>
      </c>
      <c r="M204" s="3">
        <v>2</v>
      </c>
      <c r="N204" s="3">
        <v>6</v>
      </c>
      <c r="O204" s="3">
        <v>702</v>
      </c>
      <c r="P204" s="3">
        <v>430</v>
      </c>
      <c r="Q204" s="3">
        <v>105</v>
      </c>
      <c r="R204" s="3">
        <v>879</v>
      </c>
      <c r="S204" s="14">
        <v>0.71</v>
      </c>
      <c r="T204" s="14">
        <v>1.1200000000000001</v>
      </c>
      <c r="U204" s="14">
        <v>1.1299999999999999</v>
      </c>
      <c r="V204" s="14">
        <v>0.1</v>
      </c>
      <c r="W204" s="14">
        <v>0.89</v>
      </c>
      <c r="X204" s="14">
        <v>0.42240000000000005</v>
      </c>
      <c r="Y204" s="14">
        <v>0.66</v>
      </c>
      <c r="Z204">
        <v>81</v>
      </c>
      <c r="AA204">
        <v>76</v>
      </c>
      <c r="AB204">
        <v>21</v>
      </c>
      <c r="AC204" s="4">
        <f t="shared" si="7"/>
        <v>0.65746666666666664</v>
      </c>
      <c r="AD204" s="25"/>
      <c r="AE204" s="3"/>
      <c r="AF204" s="3"/>
    </row>
    <row r="205" spans="1:32" x14ac:dyDescent="0.25">
      <c r="A205" s="20">
        <v>45861</v>
      </c>
      <c r="B205" s="3" t="s">
        <v>59</v>
      </c>
      <c r="C205" s="3">
        <f t="shared" si="6"/>
        <v>4</v>
      </c>
      <c r="D205" t="s">
        <v>68</v>
      </c>
      <c r="E205" s="14">
        <v>0.65</v>
      </c>
      <c r="F205" s="14">
        <v>0.45</v>
      </c>
      <c r="G205" s="14">
        <v>0.84</v>
      </c>
      <c r="H205" s="3">
        <v>7</v>
      </c>
      <c r="I205" s="3">
        <v>38</v>
      </c>
      <c r="J205" s="3">
        <v>2</v>
      </c>
      <c r="K205" s="3">
        <v>11</v>
      </c>
      <c r="L205" s="3">
        <v>2</v>
      </c>
      <c r="M205" s="3">
        <v>11</v>
      </c>
      <c r="N205" s="3">
        <v>12</v>
      </c>
      <c r="O205" s="3">
        <v>65</v>
      </c>
      <c r="P205" s="3">
        <v>1310</v>
      </c>
      <c r="Q205" s="3">
        <v>459</v>
      </c>
      <c r="R205" s="3">
        <v>1441</v>
      </c>
      <c r="S205" s="14">
        <v>0.83</v>
      </c>
      <c r="T205" s="14">
        <v>1.17</v>
      </c>
      <c r="U205" s="14">
        <v>1.1399999999999999</v>
      </c>
      <c r="V205" s="14">
        <v>0.04</v>
      </c>
      <c r="W205" s="14">
        <v>0.82</v>
      </c>
      <c r="X205" s="14">
        <v>0.40920000000000001</v>
      </c>
      <c r="Y205" s="14">
        <v>0.72</v>
      </c>
      <c r="Z205">
        <v>96</v>
      </c>
      <c r="AA205">
        <v>63</v>
      </c>
      <c r="AB205">
        <v>38</v>
      </c>
      <c r="AC205" s="4">
        <f t="shared" si="7"/>
        <v>0.64973333333333338</v>
      </c>
      <c r="AD205" s="25"/>
      <c r="AE205" s="3"/>
      <c r="AF205" s="3"/>
    </row>
    <row r="206" spans="1:32" x14ac:dyDescent="0.25">
      <c r="A206" s="20">
        <v>45862</v>
      </c>
      <c r="B206" s="3" t="s">
        <v>59</v>
      </c>
      <c r="C206" s="3">
        <f t="shared" si="6"/>
        <v>4</v>
      </c>
      <c r="D206" t="s">
        <v>69</v>
      </c>
      <c r="E206" s="14">
        <v>0.7</v>
      </c>
      <c r="F206" s="14">
        <v>0.84</v>
      </c>
      <c r="G206" s="14">
        <v>0.9</v>
      </c>
      <c r="H206" s="3">
        <v>10</v>
      </c>
      <c r="I206" s="3">
        <v>29</v>
      </c>
      <c r="J206" s="3">
        <v>4</v>
      </c>
      <c r="K206" s="3">
        <v>3</v>
      </c>
      <c r="L206" s="3">
        <v>7</v>
      </c>
      <c r="M206" s="3">
        <v>5</v>
      </c>
      <c r="N206" s="3">
        <v>3</v>
      </c>
      <c r="O206" s="3">
        <v>1464</v>
      </c>
      <c r="P206" s="3">
        <v>825</v>
      </c>
      <c r="Q206" s="3">
        <v>2008.5</v>
      </c>
      <c r="R206" s="3">
        <v>2108</v>
      </c>
      <c r="S206" s="14">
        <v>0.86</v>
      </c>
      <c r="T206" s="14">
        <v>0.79</v>
      </c>
      <c r="U206" s="14">
        <v>0.47</v>
      </c>
      <c r="V206" s="14">
        <v>0.09</v>
      </c>
      <c r="W206" s="14">
        <v>0.45</v>
      </c>
      <c r="X206" s="14">
        <v>0.93720000000000003</v>
      </c>
      <c r="Y206" s="14">
        <v>0.35</v>
      </c>
      <c r="Z206">
        <v>84</v>
      </c>
      <c r="AA206">
        <v>60</v>
      </c>
      <c r="AB206">
        <v>48</v>
      </c>
      <c r="AC206" s="4">
        <f t="shared" si="7"/>
        <v>0.57906666666666673</v>
      </c>
      <c r="AD206" s="25"/>
      <c r="AE206" s="3"/>
      <c r="AF206" s="3"/>
    </row>
    <row r="207" spans="1:32" x14ac:dyDescent="0.25">
      <c r="A207" s="20">
        <v>45863</v>
      </c>
      <c r="B207" s="3" t="s">
        <v>59</v>
      </c>
      <c r="C207" s="3">
        <f t="shared" si="6"/>
        <v>4</v>
      </c>
      <c r="D207" t="s">
        <v>70</v>
      </c>
      <c r="E207" s="14">
        <v>0.73</v>
      </c>
      <c r="F207" s="14">
        <v>0.84</v>
      </c>
      <c r="G207" s="14">
        <v>0.57999999999999996</v>
      </c>
      <c r="H207" s="3">
        <v>27</v>
      </c>
      <c r="I207" s="3">
        <v>33</v>
      </c>
      <c r="J207" s="3">
        <v>2</v>
      </c>
      <c r="K207" s="3">
        <v>7</v>
      </c>
      <c r="L207" s="3">
        <v>7</v>
      </c>
      <c r="M207" s="3">
        <v>4</v>
      </c>
      <c r="N207" s="3">
        <v>1</v>
      </c>
      <c r="O207" s="3">
        <v>1537</v>
      </c>
      <c r="P207" s="3">
        <v>2893</v>
      </c>
      <c r="Q207" s="3">
        <v>2112</v>
      </c>
      <c r="R207" s="3">
        <v>3182</v>
      </c>
      <c r="S207" s="14">
        <v>0.69</v>
      </c>
      <c r="T207" s="14">
        <v>0.77</v>
      </c>
      <c r="U207" s="14">
        <v>0.56000000000000005</v>
      </c>
      <c r="V207" s="14">
        <v>0.01</v>
      </c>
      <c r="W207" s="14">
        <v>0.6</v>
      </c>
      <c r="X207" s="14">
        <v>0.99</v>
      </c>
      <c r="Y207" s="14">
        <v>0.41</v>
      </c>
      <c r="Z207">
        <v>80</v>
      </c>
      <c r="AA207">
        <v>73</v>
      </c>
      <c r="AB207">
        <v>13</v>
      </c>
      <c r="AC207" s="4">
        <f t="shared" si="7"/>
        <v>0.66666666666666663</v>
      </c>
      <c r="AD207" s="25"/>
      <c r="AE207" s="3"/>
      <c r="AF207" s="3"/>
    </row>
    <row r="208" spans="1:32" x14ac:dyDescent="0.25">
      <c r="A208" s="20">
        <v>45864</v>
      </c>
      <c r="B208" s="3" t="s">
        <v>59</v>
      </c>
      <c r="C208" s="3">
        <f t="shared" si="6"/>
        <v>4</v>
      </c>
      <c r="D208" t="s">
        <v>51</v>
      </c>
      <c r="E208" s="14">
        <v>0.31</v>
      </c>
      <c r="F208" s="14">
        <v>0.56000000000000005</v>
      </c>
      <c r="G208" s="14">
        <v>0.83</v>
      </c>
      <c r="H208" s="3">
        <v>17</v>
      </c>
      <c r="I208" s="3">
        <v>6</v>
      </c>
      <c r="J208" s="3">
        <v>2</v>
      </c>
      <c r="K208" s="3">
        <v>4</v>
      </c>
      <c r="L208" s="3">
        <v>2</v>
      </c>
      <c r="M208" s="3">
        <v>8</v>
      </c>
      <c r="N208" s="3">
        <v>7</v>
      </c>
      <c r="O208" s="3">
        <v>797</v>
      </c>
      <c r="P208" s="3">
        <v>695</v>
      </c>
      <c r="Q208" s="3">
        <v>2215.5</v>
      </c>
      <c r="R208" s="3">
        <v>2437</v>
      </c>
      <c r="S208" s="14">
        <v>0.15</v>
      </c>
      <c r="T208" s="14">
        <v>0.54</v>
      </c>
      <c r="U208" s="14">
        <v>0.65</v>
      </c>
      <c r="V208" s="14">
        <v>0.06</v>
      </c>
      <c r="W208" s="14">
        <v>0.36450000000000005</v>
      </c>
      <c r="X208" s="14">
        <v>0.22572000000000003</v>
      </c>
      <c r="Y208" s="14">
        <v>0.39150000000000001</v>
      </c>
      <c r="Z208">
        <v>91</v>
      </c>
      <c r="AA208">
        <v>59</v>
      </c>
      <c r="AB208">
        <v>13</v>
      </c>
      <c r="AC208" s="4">
        <f t="shared" si="7"/>
        <v>0.32724000000000003</v>
      </c>
      <c r="AD208" s="25"/>
      <c r="AE208" s="3"/>
      <c r="AF208" s="3"/>
    </row>
    <row r="209" spans="1:32" x14ac:dyDescent="0.25">
      <c r="A209" s="20">
        <v>45865</v>
      </c>
      <c r="B209" s="3" t="s">
        <v>59</v>
      </c>
      <c r="C209" s="3">
        <f t="shared" si="6"/>
        <v>4</v>
      </c>
      <c r="D209" t="s">
        <v>65</v>
      </c>
      <c r="E209" s="14">
        <v>0.2</v>
      </c>
      <c r="F209" s="14">
        <v>0.65</v>
      </c>
      <c r="G209" s="14">
        <v>0.35</v>
      </c>
      <c r="H209" s="3">
        <v>36</v>
      </c>
      <c r="I209" s="3">
        <v>9</v>
      </c>
      <c r="J209" s="3">
        <v>7</v>
      </c>
      <c r="K209" s="3">
        <v>4</v>
      </c>
      <c r="L209" s="3">
        <v>7</v>
      </c>
      <c r="M209" s="3">
        <v>4</v>
      </c>
      <c r="N209" s="3">
        <v>7</v>
      </c>
      <c r="O209" s="3">
        <v>1021</v>
      </c>
      <c r="P209" s="3">
        <v>3243</v>
      </c>
      <c r="Q209" s="3">
        <v>2092.5</v>
      </c>
      <c r="R209" s="3">
        <v>3567</v>
      </c>
      <c r="S209" s="14">
        <v>0.27</v>
      </c>
      <c r="T209" s="14">
        <v>0.34</v>
      </c>
      <c r="U209" s="14">
        <v>0.3</v>
      </c>
      <c r="V209" s="14">
        <v>0.01</v>
      </c>
      <c r="W209" s="14">
        <v>0.33300000000000002</v>
      </c>
      <c r="X209" s="14">
        <v>0.21978000000000003</v>
      </c>
      <c r="Y209" s="14">
        <v>0.17550000000000002</v>
      </c>
      <c r="Z209">
        <v>82</v>
      </c>
      <c r="AA209">
        <v>78</v>
      </c>
      <c r="AB209">
        <v>45</v>
      </c>
      <c r="AC209" s="4">
        <f t="shared" si="7"/>
        <v>0.24276</v>
      </c>
      <c r="AD209" s="25"/>
      <c r="AE209" s="3"/>
      <c r="AF209" s="3"/>
    </row>
    <row r="210" spans="1:32" x14ac:dyDescent="0.25">
      <c r="A210" s="20">
        <v>45866</v>
      </c>
      <c r="B210" s="3" t="s">
        <v>59</v>
      </c>
      <c r="C210" s="3">
        <f t="shared" si="6"/>
        <v>5</v>
      </c>
      <c r="D210" t="s">
        <v>66</v>
      </c>
      <c r="E210" s="14">
        <v>0.74</v>
      </c>
      <c r="F210" s="14">
        <v>0.81</v>
      </c>
      <c r="G210" s="14">
        <v>0.83</v>
      </c>
      <c r="H210" s="3">
        <v>22</v>
      </c>
      <c r="I210" s="3">
        <v>35</v>
      </c>
      <c r="J210" s="3">
        <v>2</v>
      </c>
      <c r="K210" s="3">
        <v>3</v>
      </c>
      <c r="L210" s="3">
        <v>5</v>
      </c>
      <c r="M210" s="3">
        <v>12</v>
      </c>
      <c r="N210" s="3">
        <v>7</v>
      </c>
      <c r="O210" s="3">
        <v>2006</v>
      </c>
      <c r="P210" s="3">
        <v>2221</v>
      </c>
      <c r="Q210" s="3">
        <v>1320</v>
      </c>
      <c r="R210" s="3">
        <v>3450</v>
      </c>
      <c r="S210" s="14">
        <v>1.1399999999999999</v>
      </c>
      <c r="T210" s="14">
        <v>0.48</v>
      </c>
      <c r="U210" s="14">
        <v>0.92</v>
      </c>
      <c r="V210" s="14">
        <v>0.03</v>
      </c>
      <c r="W210" s="14">
        <v>0.51</v>
      </c>
      <c r="X210" s="14">
        <v>0.51480000000000004</v>
      </c>
      <c r="Y210" s="14">
        <v>0.62</v>
      </c>
      <c r="Z210">
        <v>84</v>
      </c>
      <c r="AA210">
        <v>62</v>
      </c>
      <c r="AB210">
        <v>41</v>
      </c>
      <c r="AC210" s="4">
        <f t="shared" si="7"/>
        <v>0.54826666666666668</v>
      </c>
      <c r="AD210" s="25"/>
      <c r="AE210" s="3"/>
      <c r="AF210" s="3"/>
    </row>
    <row r="211" spans="1:32" x14ac:dyDescent="0.25">
      <c r="A211" s="20">
        <v>45867</v>
      </c>
      <c r="B211" s="3" t="s">
        <v>59</v>
      </c>
      <c r="C211" s="3">
        <f t="shared" si="6"/>
        <v>5</v>
      </c>
      <c r="D211" t="s">
        <v>67</v>
      </c>
      <c r="E211" s="14">
        <v>0.93</v>
      </c>
      <c r="F211" s="14">
        <v>0.72</v>
      </c>
      <c r="G211" s="14">
        <v>0.71</v>
      </c>
      <c r="H211" s="3">
        <v>23</v>
      </c>
      <c r="I211" s="3">
        <v>23</v>
      </c>
      <c r="J211" s="3">
        <v>7</v>
      </c>
      <c r="K211" s="3">
        <v>5</v>
      </c>
      <c r="L211" s="3">
        <v>11</v>
      </c>
      <c r="M211" s="3">
        <v>3</v>
      </c>
      <c r="N211" s="3">
        <v>8</v>
      </c>
      <c r="O211" s="3">
        <v>2384</v>
      </c>
      <c r="P211" s="3">
        <v>66</v>
      </c>
      <c r="Q211" s="3">
        <v>675</v>
      </c>
      <c r="R211" s="3">
        <v>3496</v>
      </c>
      <c r="S211" s="14">
        <v>0.38</v>
      </c>
      <c r="T211" s="14">
        <v>0.75</v>
      </c>
      <c r="U211" s="14">
        <v>1.06</v>
      </c>
      <c r="V211" s="14">
        <v>0.04</v>
      </c>
      <c r="W211" s="14">
        <v>0.79</v>
      </c>
      <c r="X211" s="14">
        <v>0.76560000000000006</v>
      </c>
      <c r="Y211" s="14">
        <v>0.52</v>
      </c>
      <c r="Z211">
        <v>91</v>
      </c>
      <c r="AA211">
        <v>62</v>
      </c>
      <c r="AB211">
        <v>28</v>
      </c>
      <c r="AC211" s="4">
        <f t="shared" si="7"/>
        <v>0.69186666666666674</v>
      </c>
      <c r="AD211" s="25"/>
      <c r="AE211" s="3"/>
      <c r="AF211" s="3"/>
    </row>
    <row r="212" spans="1:32" x14ac:dyDescent="0.25">
      <c r="A212" s="20">
        <v>45868</v>
      </c>
      <c r="B212" s="3" t="s">
        <v>59</v>
      </c>
      <c r="C212" s="3">
        <f t="shared" si="6"/>
        <v>5</v>
      </c>
      <c r="D212" t="s">
        <v>68</v>
      </c>
      <c r="E212" s="14">
        <v>0.68</v>
      </c>
      <c r="F212" s="14">
        <v>0.64</v>
      </c>
      <c r="G212" s="14">
        <v>0.45</v>
      </c>
      <c r="H212" s="3">
        <v>21</v>
      </c>
      <c r="I212" s="3">
        <v>5</v>
      </c>
      <c r="J212" s="3">
        <v>12</v>
      </c>
      <c r="K212" s="3">
        <v>12</v>
      </c>
      <c r="L212" s="3">
        <v>12</v>
      </c>
      <c r="M212" s="3">
        <v>8</v>
      </c>
      <c r="N212" s="3">
        <v>12</v>
      </c>
      <c r="O212" s="3">
        <v>2587</v>
      </c>
      <c r="P212" s="3">
        <v>481</v>
      </c>
      <c r="Q212" s="3">
        <v>735</v>
      </c>
      <c r="R212" s="3">
        <v>3139</v>
      </c>
      <c r="S212" s="14">
        <v>0.63</v>
      </c>
      <c r="T212" s="14">
        <v>1.1399999999999999</v>
      </c>
      <c r="U212" s="14">
        <v>0.85</v>
      </c>
      <c r="V212" s="14">
        <v>0.03</v>
      </c>
      <c r="W212" s="14">
        <v>0.7</v>
      </c>
      <c r="X212" s="14">
        <v>0.91080000000000005</v>
      </c>
      <c r="Y212" s="14">
        <v>0.42</v>
      </c>
      <c r="Z212">
        <v>93</v>
      </c>
      <c r="AA212">
        <v>60</v>
      </c>
      <c r="AB212">
        <v>23</v>
      </c>
      <c r="AC212" s="4">
        <f t="shared" si="7"/>
        <v>0.67693333333333339</v>
      </c>
      <c r="AD212" s="25"/>
      <c r="AE212" s="3"/>
      <c r="AF212" s="3"/>
    </row>
    <row r="213" spans="1:32" x14ac:dyDescent="0.25">
      <c r="A213" s="20">
        <v>45869</v>
      </c>
      <c r="B213" s="3" t="s">
        <v>59</v>
      </c>
      <c r="C213" s="3">
        <f t="shared" si="6"/>
        <v>5</v>
      </c>
      <c r="D213" t="s">
        <v>69</v>
      </c>
      <c r="E213" s="14">
        <v>0.82</v>
      </c>
      <c r="F213" s="14">
        <v>0.45</v>
      </c>
      <c r="G213" s="14">
        <v>0.86</v>
      </c>
      <c r="H213" s="3">
        <v>9</v>
      </c>
      <c r="I213" s="3">
        <v>34</v>
      </c>
      <c r="J213" s="3">
        <v>5</v>
      </c>
      <c r="K213" s="3">
        <v>4</v>
      </c>
      <c r="L213" s="3">
        <v>4</v>
      </c>
      <c r="M213" s="3">
        <v>3</v>
      </c>
      <c r="N213" s="3">
        <v>7</v>
      </c>
      <c r="O213" s="3">
        <v>414</v>
      </c>
      <c r="P213" s="3">
        <v>1485</v>
      </c>
      <c r="Q213" s="3">
        <v>2449.5</v>
      </c>
      <c r="R213" s="3">
        <v>2694</v>
      </c>
      <c r="S213" s="14">
        <v>0.49</v>
      </c>
      <c r="T213" s="14">
        <v>0.25</v>
      </c>
      <c r="U213" s="14">
        <v>0.15</v>
      </c>
      <c r="V213" s="14">
        <v>0.02</v>
      </c>
      <c r="W213" s="14">
        <v>0.45</v>
      </c>
      <c r="X213" s="14">
        <v>0.66</v>
      </c>
      <c r="Y213" s="14">
        <v>0.6</v>
      </c>
      <c r="Z213">
        <v>88</v>
      </c>
      <c r="AA213">
        <v>55</v>
      </c>
      <c r="AB213">
        <v>12</v>
      </c>
      <c r="AC213" s="4">
        <f t="shared" si="7"/>
        <v>0.56999999999999995</v>
      </c>
      <c r="AD213" s="25"/>
      <c r="AE213" s="3"/>
      <c r="AF213" s="3"/>
    </row>
    <row r="214" spans="1:32" x14ac:dyDescent="0.25">
      <c r="A214" s="20">
        <v>45870</v>
      </c>
      <c r="B214" s="3" t="s">
        <v>60</v>
      </c>
      <c r="C214" s="3">
        <f t="shared" si="6"/>
        <v>1</v>
      </c>
      <c r="D214" t="s">
        <v>70</v>
      </c>
      <c r="E214" s="14">
        <v>0.63</v>
      </c>
      <c r="F214" s="14">
        <v>0.44</v>
      </c>
      <c r="G214" s="14">
        <v>0.74</v>
      </c>
      <c r="H214" s="3">
        <v>18</v>
      </c>
      <c r="I214" s="3">
        <v>17</v>
      </c>
      <c r="J214" s="3">
        <v>1</v>
      </c>
      <c r="K214" s="3">
        <v>4</v>
      </c>
      <c r="L214" s="3">
        <v>2</v>
      </c>
      <c r="M214" s="3">
        <v>3</v>
      </c>
      <c r="N214" s="3">
        <v>7</v>
      </c>
      <c r="O214" s="3">
        <v>2232</v>
      </c>
      <c r="P214" s="3">
        <v>3201</v>
      </c>
      <c r="Q214" s="3">
        <v>834</v>
      </c>
      <c r="R214" s="3">
        <v>3521</v>
      </c>
      <c r="S214" s="14">
        <v>0.3</v>
      </c>
      <c r="T214" s="14">
        <v>0.44</v>
      </c>
      <c r="U214" s="14">
        <v>0.31</v>
      </c>
      <c r="V214" s="14">
        <v>0.04</v>
      </c>
      <c r="W214" s="14">
        <v>0.75</v>
      </c>
      <c r="X214" s="14">
        <v>0.67320000000000002</v>
      </c>
      <c r="Y214" s="14">
        <v>0.69</v>
      </c>
      <c r="Z214">
        <v>83</v>
      </c>
      <c r="AA214">
        <v>73</v>
      </c>
      <c r="AB214">
        <v>35</v>
      </c>
      <c r="AC214" s="4">
        <f t="shared" si="7"/>
        <v>0.70440000000000003</v>
      </c>
      <c r="AD214" s="25"/>
      <c r="AE214" s="3"/>
      <c r="AF214" s="3"/>
    </row>
    <row r="215" spans="1:32" x14ac:dyDescent="0.25">
      <c r="A215" s="20">
        <v>45871</v>
      </c>
      <c r="B215" s="3" t="s">
        <v>60</v>
      </c>
      <c r="C215" s="3">
        <f t="shared" si="6"/>
        <v>1</v>
      </c>
      <c r="D215" t="s">
        <v>51</v>
      </c>
      <c r="E215" s="14">
        <v>0.21</v>
      </c>
      <c r="F215" s="14">
        <v>0.49</v>
      </c>
      <c r="G215" s="14">
        <v>0.56000000000000005</v>
      </c>
      <c r="H215" s="3">
        <v>31</v>
      </c>
      <c r="I215" s="3">
        <v>13</v>
      </c>
      <c r="J215" s="3">
        <v>4</v>
      </c>
      <c r="K215" s="3">
        <v>2</v>
      </c>
      <c r="L215" s="3">
        <v>2</v>
      </c>
      <c r="M215" s="3">
        <v>8</v>
      </c>
      <c r="N215" s="3">
        <v>3</v>
      </c>
      <c r="O215" s="3">
        <v>3668</v>
      </c>
      <c r="P215" s="3">
        <v>178</v>
      </c>
      <c r="Q215" s="3">
        <v>1386</v>
      </c>
      <c r="R215" s="3">
        <v>5429</v>
      </c>
      <c r="S215" s="14">
        <v>1.0900000000000001</v>
      </c>
      <c r="T215" s="14">
        <v>1.04</v>
      </c>
      <c r="U215" s="14">
        <v>0.2</v>
      </c>
      <c r="V215" s="14">
        <v>0.03</v>
      </c>
      <c r="W215" s="14">
        <v>0.24750000000000003</v>
      </c>
      <c r="X215" s="14">
        <v>0.18414000000000003</v>
      </c>
      <c r="Y215" s="14">
        <v>0.23850000000000002</v>
      </c>
      <c r="Z215">
        <v>93</v>
      </c>
      <c r="AA215">
        <v>79</v>
      </c>
      <c r="AB215">
        <v>14</v>
      </c>
      <c r="AC215" s="4">
        <f t="shared" si="7"/>
        <v>0.22338000000000002</v>
      </c>
      <c r="AD215" s="25"/>
      <c r="AE215" s="3"/>
      <c r="AF215" s="3"/>
    </row>
    <row r="216" spans="1:32" x14ac:dyDescent="0.25">
      <c r="A216" s="20">
        <v>45872</v>
      </c>
      <c r="B216" s="3" t="s">
        <v>60</v>
      </c>
      <c r="C216" s="3">
        <f t="shared" si="6"/>
        <v>1</v>
      </c>
      <c r="D216" t="s">
        <v>65</v>
      </c>
      <c r="E216" s="14">
        <v>0.13</v>
      </c>
      <c r="F216" s="14">
        <v>0.9</v>
      </c>
      <c r="G216" s="14">
        <v>0.43</v>
      </c>
      <c r="H216" s="3">
        <v>16</v>
      </c>
      <c r="I216" s="3">
        <v>7</v>
      </c>
      <c r="J216" s="3">
        <v>2</v>
      </c>
      <c r="K216" s="3">
        <v>7</v>
      </c>
      <c r="L216" s="3">
        <v>7</v>
      </c>
      <c r="M216" s="3">
        <v>1</v>
      </c>
      <c r="N216" s="3">
        <v>1</v>
      </c>
      <c r="O216" s="3">
        <v>1479</v>
      </c>
      <c r="P216" s="3">
        <v>1879</v>
      </c>
      <c r="Q216" s="3">
        <v>958.5</v>
      </c>
      <c r="R216" s="3">
        <v>1913</v>
      </c>
      <c r="S216" s="14">
        <v>0.46</v>
      </c>
      <c r="T216" s="14">
        <v>0.89</v>
      </c>
      <c r="U216" s="14">
        <v>0.9</v>
      </c>
      <c r="V216" s="14">
        <v>0.01</v>
      </c>
      <c r="W216" s="14">
        <v>0.41400000000000003</v>
      </c>
      <c r="X216" s="14">
        <v>0.43362000000000001</v>
      </c>
      <c r="Y216" s="14">
        <v>0.32850000000000001</v>
      </c>
      <c r="Z216">
        <v>90</v>
      </c>
      <c r="AA216">
        <v>65</v>
      </c>
      <c r="AB216">
        <v>34</v>
      </c>
      <c r="AC216" s="4">
        <f t="shared" si="7"/>
        <v>0.39204</v>
      </c>
      <c r="AD216" s="25"/>
      <c r="AE216" s="3"/>
      <c r="AF216" s="3"/>
    </row>
    <row r="217" spans="1:32" x14ac:dyDescent="0.25">
      <c r="A217" s="20">
        <v>45873</v>
      </c>
      <c r="B217" s="3" t="s">
        <v>60</v>
      </c>
      <c r="C217" s="3">
        <f t="shared" si="6"/>
        <v>2</v>
      </c>
      <c r="D217" t="s">
        <v>66</v>
      </c>
      <c r="E217" s="14">
        <v>0.63</v>
      </c>
      <c r="F217" s="14">
        <v>0.76</v>
      </c>
      <c r="G217" s="14">
        <v>0.42</v>
      </c>
      <c r="H217" s="3">
        <v>32</v>
      </c>
      <c r="I217" s="3">
        <v>13</v>
      </c>
      <c r="J217" s="3">
        <v>2</v>
      </c>
      <c r="K217" s="3">
        <v>8</v>
      </c>
      <c r="L217" s="3">
        <v>9</v>
      </c>
      <c r="M217" s="3">
        <v>1</v>
      </c>
      <c r="N217" s="3">
        <v>3</v>
      </c>
      <c r="O217" s="3">
        <v>2208</v>
      </c>
      <c r="P217" s="3">
        <v>2254</v>
      </c>
      <c r="Q217" s="3">
        <v>1275</v>
      </c>
      <c r="R217" s="3">
        <v>2479</v>
      </c>
      <c r="S217" s="14">
        <v>0.85</v>
      </c>
      <c r="T217" s="14">
        <v>0.82</v>
      </c>
      <c r="U217" s="14">
        <v>0.55000000000000004</v>
      </c>
      <c r="V217" s="14">
        <v>0.01</v>
      </c>
      <c r="W217" s="14">
        <v>0.61</v>
      </c>
      <c r="X217" s="14">
        <v>0.84480000000000011</v>
      </c>
      <c r="Y217" s="14">
        <v>0.47</v>
      </c>
      <c r="Z217">
        <v>94</v>
      </c>
      <c r="AA217">
        <v>61</v>
      </c>
      <c r="AB217">
        <v>23</v>
      </c>
      <c r="AC217" s="4">
        <f t="shared" si="7"/>
        <v>0.64160000000000006</v>
      </c>
      <c r="AD217" s="25"/>
      <c r="AE217" s="3"/>
      <c r="AF217" s="3"/>
    </row>
    <row r="218" spans="1:32" x14ac:dyDescent="0.25">
      <c r="A218" s="20">
        <v>45874</v>
      </c>
      <c r="B218" s="3" t="s">
        <v>60</v>
      </c>
      <c r="C218" s="3">
        <f t="shared" si="6"/>
        <v>2</v>
      </c>
      <c r="D218" t="s">
        <v>67</v>
      </c>
      <c r="E218" s="14">
        <v>0.62</v>
      </c>
      <c r="F218" s="14">
        <v>0.39</v>
      </c>
      <c r="G218" s="14">
        <v>0.74</v>
      </c>
      <c r="H218" s="3">
        <v>10</v>
      </c>
      <c r="I218" s="3">
        <v>38</v>
      </c>
      <c r="J218" s="3">
        <v>11</v>
      </c>
      <c r="K218" s="3">
        <v>1</v>
      </c>
      <c r="L218" s="3">
        <v>12</v>
      </c>
      <c r="M218" s="3">
        <v>8</v>
      </c>
      <c r="N218" s="3">
        <v>2</v>
      </c>
      <c r="O218" s="3">
        <v>1560</v>
      </c>
      <c r="P218" s="3">
        <v>1866</v>
      </c>
      <c r="Q218" s="3">
        <v>549</v>
      </c>
      <c r="R218" s="3">
        <v>2052</v>
      </c>
      <c r="S218" s="14">
        <v>1.2</v>
      </c>
      <c r="T218" s="14">
        <v>0.98</v>
      </c>
      <c r="U218" s="14">
        <v>0.35</v>
      </c>
      <c r="V218" s="14">
        <v>0.09</v>
      </c>
      <c r="W218" s="14">
        <v>0.67</v>
      </c>
      <c r="X218" s="14">
        <v>0.60720000000000007</v>
      </c>
      <c r="Y218" s="14">
        <v>0.66</v>
      </c>
      <c r="Z218">
        <v>87</v>
      </c>
      <c r="AA218">
        <v>73</v>
      </c>
      <c r="AB218">
        <v>12</v>
      </c>
      <c r="AC218" s="4">
        <f t="shared" si="7"/>
        <v>0.64573333333333338</v>
      </c>
      <c r="AD218" s="25"/>
      <c r="AE218" s="3"/>
      <c r="AF218" s="3"/>
    </row>
    <row r="219" spans="1:32" x14ac:dyDescent="0.25">
      <c r="A219" s="20">
        <v>45875</v>
      </c>
      <c r="B219" s="3" t="s">
        <v>60</v>
      </c>
      <c r="C219" s="3">
        <f t="shared" si="6"/>
        <v>2</v>
      </c>
      <c r="D219" t="s">
        <v>68</v>
      </c>
      <c r="E219" s="14">
        <v>0.67</v>
      </c>
      <c r="F219" s="14">
        <v>0.81</v>
      </c>
      <c r="G219" s="14">
        <v>0.69</v>
      </c>
      <c r="H219" s="3">
        <v>20</v>
      </c>
      <c r="I219" s="3">
        <v>35</v>
      </c>
      <c r="J219" s="3">
        <v>5</v>
      </c>
      <c r="K219" s="3">
        <v>2</v>
      </c>
      <c r="L219" s="3">
        <v>8</v>
      </c>
      <c r="M219" s="3">
        <v>3</v>
      </c>
      <c r="N219" s="3">
        <v>8</v>
      </c>
      <c r="O219" s="3">
        <v>347</v>
      </c>
      <c r="P219" s="3">
        <v>2247</v>
      </c>
      <c r="Q219" s="3">
        <v>784.5</v>
      </c>
      <c r="R219" s="3">
        <v>2471</v>
      </c>
      <c r="S219" s="14">
        <v>0.59</v>
      </c>
      <c r="T219" s="14">
        <v>0.92</v>
      </c>
      <c r="U219" s="14">
        <v>0.24</v>
      </c>
      <c r="V219" s="14">
        <v>0.09</v>
      </c>
      <c r="W219" s="14">
        <v>0.62</v>
      </c>
      <c r="X219" s="14">
        <v>0.76560000000000006</v>
      </c>
      <c r="Y219" s="14">
        <v>0.77</v>
      </c>
      <c r="Z219">
        <v>83</v>
      </c>
      <c r="AA219">
        <v>80</v>
      </c>
      <c r="AB219">
        <v>20</v>
      </c>
      <c r="AC219" s="4">
        <f t="shared" si="7"/>
        <v>0.71853333333333336</v>
      </c>
      <c r="AD219" s="25"/>
      <c r="AE219" s="3"/>
      <c r="AF219" s="3"/>
    </row>
    <row r="220" spans="1:32" x14ac:dyDescent="0.25">
      <c r="A220" s="20">
        <v>45876</v>
      </c>
      <c r="B220" s="3" t="s">
        <v>60</v>
      </c>
      <c r="C220" s="3">
        <f t="shared" si="6"/>
        <v>2</v>
      </c>
      <c r="D220" t="s">
        <v>69</v>
      </c>
      <c r="E220" s="14">
        <v>0.66</v>
      </c>
      <c r="F220" s="14">
        <v>0.45</v>
      </c>
      <c r="G220" s="14">
        <v>0.47</v>
      </c>
      <c r="H220" s="3">
        <v>21</v>
      </c>
      <c r="I220" s="3">
        <v>11</v>
      </c>
      <c r="J220" s="3">
        <v>11</v>
      </c>
      <c r="K220" s="3">
        <v>12</v>
      </c>
      <c r="L220" s="3">
        <v>12</v>
      </c>
      <c r="M220" s="3">
        <v>8</v>
      </c>
      <c r="N220" s="3">
        <v>3</v>
      </c>
      <c r="O220" s="3">
        <v>2505</v>
      </c>
      <c r="P220" s="3">
        <v>606</v>
      </c>
      <c r="Q220" s="3">
        <v>2434.5</v>
      </c>
      <c r="R220" s="3">
        <v>3874</v>
      </c>
      <c r="S220" s="14">
        <v>0.63</v>
      </c>
      <c r="T220" s="14">
        <v>0.24</v>
      </c>
      <c r="U220" s="14">
        <v>0.47</v>
      </c>
      <c r="V220" s="14">
        <v>0.02</v>
      </c>
      <c r="W220" s="14">
        <v>0.59</v>
      </c>
      <c r="X220" s="14">
        <v>0.72600000000000009</v>
      </c>
      <c r="Y220" s="14">
        <v>0.87</v>
      </c>
      <c r="Z220">
        <v>79</v>
      </c>
      <c r="AA220">
        <v>51</v>
      </c>
      <c r="AB220">
        <v>19</v>
      </c>
      <c r="AC220" s="4">
        <f t="shared" si="7"/>
        <v>0.72866666666666668</v>
      </c>
      <c r="AD220" s="25"/>
      <c r="AE220" s="3"/>
      <c r="AF220" s="3"/>
    </row>
    <row r="221" spans="1:32" x14ac:dyDescent="0.25">
      <c r="A221" s="20">
        <v>45877</v>
      </c>
      <c r="B221" s="3" t="s">
        <v>60</v>
      </c>
      <c r="C221" s="3">
        <f t="shared" si="6"/>
        <v>2</v>
      </c>
      <c r="D221" t="s">
        <v>70</v>
      </c>
      <c r="E221" s="14">
        <v>1</v>
      </c>
      <c r="F221" s="14">
        <v>0.51</v>
      </c>
      <c r="G221" s="14">
        <v>0.57999999999999996</v>
      </c>
      <c r="H221" s="3">
        <v>21</v>
      </c>
      <c r="I221" s="3">
        <v>6</v>
      </c>
      <c r="J221" s="3">
        <v>7</v>
      </c>
      <c r="K221" s="3">
        <v>7</v>
      </c>
      <c r="L221" s="3">
        <v>6</v>
      </c>
      <c r="M221" s="3">
        <v>2</v>
      </c>
      <c r="N221" s="3">
        <v>8</v>
      </c>
      <c r="O221" s="3">
        <v>2306</v>
      </c>
      <c r="P221" s="3">
        <v>2635</v>
      </c>
      <c r="Q221" s="3">
        <v>571.5</v>
      </c>
      <c r="R221" s="3">
        <v>3105</v>
      </c>
      <c r="S221" s="14">
        <v>0.46</v>
      </c>
      <c r="T221" s="14">
        <v>0.26</v>
      </c>
      <c r="U221" s="14">
        <v>1.0900000000000001</v>
      </c>
      <c r="V221" s="14">
        <v>0.06</v>
      </c>
      <c r="W221" s="14">
        <v>0.69</v>
      </c>
      <c r="X221" s="14">
        <v>0.72600000000000009</v>
      </c>
      <c r="Y221" s="14">
        <v>0.66</v>
      </c>
      <c r="Z221">
        <v>82</v>
      </c>
      <c r="AA221">
        <v>58</v>
      </c>
      <c r="AB221">
        <v>25</v>
      </c>
      <c r="AC221" s="4">
        <f t="shared" si="7"/>
        <v>0.69200000000000006</v>
      </c>
      <c r="AD221" s="25"/>
      <c r="AE221" s="3"/>
      <c r="AF221" s="3"/>
    </row>
    <row r="222" spans="1:32" x14ac:dyDescent="0.25">
      <c r="A222" s="20">
        <v>45878</v>
      </c>
      <c r="B222" s="3" t="s">
        <v>60</v>
      </c>
      <c r="C222" s="3">
        <f t="shared" si="6"/>
        <v>2</v>
      </c>
      <c r="D222" t="s">
        <v>51</v>
      </c>
      <c r="E222" s="14">
        <v>0.36</v>
      </c>
      <c r="F222" s="14">
        <v>0.42</v>
      </c>
      <c r="G222" s="14">
        <v>0.69</v>
      </c>
      <c r="H222" s="3">
        <v>19</v>
      </c>
      <c r="I222" s="3">
        <v>14</v>
      </c>
      <c r="J222" s="3">
        <v>6</v>
      </c>
      <c r="K222" s="3">
        <v>3</v>
      </c>
      <c r="L222" s="3">
        <v>2</v>
      </c>
      <c r="M222" s="3">
        <v>7</v>
      </c>
      <c r="N222" s="3">
        <v>2</v>
      </c>
      <c r="O222" s="3">
        <v>459</v>
      </c>
      <c r="P222" s="3">
        <v>1552</v>
      </c>
      <c r="Q222" s="3">
        <v>693</v>
      </c>
      <c r="R222" s="3">
        <v>1707</v>
      </c>
      <c r="S222" s="14">
        <v>0.96</v>
      </c>
      <c r="T222" s="14">
        <v>0.51</v>
      </c>
      <c r="U222" s="14">
        <v>0.64</v>
      </c>
      <c r="V222" s="14">
        <v>0.06</v>
      </c>
      <c r="W222" s="14">
        <v>0.35100000000000003</v>
      </c>
      <c r="X222" s="14">
        <v>0.38016000000000005</v>
      </c>
      <c r="Y222" s="14">
        <v>0.1845</v>
      </c>
      <c r="Z222">
        <v>82</v>
      </c>
      <c r="AA222">
        <v>78</v>
      </c>
      <c r="AB222">
        <v>12</v>
      </c>
      <c r="AC222" s="4">
        <f t="shared" si="7"/>
        <v>0.30521999999999999</v>
      </c>
      <c r="AD222" s="25"/>
      <c r="AE222" s="3"/>
      <c r="AF222" s="3"/>
    </row>
    <row r="223" spans="1:32" x14ac:dyDescent="0.25">
      <c r="A223" s="20">
        <v>45879</v>
      </c>
      <c r="B223" s="3" t="s">
        <v>60</v>
      </c>
      <c r="C223" s="3">
        <f t="shared" si="6"/>
        <v>2</v>
      </c>
      <c r="D223" t="s">
        <v>65</v>
      </c>
      <c r="E223" s="14">
        <v>0.35</v>
      </c>
      <c r="F223" s="14">
        <v>0.56999999999999995</v>
      </c>
      <c r="G223" s="14">
        <v>0.9</v>
      </c>
      <c r="H223" s="3">
        <v>15</v>
      </c>
      <c r="I223" s="3">
        <v>32</v>
      </c>
      <c r="J223" s="3">
        <v>8</v>
      </c>
      <c r="K223" s="3">
        <v>1</v>
      </c>
      <c r="L223" s="3">
        <v>4</v>
      </c>
      <c r="M223" s="3">
        <v>7</v>
      </c>
      <c r="N223" s="3">
        <v>4</v>
      </c>
      <c r="O223" s="3">
        <v>629</v>
      </c>
      <c r="P223" s="3">
        <v>2156</v>
      </c>
      <c r="Q223" s="3">
        <v>261</v>
      </c>
      <c r="R223" s="3">
        <v>2371</v>
      </c>
      <c r="S223" s="14">
        <v>0.86</v>
      </c>
      <c r="T223" s="14">
        <v>0.77</v>
      </c>
      <c r="U223" s="14">
        <v>0.87</v>
      </c>
      <c r="V223" s="14">
        <v>0.04</v>
      </c>
      <c r="W223" s="14">
        <v>0.39150000000000001</v>
      </c>
      <c r="X223" s="14">
        <v>0.43956000000000006</v>
      </c>
      <c r="Y223" s="14">
        <v>0.26550000000000001</v>
      </c>
      <c r="Z223">
        <v>85</v>
      </c>
      <c r="AA223">
        <v>77</v>
      </c>
      <c r="AB223">
        <v>31</v>
      </c>
      <c r="AC223" s="4">
        <f t="shared" si="7"/>
        <v>0.36552000000000007</v>
      </c>
      <c r="AD223" s="25"/>
      <c r="AE223" s="3"/>
      <c r="AF223" s="3"/>
    </row>
    <row r="224" spans="1:32" x14ac:dyDescent="0.25">
      <c r="A224" s="20">
        <v>45880</v>
      </c>
      <c r="B224" s="3" t="s">
        <v>60</v>
      </c>
      <c r="C224" s="3">
        <f t="shared" si="6"/>
        <v>3</v>
      </c>
      <c r="D224" t="s">
        <v>66</v>
      </c>
      <c r="E224" s="14">
        <v>0.96</v>
      </c>
      <c r="F224" s="14">
        <v>0.84</v>
      </c>
      <c r="G224" s="14">
        <v>0.75</v>
      </c>
      <c r="H224" s="3">
        <v>19</v>
      </c>
      <c r="I224" s="3">
        <v>26</v>
      </c>
      <c r="J224" s="3">
        <v>2</v>
      </c>
      <c r="K224" s="3">
        <v>5</v>
      </c>
      <c r="L224" s="3">
        <v>2</v>
      </c>
      <c r="M224" s="3">
        <v>6</v>
      </c>
      <c r="N224" s="3">
        <v>6</v>
      </c>
      <c r="O224" s="3">
        <v>226</v>
      </c>
      <c r="P224" s="3">
        <v>1689</v>
      </c>
      <c r="Q224" s="3">
        <v>33</v>
      </c>
      <c r="R224" s="3">
        <v>1857</v>
      </c>
      <c r="S224" s="14">
        <v>0.4</v>
      </c>
      <c r="T224" s="14">
        <v>0.39</v>
      </c>
      <c r="U224" s="14">
        <v>0.48</v>
      </c>
      <c r="V224" s="14">
        <v>0.03</v>
      </c>
      <c r="W224" s="14">
        <v>0.52</v>
      </c>
      <c r="X224" s="14">
        <v>0.5544</v>
      </c>
      <c r="Y224" s="14">
        <v>0.48</v>
      </c>
      <c r="Z224">
        <v>78</v>
      </c>
      <c r="AA224">
        <v>77</v>
      </c>
      <c r="AB224">
        <v>20</v>
      </c>
      <c r="AC224" s="4">
        <f t="shared" si="7"/>
        <v>0.51813333333333333</v>
      </c>
      <c r="AD224" s="25"/>
      <c r="AE224" s="3"/>
      <c r="AF224" s="3"/>
    </row>
    <row r="225" spans="1:32" x14ac:dyDescent="0.25">
      <c r="A225" s="20">
        <v>45881</v>
      </c>
      <c r="B225" s="3" t="s">
        <v>60</v>
      </c>
      <c r="C225" s="3">
        <f t="shared" si="6"/>
        <v>3</v>
      </c>
      <c r="D225" t="s">
        <v>67</v>
      </c>
      <c r="E225" s="14">
        <v>0.79</v>
      </c>
      <c r="F225" s="14">
        <v>0.54</v>
      </c>
      <c r="G225" s="14">
        <v>0.52</v>
      </c>
      <c r="H225" s="3">
        <v>31</v>
      </c>
      <c r="I225" s="3">
        <v>10</v>
      </c>
      <c r="J225" s="3">
        <v>2</v>
      </c>
      <c r="K225" s="3">
        <v>5</v>
      </c>
      <c r="L225" s="3">
        <v>9</v>
      </c>
      <c r="M225" s="3">
        <v>2</v>
      </c>
      <c r="N225" s="3">
        <v>4</v>
      </c>
      <c r="O225" s="3">
        <v>370</v>
      </c>
      <c r="P225" s="3">
        <v>1283</v>
      </c>
      <c r="Q225" s="3">
        <v>711</v>
      </c>
      <c r="R225" s="3">
        <v>1411</v>
      </c>
      <c r="S225" s="14">
        <v>0.33</v>
      </c>
      <c r="T225" s="14">
        <v>0.16</v>
      </c>
      <c r="U225" s="14">
        <v>0.74</v>
      </c>
      <c r="V225" s="14">
        <v>0.05</v>
      </c>
      <c r="W225" s="14">
        <v>0.94</v>
      </c>
      <c r="X225" s="14">
        <v>0.40920000000000001</v>
      </c>
      <c r="Y225" s="14">
        <v>0.69</v>
      </c>
      <c r="Z225">
        <v>98</v>
      </c>
      <c r="AA225">
        <v>51</v>
      </c>
      <c r="AB225">
        <v>19</v>
      </c>
      <c r="AC225" s="4">
        <f t="shared" si="7"/>
        <v>0.67973333333333341</v>
      </c>
      <c r="AD225" s="25"/>
      <c r="AE225" s="3"/>
      <c r="AF225" s="3"/>
    </row>
    <row r="226" spans="1:32" x14ac:dyDescent="0.25">
      <c r="A226" s="20">
        <v>45882</v>
      </c>
      <c r="B226" s="3" t="s">
        <v>60</v>
      </c>
      <c r="C226" s="3">
        <f t="shared" si="6"/>
        <v>3</v>
      </c>
      <c r="D226" t="s">
        <v>68</v>
      </c>
      <c r="E226" s="14">
        <v>0.88</v>
      </c>
      <c r="F226" s="14">
        <v>0.71</v>
      </c>
      <c r="G226" s="14">
        <v>0.68</v>
      </c>
      <c r="H226" s="3">
        <v>29</v>
      </c>
      <c r="I226" s="3">
        <v>18</v>
      </c>
      <c r="J226" s="3">
        <v>7</v>
      </c>
      <c r="K226" s="3">
        <v>2</v>
      </c>
      <c r="L226" s="3">
        <v>7</v>
      </c>
      <c r="M226" s="3">
        <v>11</v>
      </c>
      <c r="N226" s="3">
        <v>11</v>
      </c>
      <c r="O226" s="3">
        <v>301</v>
      </c>
      <c r="P226" s="3">
        <v>222</v>
      </c>
      <c r="Q226" s="3">
        <v>1395</v>
      </c>
      <c r="R226" s="3">
        <v>1534</v>
      </c>
      <c r="S226" s="14">
        <v>1.08</v>
      </c>
      <c r="T226" s="14">
        <v>0.37</v>
      </c>
      <c r="U226" s="14">
        <v>0.3</v>
      </c>
      <c r="V226" s="14">
        <v>0.08</v>
      </c>
      <c r="W226" s="14">
        <v>0.92</v>
      </c>
      <c r="X226" s="14">
        <v>0.64680000000000004</v>
      </c>
      <c r="Y226" s="14">
        <v>0.36</v>
      </c>
      <c r="Z226">
        <v>86</v>
      </c>
      <c r="AA226">
        <v>53</v>
      </c>
      <c r="AB226">
        <v>27</v>
      </c>
      <c r="AC226" s="4">
        <f t="shared" si="7"/>
        <v>0.64226666666666665</v>
      </c>
      <c r="AD226" s="25"/>
      <c r="AE226" s="3"/>
      <c r="AF226" s="3"/>
    </row>
    <row r="227" spans="1:32" x14ac:dyDescent="0.25">
      <c r="A227" s="20">
        <v>45883</v>
      </c>
      <c r="B227" s="3" t="s">
        <v>60</v>
      </c>
      <c r="C227" s="3">
        <f t="shared" si="6"/>
        <v>3</v>
      </c>
      <c r="D227" t="s">
        <v>69</v>
      </c>
      <c r="E227" s="14">
        <v>0.95</v>
      </c>
      <c r="F227" s="14">
        <v>0.39</v>
      </c>
      <c r="G227" s="14">
        <v>0.41</v>
      </c>
      <c r="H227" s="3">
        <v>9</v>
      </c>
      <c r="I227" s="3">
        <v>14</v>
      </c>
      <c r="J227" s="3">
        <v>4</v>
      </c>
      <c r="K227" s="3">
        <v>7</v>
      </c>
      <c r="L227" s="3">
        <v>6</v>
      </c>
      <c r="M227" s="3">
        <v>6</v>
      </c>
      <c r="N227" s="3">
        <v>2</v>
      </c>
      <c r="O227" s="3">
        <v>3309</v>
      </c>
      <c r="P227" s="3">
        <v>2391</v>
      </c>
      <c r="Q227" s="3">
        <v>1642.5</v>
      </c>
      <c r="R227" s="3">
        <v>5869</v>
      </c>
      <c r="S227" s="14">
        <v>0.7</v>
      </c>
      <c r="T227" s="14">
        <v>0.43</v>
      </c>
      <c r="U227" s="14">
        <v>0.82</v>
      </c>
      <c r="V227" s="14">
        <v>0.02</v>
      </c>
      <c r="W227" s="14">
        <v>0.73</v>
      </c>
      <c r="X227" s="14">
        <v>0.46200000000000002</v>
      </c>
      <c r="Y227" s="14">
        <v>0.71</v>
      </c>
      <c r="Z227">
        <v>78</v>
      </c>
      <c r="AA227">
        <v>51</v>
      </c>
      <c r="AB227">
        <v>27</v>
      </c>
      <c r="AC227" s="4">
        <f t="shared" si="7"/>
        <v>0.63400000000000001</v>
      </c>
      <c r="AD227" s="25"/>
      <c r="AE227" s="3"/>
      <c r="AF227" s="3"/>
    </row>
    <row r="228" spans="1:32" x14ac:dyDescent="0.25">
      <c r="A228" s="20">
        <v>45884</v>
      </c>
      <c r="B228" s="3" t="s">
        <v>60</v>
      </c>
      <c r="C228" s="3">
        <f t="shared" si="6"/>
        <v>3</v>
      </c>
      <c r="D228" t="s">
        <v>70</v>
      </c>
      <c r="E228" s="14">
        <v>0.91</v>
      </c>
      <c r="F228" s="14">
        <v>0.87</v>
      </c>
      <c r="G228" s="14">
        <v>0.52</v>
      </c>
      <c r="H228" s="3">
        <v>23</v>
      </c>
      <c r="I228" s="3">
        <v>12</v>
      </c>
      <c r="J228" s="3">
        <v>4</v>
      </c>
      <c r="K228" s="3">
        <v>2</v>
      </c>
      <c r="L228" s="3">
        <v>2</v>
      </c>
      <c r="M228" s="3">
        <v>4</v>
      </c>
      <c r="N228" s="3">
        <v>8</v>
      </c>
      <c r="O228" s="3">
        <v>2893</v>
      </c>
      <c r="P228" s="3">
        <v>3103</v>
      </c>
      <c r="Q228" s="3">
        <v>2692.5</v>
      </c>
      <c r="R228" s="3">
        <v>4475</v>
      </c>
      <c r="S228" s="14">
        <v>0.17</v>
      </c>
      <c r="T228" s="14">
        <v>1.19</v>
      </c>
      <c r="U228" s="14">
        <v>0.35</v>
      </c>
      <c r="V228" s="14">
        <v>0.03</v>
      </c>
      <c r="W228" s="14">
        <v>0.67</v>
      </c>
      <c r="X228" s="14">
        <v>0.60720000000000007</v>
      </c>
      <c r="Y228" s="14">
        <v>0.72</v>
      </c>
      <c r="Z228">
        <v>96</v>
      </c>
      <c r="AA228">
        <v>54</v>
      </c>
      <c r="AB228">
        <v>31</v>
      </c>
      <c r="AC228" s="4">
        <f t="shared" si="7"/>
        <v>0.6657333333333334</v>
      </c>
      <c r="AD228" s="25"/>
      <c r="AE228" s="3"/>
      <c r="AF228" s="3"/>
    </row>
    <row r="229" spans="1:32" x14ac:dyDescent="0.25">
      <c r="A229" s="20">
        <v>45885</v>
      </c>
      <c r="B229" s="3" t="s">
        <v>60</v>
      </c>
      <c r="C229" s="3">
        <f t="shared" si="6"/>
        <v>3</v>
      </c>
      <c r="D229" t="s">
        <v>51</v>
      </c>
      <c r="E229" s="14">
        <v>0.21</v>
      </c>
      <c r="F229" s="14">
        <v>0.6</v>
      </c>
      <c r="G229" s="14">
        <v>0.85</v>
      </c>
      <c r="H229" s="3">
        <v>31</v>
      </c>
      <c r="I229" s="3">
        <v>21</v>
      </c>
      <c r="J229" s="3">
        <v>8</v>
      </c>
      <c r="K229" s="3">
        <v>2</v>
      </c>
      <c r="L229" s="3">
        <v>7</v>
      </c>
      <c r="M229" s="3">
        <v>5</v>
      </c>
      <c r="N229" s="3">
        <v>7</v>
      </c>
      <c r="O229" s="3">
        <v>2507</v>
      </c>
      <c r="P229" s="3">
        <v>2736</v>
      </c>
      <c r="Q229" s="3">
        <v>414</v>
      </c>
      <c r="R229" s="3">
        <v>4412</v>
      </c>
      <c r="S229" s="14">
        <v>0.23</v>
      </c>
      <c r="T229" s="14">
        <v>0.93</v>
      </c>
      <c r="U229" s="14">
        <v>0.79</v>
      </c>
      <c r="V229" s="14">
        <v>0.02</v>
      </c>
      <c r="W229" s="14">
        <v>0.27</v>
      </c>
      <c r="X229" s="14">
        <v>0.23166000000000003</v>
      </c>
      <c r="Y229" s="14">
        <v>0.28350000000000003</v>
      </c>
      <c r="Z229">
        <v>82</v>
      </c>
      <c r="AA229">
        <v>72</v>
      </c>
      <c r="AB229">
        <v>23</v>
      </c>
      <c r="AC229" s="4">
        <f t="shared" si="7"/>
        <v>0.26172000000000001</v>
      </c>
      <c r="AD229" s="25"/>
      <c r="AE229" s="3"/>
      <c r="AF229" s="3"/>
    </row>
    <row r="230" spans="1:32" x14ac:dyDescent="0.25">
      <c r="A230" s="20">
        <v>45886</v>
      </c>
      <c r="B230" s="3" t="s">
        <v>60</v>
      </c>
      <c r="C230" s="3">
        <f t="shared" si="6"/>
        <v>3</v>
      </c>
      <c r="D230" t="s">
        <v>65</v>
      </c>
      <c r="E230" s="14">
        <v>0.14000000000000001</v>
      </c>
      <c r="F230" s="14">
        <v>0.39</v>
      </c>
      <c r="G230" s="14">
        <v>0.53</v>
      </c>
      <c r="H230" s="3">
        <v>29</v>
      </c>
      <c r="I230" s="3">
        <v>28</v>
      </c>
      <c r="J230" s="3">
        <v>2</v>
      </c>
      <c r="K230" s="3">
        <v>7</v>
      </c>
      <c r="L230" s="3">
        <v>4</v>
      </c>
      <c r="M230" s="3">
        <v>2</v>
      </c>
      <c r="N230" s="3">
        <v>7</v>
      </c>
      <c r="O230" s="3">
        <v>2265</v>
      </c>
      <c r="P230" s="3">
        <v>612</v>
      </c>
      <c r="Q230" s="3">
        <v>1480.5</v>
      </c>
      <c r="R230" s="3">
        <v>3866</v>
      </c>
      <c r="S230" s="14">
        <v>0.84</v>
      </c>
      <c r="T230" s="14">
        <v>0.64</v>
      </c>
      <c r="U230" s="14">
        <v>0.28000000000000003</v>
      </c>
      <c r="V230" s="14">
        <v>0.09</v>
      </c>
      <c r="W230" s="14">
        <v>0.41400000000000003</v>
      </c>
      <c r="X230" s="14">
        <v>0.29106000000000004</v>
      </c>
      <c r="Y230" s="14">
        <v>0.40500000000000003</v>
      </c>
      <c r="Z230">
        <v>84</v>
      </c>
      <c r="AA230">
        <v>68</v>
      </c>
      <c r="AB230">
        <v>10</v>
      </c>
      <c r="AC230" s="4">
        <f t="shared" si="7"/>
        <v>0.37002000000000002</v>
      </c>
      <c r="AD230" s="25"/>
      <c r="AE230" s="3"/>
      <c r="AF230" s="3"/>
    </row>
    <row r="231" spans="1:32" x14ac:dyDescent="0.25">
      <c r="A231" s="20">
        <v>45887</v>
      </c>
      <c r="B231" s="3" t="s">
        <v>60</v>
      </c>
      <c r="C231" s="3">
        <f t="shared" si="6"/>
        <v>4</v>
      </c>
      <c r="D231" t="s">
        <v>66</v>
      </c>
      <c r="E231" s="14">
        <v>0.64</v>
      </c>
      <c r="F231" s="14">
        <v>0.7</v>
      </c>
      <c r="G231" s="14">
        <v>0.52</v>
      </c>
      <c r="H231" s="3">
        <v>18</v>
      </c>
      <c r="I231" s="3">
        <v>19</v>
      </c>
      <c r="J231" s="3">
        <v>8</v>
      </c>
      <c r="K231" s="3">
        <v>1</v>
      </c>
      <c r="L231" s="3">
        <v>5</v>
      </c>
      <c r="M231" s="3">
        <v>7</v>
      </c>
      <c r="N231" s="3">
        <v>2</v>
      </c>
      <c r="O231" s="3">
        <v>3635</v>
      </c>
      <c r="P231" s="3">
        <v>803</v>
      </c>
      <c r="Q231" s="3">
        <v>2668.5</v>
      </c>
      <c r="R231" s="3">
        <v>4410</v>
      </c>
      <c r="S231" s="14">
        <v>0.46</v>
      </c>
      <c r="T231" s="14">
        <v>0.96</v>
      </c>
      <c r="U231" s="14">
        <v>0.93</v>
      </c>
      <c r="V231" s="14">
        <v>0.09</v>
      </c>
      <c r="W231" s="14">
        <v>0.84</v>
      </c>
      <c r="X231" s="14">
        <v>0.69960000000000011</v>
      </c>
      <c r="Y231" s="14">
        <v>0.35</v>
      </c>
      <c r="Z231">
        <v>96</v>
      </c>
      <c r="AA231">
        <v>72</v>
      </c>
      <c r="AB231">
        <v>47</v>
      </c>
      <c r="AC231" s="4">
        <f t="shared" si="7"/>
        <v>0.62986666666666669</v>
      </c>
      <c r="AD231" s="25"/>
      <c r="AE231" s="3"/>
      <c r="AF231" s="3"/>
    </row>
    <row r="232" spans="1:32" x14ac:dyDescent="0.25">
      <c r="A232" s="20">
        <v>45888</v>
      </c>
      <c r="B232" s="3" t="s">
        <v>60</v>
      </c>
      <c r="C232" s="3">
        <f t="shared" si="6"/>
        <v>4</v>
      </c>
      <c r="D232" t="s">
        <v>67</v>
      </c>
      <c r="E232" s="14">
        <v>0.86</v>
      </c>
      <c r="F232" s="14">
        <v>0.85</v>
      </c>
      <c r="G232" s="14">
        <v>0.8</v>
      </c>
      <c r="H232" s="3">
        <v>6</v>
      </c>
      <c r="I232" s="3">
        <v>25</v>
      </c>
      <c r="J232" s="3">
        <v>2</v>
      </c>
      <c r="K232" s="3">
        <v>11</v>
      </c>
      <c r="L232" s="3">
        <v>1</v>
      </c>
      <c r="M232" s="3">
        <v>8</v>
      </c>
      <c r="N232" s="3">
        <v>6</v>
      </c>
      <c r="O232" s="3">
        <v>3677</v>
      </c>
      <c r="P232" s="3">
        <v>2373</v>
      </c>
      <c r="Q232" s="3">
        <v>1687.5</v>
      </c>
      <c r="R232" s="3">
        <v>3824</v>
      </c>
      <c r="S232" s="14">
        <v>1.0900000000000001</v>
      </c>
      <c r="T232" s="14">
        <v>0.83</v>
      </c>
      <c r="U232" s="14">
        <v>0.49</v>
      </c>
      <c r="V232" s="14">
        <v>0.06</v>
      </c>
      <c r="W232" s="14">
        <v>0.49</v>
      </c>
      <c r="X232" s="14">
        <v>0.63360000000000005</v>
      </c>
      <c r="Y232" s="14">
        <v>0.56999999999999995</v>
      </c>
      <c r="Z232">
        <v>88</v>
      </c>
      <c r="AA232">
        <v>59</v>
      </c>
      <c r="AB232">
        <v>41</v>
      </c>
      <c r="AC232" s="4">
        <f t="shared" si="7"/>
        <v>0.56453333333333333</v>
      </c>
      <c r="AD232" s="25"/>
      <c r="AE232" s="3"/>
      <c r="AF232" s="3"/>
    </row>
    <row r="233" spans="1:32" x14ac:dyDescent="0.25">
      <c r="A233" s="20">
        <v>45889</v>
      </c>
      <c r="B233" s="3" t="s">
        <v>60</v>
      </c>
      <c r="C233" s="3">
        <f t="shared" si="6"/>
        <v>4</v>
      </c>
      <c r="D233" t="s">
        <v>68</v>
      </c>
      <c r="E233" s="14">
        <v>0.8</v>
      </c>
      <c r="F233" s="14">
        <v>0.73</v>
      </c>
      <c r="G233" s="14">
        <v>0.46</v>
      </c>
      <c r="H233" s="3">
        <v>29</v>
      </c>
      <c r="I233" s="3">
        <v>19</v>
      </c>
      <c r="J233" s="3">
        <v>7</v>
      </c>
      <c r="K233" s="3">
        <v>11</v>
      </c>
      <c r="L233" s="3">
        <v>9</v>
      </c>
      <c r="M233" s="3">
        <v>9</v>
      </c>
      <c r="N233" s="3">
        <v>2</v>
      </c>
      <c r="O233" s="3">
        <v>2934</v>
      </c>
      <c r="P233" s="3">
        <v>2596</v>
      </c>
      <c r="Q233" s="3">
        <v>1273.5</v>
      </c>
      <c r="R233" s="3">
        <v>3990</v>
      </c>
      <c r="S233" s="14">
        <v>0.49</v>
      </c>
      <c r="T233" s="14">
        <v>0.81</v>
      </c>
      <c r="U233" s="14">
        <v>0.5</v>
      </c>
      <c r="V233" s="14">
        <v>7.0000000000000007E-2</v>
      </c>
      <c r="W233" s="14">
        <v>0.67</v>
      </c>
      <c r="X233" s="14">
        <v>0.77880000000000005</v>
      </c>
      <c r="Y233" s="14">
        <v>0.72</v>
      </c>
      <c r="Z233">
        <v>96</v>
      </c>
      <c r="AA233">
        <v>68</v>
      </c>
      <c r="AB233">
        <v>18</v>
      </c>
      <c r="AC233" s="4">
        <f t="shared" si="7"/>
        <v>0.72293333333333332</v>
      </c>
      <c r="AD233" s="25"/>
      <c r="AE233" s="3"/>
      <c r="AF233" s="3"/>
    </row>
    <row r="234" spans="1:32" x14ac:dyDescent="0.25">
      <c r="A234" s="20">
        <v>45890</v>
      </c>
      <c r="B234" s="3" t="s">
        <v>60</v>
      </c>
      <c r="C234" s="3">
        <f t="shared" si="6"/>
        <v>4</v>
      </c>
      <c r="D234" t="s">
        <v>69</v>
      </c>
      <c r="E234" s="14">
        <v>0.69</v>
      </c>
      <c r="F234" s="14">
        <v>0.86</v>
      </c>
      <c r="G234" s="14">
        <v>0.52</v>
      </c>
      <c r="H234" s="3">
        <v>36</v>
      </c>
      <c r="I234" s="3">
        <v>11</v>
      </c>
      <c r="J234" s="3">
        <v>7</v>
      </c>
      <c r="K234" s="3">
        <v>9</v>
      </c>
      <c r="L234" s="3">
        <v>8</v>
      </c>
      <c r="M234" s="3">
        <v>12</v>
      </c>
      <c r="N234" s="3">
        <v>1</v>
      </c>
      <c r="O234" s="3">
        <v>2035</v>
      </c>
      <c r="P234" s="3">
        <v>837</v>
      </c>
      <c r="Q234" s="3">
        <v>225</v>
      </c>
      <c r="R234" s="3">
        <v>3365</v>
      </c>
      <c r="S234" s="14">
        <v>1.17</v>
      </c>
      <c r="T234" s="14">
        <v>0.3</v>
      </c>
      <c r="U234" s="14">
        <v>1.08</v>
      </c>
      <c r="V234" s="14">
        <v>0.1</v>
      </c>
      <c r="W234" s="14">
        <v>0.65</v>
      </c>
      <c r="X234" s="14">
        <v>0.64680000000000004</v>
      </c>
      <c r="Y234" s="14">
        <v>0.77</v>
      </c>
      <c r="Z234">
        <v>93</v>
      </c>
      <c r="AA234">
        <v>62</v>
      </c>
      <c r="AB234">
        <v>17</v>
      </c>
      <c r="AC234" s="4">
        <f t="shared" si="7"/>
        <v>0.6889333333333334</v>
      </c>
      <c r="AD234" s="25"/>
      <c r="AE234" s="3"/>
      <c r="AF234" s="3"/>
    </row>
    <row r="235" spans="1:32" x14ac:dyDescent="0.25">
      <c r="A235" s="20">
        <v>45891</v>
      </c>
      <c r="B235" s="3" t="s">
        <v>60</v>
      </c>
      <c r="C235" s="3">
        <f t="shared" si="6"/>
        <v>4</v>
      </c>
      <c r="D235" t="s">
        <v>70</v>
      </c>
      <c r="E235" s="14">
        <v>0.99</v>
      </c>
      <c r="F235" s="14">
        <v>0.86</v>
      </c>
      <c r="G235" s="14">
        <v>0.75</v>
      </c>
      <c r="H235" s="3">
        <v>9</v>
      </c>
      <c r="I235" s="3">
        <v>39</v>
      </c>
      <c r="J235" s="3">
        <v>8</v>
      </c>
      <c r="K235" s="3">
        <v>4</v>
      </c>
      <c r="L235" s="3">
        <v>3</v>
      </c>
      <c r="M235" s="3">
        <v>2</v>
      </c>
      <c r="N235" s="3">
        <v>3</v>
      </c>
      <c r="O235" s="3">
        <v>1320</v>
      </c>
      <c r="P235" s="3">
        <v>2772</v>
      </c>
      <c r="Q235" s="3">
        <v>1662</v>
      </c>
      <c r="R235" s="3">
        <v>3049</v>
      </c>
      <c r="S235" s="14">
        <v>0.66</v>
      </c>
      <c r="T235" s="14">
        <v>0.9</v>
      </c>
      <c r="U235" s="14">
        <v>1.03</v>
      </c>
      <c r="V235" s="14">
        <v>0.01</v>
      </c>
      <c r="W235" s="14">
        <v>0.7</v>
      </c>
      <c r="X235" s="14">
        <v>0.80520000000000003</v>
      </c>
      <c r="Y235" s="14">
        <v>0.39</v>
      </c>
      <c r="Z235">
        <v>81</v>
      </c>
      <c r="AA235">
        <v>58</v>
      </c>
      <c r="AB235">
        <v>43</v>
      </c>
      <c r="AC235" s="4">
        <f t="shared" si="7"/>
        <v>0.63173333333333337</v>
      </c>
      <c r="AD235" s="25"/>
      <c r="AE235" s="3"/>
      <c r="AF235" s="3"/>
    </row>
    <row r="236" spans="1:32" x14ac:dyDescent="0.25">
      <c r="A236" s="20">
        <v>45892</v>
      </c>
      <c r="B236" s="3" t="s">
        <v>60</v>
      </c>
      <c r="C236" s="3">
        <f t="shared" si="6"/>
        <v>4</v>
      </c>
      <c r="D236" t="s">
        <v>51</v>
      </c>
      <c r="E236" s="14">
        <v>0.17</v>
      </c>
      <c r="F236" s="14">
        <v>0.42</v>
      </c>
      <c r="G236" s="14">
        <v>0.37</v>
      </c>
      <c r="H236" s="3">
        <v>23</v>
      </c>
      <c r="I236" s="3">
        <v>23</v>
      </c>
      <c r="J236" s="3">
        <v>8</v>
      </c>
      <c r="K236" s="3">
        <v>3</v>
      </c>
      <c r="L236" s="3">
        <v>4</v>
      </c>
      <c r="M236" s="3">
        <v>6</v>
      </c>
      <c r="N236" s="3">
        <v>7</v>
      </c>
      <c r="O236" s="3">
        <v>1196</v>
      </c>
      <c r="P236" s="3">
        <v>2169</v>
      </c>
      <c r="Q236" s="3">
        <v>343.5</v>
      </c>
      <c r="R236" s="3">
        <v>2385</v>
      </c>
      <c r="S236" s="14">
        <v>0.8</v>
      </c>
      <c r="T236" s="14">
        <v>0.32</v>
      </c>
      <c r="U236" s="14">
        <v>0.34</v>
      </c>
      <c r="V236" s="14">
        <v>0.09</v>
      </c>
      <c r="W236" s="14">
        <v>0.39150000000000001</v>
      </c>
      <c r="X236" s="14">
        <v>0.19008000000000003</v>
      </c>
      <c r="Y236" s="14">
        <v>0.216</v>
      </c>
      <c r="Z236">
        <v>81</v>
      </c>
      <c r="AA236">
        <v>51</v>
      </c>
      <c r="AB236">
        <v>17</v>
      </c>
      <c r="AC236" s="4">
        <f t="shared" si="7"/>
        <v>0.26585999999999999</v>
      </c>
      <c r="AD236" s="25"/>
      <c r="AE236" s="3"/>
      <c r="AF236" s="3"/>
    </row>
    <row r="237" spans="1:32" x14ac:dyDescent="0.25">
      <c r="A237" s="20">
        <v>45893</v>
      </c>
      <c r="B237" s="3" t="s">
        <v>60</v>
      </c>
      <c r="C237" s="3">
        <f t="shared" si="6"/>
        <v>4</v>
      </c>
      <c r="D237" t="s">
        <v>65</v>
      </c>
      <c r="E237" s="14">
        <v>0.17</v>
      </c>
      <c r="F237" s="14">
        <v>0.71</v>
      </c>
      <c r="G237" s="14">
        <v>0.85</v>
      </c>
      <c r="H237" s="3">
        <v>25</v>
      </c>
      <c r="I237" s="3">
        <v>29</v>
      </c>
      <c r="J237" s="3">
        <v>2</v>
      </c>
      <c r="K237" s="3">
        <v>1</v>
      </c>
      <c r="L237" s="3">
        <v>4</v>
      </c>
      <c r="M237" s="3">
        <v>4</v>
      </c>
      <c r="N237" s="3">
        <v>2</v>
      </c>
      <c r="O237" s="3">
        <v>3712</v>
      </c>
      <c r="P237" s="3">
        <v>2653</v>
      </c>
      <c r="Q237" s="3">
        <v>42</v>
      </c>
      <c r="R237" s="3">
        <v>4257</v>
      </c>
      <c r="S237" s="14">
        <v>0.87</v>
      </c>
      <c r="T237" s="14">
        <v>0.59</v>
      </c>
      <c r="U237" s="14">
        <v>0.74</v>
      </c>
      <c r="V237" s="14">
        <v>0.04</v>
      </c>
      <c r="W237" s="14">
        <v>0.25200000000000006</v>
      </c>
      <c r="X237" s="14">
        <v>0.23166000000000003</v>
      </c>
      <c r="Y237" s="14">
        <v>0.30150000000000005</v>
      </c>
      <c r="Z237">
        <v>99</v>
      </c>
      <c r="AA237">
        <v>62</v>
      </c>
      <c r="AB237">
        <v>12</v>
      </c>
      <c r="AC237" s="4">
        <f t="shared" si="7"/>
        <v>0.26172000000000001</v>
      </c>
      <c r="AD237" s="25"/>
      <c r="AE237" s="3"/>
      <c r="AF237" s="3"/>
    </row>
    <row r="238" spans="1:32" x14ac:dyDescent="0.25">
      <c r="A238" s="20">
        <v>45894</v>
      </c>
      <c r="B238" s="3" t="s">
        <v>60</v>
      </c>
      <c r="C238" s="3">
        <f t="shared" si="6"/>
        <v>5</v>
      </c>
      <c r="D238" t="s">
        <v>66</v>
      </c>
      <c r="E238" s="14">
        <v>0.74</v>
      </c>
      <c r="F238" s="14">
        <v>0.57999999999999996</v>
      </c>
      <c r="G238" s="14">
        <v>0.37</v>
      </c>
      <c r="H238" s="3">
        <v>23</v>
      </c>
      <c r="I238" s="3">
        <v>5</v>
      </c>
      <c r="J238" s="3">
        <v>12</v>
      </c>
      <c r="K238" s="3">
        <v>4</v>
      </c>
      <c r="L238" s="3">
        <v>1</v>
      </c>
      <c r="M238" s="3">
        <v>12</v>
      </c>
      <c r="N238" s="3">
        <v>7</v>
      </c>
      <c r="O238" s="3">
        <v>2271</v>
      </c>
      <c r="P238" s="3">
        <v>2430</v>
      </c>
      <c r="Q238" s="3">
        <v>490.5</v>
      </c>
      <c r="R238" s="3">
        <v>2694</v>
      </c>
      <c r="S238" s="14">
        <v>0.49</v>
      </c>
      <c r="T238" s="14">
        <v>0.71</v>
      </c>
      <c r="U238" s="14">
        <v>0.56999999999999995</v>
      </c>
      <c r="V238" s="14">
        <v>0.04</v>
      </c>
      <c r="W238" s="14">
        <v>0.8</v>
      </c>
      <c r="X238" s="14">
        <v>0.40920000000000001</v>
      </c>
      <c r="Y238" s="14">
        <v>0.87</v>
      </c>
      <c r="Z238">
        <v>96</v>
      </c>
      <c r="AA238">
        <v>65</v>
      </c>
      <c r="AB238">
        <v>34</v>
      </c>
      <c r="AC238" s="4">
        <f t="shared" si="7"/>
        <v>0.69306666666666672</v>
      </c>
      <c r="AD238" s="25"/>
      <c r="AE238" s="3"/>
      <c r="AF238" s="3"/>
    </row>
    <row r="239" spans="1:32" x14ac:dyDescent="0.25">
      <c r="A239" s="20">
        <v>45895</v>
      </c>
      <c r="B239" s="3" t="s">
        <v>60</v>
      </c>
      <c r="C239" s="3">
        <f t="shared" si="6"/>
        <v>5</v>
      </c>
      <c r="D239" t="s">
        <v>67</v>
      </c>
      <c r="E239" s="14">
        <v>0.74</v>
      </c>
      <c r="F239" s="14">
        <v>0.84</v>
      </c>
      <c r="G239" s="14">
        <v>0.41</v>
      </c>
      <c r="H239" s="3">
        <v>13</v>
      </c>
      <c r="I239" s="3">
        <v>14</v>
      </c>
      <c r="J239" s="3">
        <v>4</v>
      </c>
      <c r="K239" s="3">
        <v>6</v>
      </c>
      <c r="L239" s="3">
        <v>9</v>
      </c>
      <c r="M239" s="3">
        <v>12</v>
      </c>
      <c r="N239" s="3">
        <v>7</v>
      </c>
      <c r="O239" s="3">
        <v>2142</v>
      </c>
      <c r="P239" s="3">
        <v>542</v>
      </c>
      <c r="Q239" s="3">
        <v>877.5</v>
      </c>
      <c r="R239" s="3">
        <v>3542</v>
      </c>
      <c r="S239" s="14">
        <v>0.74</v>
      </c>
      <c r="T239" s="14">
        <v>1.1200000000000001</v>
      </c>
      <c r="U239" s="14">
        <v>0.2</v>
      </c>
      <c r="V239" s="14">
        <v>0.03</v>
      </c>
      <c r="W239" s="14">
        <v>0.94</v>
      </c>
      <c r="X239" s="14">
        <v>0.60720000000000007</v>
      </c>
      <c r="Y239" s="14">
        <v>0.87</v>
      </c>
      <c r="Z239">
        <v>83</v>
      </c>
      <c r="AA239">
        <v>56</v>
      </c>
      <c r="AB239">
        <v>11</v>
      </c>
      <c r="AC239" s="4">
        <f t="shared" si="7"/>
        <v>0.80573333333333341</v>
      </c>
      <c r="AD239" s="25"/>
      <c r="AE239" s="3"/>
      <c r="AF239" s="3"/>
    </row>
    <row r="240" spans="1:32" x14ac:dyDescent="0.25">
      <c r="A240" s="20">
        <v>45896</v>
      </c>
      <c r="B240" s="3" t="s">
        <v>60</v>
      </c>
      <c r="C240" s="3">
        <f t="shared" si="6"/>
        <v>5</v>
      </c>
      <c r="D240" t="s">
        <v>68</v>
      </c>
      <c r="E240" s="14">
        <v>0.69</v>
      </c>
      <c r="F240" s="14">
        <v>0.52</v>
      </c>
      <c r="G240" s="14">
        <v>0.4</v>
      </c>
      <c r="H240" s="3">
        <v>37</v>
      </c>
      <c r="I240" s="3">
        <v>34</v>
      </c>
      <c r="J240" s="3">
        <v>12</v>
      </c>
      <c r="K240" s="3">
        <v>7</v>
      </c>
      <c r="L240" s="3">
        <v>2</v>
      </c>
      <c r="M240" s="3">
        <v>2</v>
      </c>
      <c r="N240" s="3">
        <v>1</v>
      </c>
      <c r="O240" s="3">
        <v>2856</v>
      </c>
      <c r="P240" s="3">
        <v>203</v>
      </c>
      <c r="Q240" s="3">
        <v>1090.5</v>
      </c>
      <c r="R240" s="3">
        <v>3351</v>
      </c>
      <c r="S240" s="14">
        <v>0.62</v>
      </c>
      <c r="T240" s="14">
        <v>0.79</v>
      </c>
      <c r="U240" s="14">
        <v>0.2</v>
      </c>
      <c r="V240" s="14">
        <v>0.1</v>
      </c>
      <c r="W240" s="14">
        <v>0.85</v>
      </c>
      <c r="X240" s="14">
        <v>0.63360000000000005</v>
      </c>
      <c r="Y240" s="14">
        <v>0.6</v>
      </c>
      <c r="Z240">
        <v>87</v>
      </c>
      <c r="AA240">
        <v>78</v>
      </c>
      <c r="AB240">
        <v>38</v>
      </c>
      <c r="AC240" s="4">
        <f t="shared" si="7"/>
        <v>0.69453333333333334</v>
      </c>
      <c r="AD240" s="25"/>
      <c r="AE240" s="3"/>
      <c r="AF240" s="3"/>
    </row>
    <row r="241" spans="1:32" x14ac:dyDescent="0.25">
      <c r="A241" s="20">
        <v>45897</v>
      </c>
      <c r="B241" s="3" t="s">
        <v>60</v>
      </c>
      <c r="C241" s="3">
        <f t="shared" si="6"/>
        <v>5</v>
      </c>
      <c r="D241" t="s">
        <v>69</v>
      </c>
      <c r="E241" s="14">
        <v>0.73</v>
      </c>
      <c r="F241" s="14">
        <v>0.7</v>
      </c>
      <c r="G241" s="14">
        <v>0.59</v>
      </c>
      <c r="H241" s="3">
        <v>32</v>
      </c>
      <c r="I241" s="3">
        <v>7</v>
      </c>
      <c r="J241" s="3">
        <v>12</v>
      </c>
      <c r="K241" s="3">
        <v>12</v>
      </c>
      <c r="L241" s="3">
        <v>9</v>
      </c>
      <c r="M241" s="3">
        <v>5</v>
      </c>
      <c r="N241" s="3">
        <v>11</v>
      </c>
      <c r="O241" s="3">
        <v>1512</v>
      </c>
      <c r="P241" s="3">
        <v>610</v>
      </c>
      <c r="Q241" s="3">
        <v>1273.5</v>
      </c>
      <c r="R241" s="3">
        <v>2117</v>
      </c>
      <c r="S241" s="14">
        <v>0.84</v>
      </c>
      <c r="T241" s="14">
        <v>0.92</v>
      </c>
      <c r="U241" s="14">
        <v>0.89</v>
      </c>
      <c r="V241" s="14">
        <v>0.06</v>
      </c>
      <c r="W241" s="14">
        <v>0.95</v>
      </c>
      <c r="X241" s="14">
        <v>0.91080000000000005</v>
      </c>
      <c r="Y241" s="14">
        <v>0.7</v>
      </c>
      <c r="Z241">
        <v>91</v>
      </c>
      <c r="AA241">
        <v>72</v>
      </c>
      <c r="AB241">
        <v>23</v>
      </c>
      <c r="AC241" s="4">
        <f t="shared" si="7"/>
        <v>0.85360000000000003</v>
      </c>
      <c r="AD241" s="25"/>
      <c r="AE241" s="3"/>
      <c r="AF241" s="3"/>
    </row>
    <row r="242" spans="1:32" x14ac:dyDescent="0.25">
      <c r="A242" s="20">
        <v>45898</v>
      </c>
      <c r="B242" s="3" t="s">
        <v>60</v>
      </c>
      <c r="C242" s="3">
        <f t="shared" si="6"/>
        <v>5</v>
      </c>
      <c r="D242" t="s">
        <v>70</v>
      </c>
      <c r="E242" s="14">
        <v>0.96</v>
      </c>
      <c r="F242" s="14">
        <v>0.46</v>
      </c>
      <c r="G242" s="14">
        <v>0.63</v>
      </c>
      <c r="H242" s="3">
        <v>23</v>
      </c>
      <c r="I242" s="3">
        <v>25</v>
      </c>
      <c r="J242" s="3">
        <v>6</v>
      </c>
      <c r="K242" s="3">
        <v>3</v>
      </c>
      <c r="L242" s="3">
        <v>4</v>
      </c>
      <c r="M242" s="3">
        <v>8</v>
      </c>
      <c r="N242" s="3">
        <v>3</v>
      </c>
      <c r="O242" s="3">
        <v>972</v>
      </c>
      <c r="P242" s="3">
        <v>1677</v>
      </c>
      <c r="Q242" s="3">
        <v>2556</v>
      </c>
      <c r="R242" s="3">
        <v>2811</v>
      </c>
      <c r="S242" s="14">
        <v>0.76</v>
      </c>
      <c r="T242" s="14">
        <v>0.41</v>
      </c>
      <c r="U242" s="14">
        <v>0.95</v>
      </c>
      <c r="V242" s="14">
        <v>0.03</v>
      </c>
      <c r="W242" s="14">
        <v>0.68</v>
      </c>
      <c r="X242" s="14">
        <v>0.60720000000000007</v>
      </c>
      <c r="Y242" s="14">
        <v>0.62</v>
      </c>
      <c r="Z242">
        <v>80</v>
      </c>
      <c r="AA242">
        <v>54</v>
      </c>
      <c r="AB242">
        <v>11</v>
      </c>
      <c r="AC242" s="4">
        <f t="shared" si="7"/>
        <v>0.63573333333333337</v>
      </c>
      <c r="AD242" s="25"/>
      <c r="AE242" s="3"/>
      <c r="AF242" s="3"/>
    </row>
    <row r="243" spans="1:32" x14ac:dyDescent="0.25">
      <c r="A243" s="20">
        <v>45899</v>
      </c>
      <c r="B243" s="3" t="s">
        <v>60</v>
      </c>
      <c r="C243" s="3">
        <f t="shared" si="6"/>
        <v>5</v>
      </c>
      <c r="D243" t="s">
        <v>51</v>
      </c>
      <c r="E243" s="14">
        <v>0.28000000000000003</v>
      </c>
      <c r="F243" s="14">
        <v>0.72</v>
      </c>
      <c r="G243" s="14">
        <v>0.41</v>
      </c>
      <c r="H243" s="3">
        <v>35</v>
      </c>
      <c r="I243" s="3">
        <v>13</v>
      </c>
      <c r="J243" s="3">
        <v>7</v>
      </c>
      <c r="K243" s="3">
        <v>6</v>
      </c>
      <c r="L243" s="3">
        <v>5</v>
      </c>
      <c r="M243" s="3">
        <v>5</v>
      </c>
      <c r="N243" s="3">
        <v>1</v>
      </c>
      <c r="O243" s="3">
        <v>2823</v>
      </c>
      <c r="P243" s="3">
        <v>1776</v>
      </c>
      <c r="Q243" s="3">
        <v>2245.5</v>
      </c>
      <c r="R243" s="3">
        <v>3048</v>
      </c>
      <c r="S243" s="14">
        <v>1.23</v>
      </c>
      <c r="T243" s="14">
        <v>1.08</v>
      </c>
      <c r="U243" s="14">
        <v>0.51</v>
      </c>
      <c r="V243" s="14">
        <v>7.0000000000000007E-2</v>
      </c>
      <c r="W243" s="14">
        <v>0.25200000000000006</v>
      </c>
      <c r="X243" s="14">
        <v>0.34451999999999999</v>
      </c>
      <c r="Y243" s="14">
        <v>0.28800000000000003</v>
      </c>
      <c r="Z243">
        <v>93</v>
      </c>
      <c r="AA243">
        <v>64</v>
      </c>
      <c r="AB243">
        <v>42</v>
      </c>
      <c r="AC243" s="4">
        <f t="shared" si="7"/>
        <v>0.29484000000000005</v>
      </c>
      <c r="AD243" s="25"/>
      <c r="AE243" s="3"/>
      <c r="AF243" s="3"/>
    </row>
    <row r="244" spans="1:32" x14ac:dyDescent="0.25">
      <c r="A244" s="20">
        <v>45900</v>
      </c>
      <c r="B244" s="3" t="s">
        <v>60</v>
      </c>
      <c r="C244" s="3">
        <f t="shared" si="6"/>
        <v>5</v>
      </c>
      <c r="D244" t="s">
        <v>65</v>
      </c>
      <c r="E244" s="14">
        <v>0.43</v>
      </c>
      <c r="F244" s="14">
        <v>0.41</v>
      </c>
      <c r="G244" s="14">
        <v>0.48</v>
      </c>
      <c r="H244" s="3">
        <v>9</v>
      </c>
      <c r="I244" s="3">
        <v>33</v>
      </c>
      <c r="J244" s="3">
        <v>7</v>
      </c>
      <c r="K244" s="3">
        <v>2</v>
      </c>
      <c r="L244" s="3">
        <v>2</v>
      </c>
      <c r="M244" s="3">
        <v>7</v>
      </c>
      <c r="N244" s="3">
        <v>2</v>
      </c>
      <c r="O244" s="3">
        <v>0</v>
      </c>
      <c r="P244" s="3">
        <v>2758</v>
      </c>
      <c r="Q244" s="3">
        <v>2305.5</v>
      </c>
      <c r="R244" s="3">
        <v>3033</v>
      </c>
      <c r="S244" s="14">
        <v>0.68</v>
      </c>
      <c r="T244" s="14">
        <v>1.19</v>
      </c>
      <c r="U244" s="14">
        <v>0.41</v>
      </c>
      <c r="V244" s="14">
        <v>0.08</v>
      </c>
      <c r="W244" s="14">
        <v>0.216</v>
      </c>
      <c r="X244" s="14">
        <v>0.42174000000000006</v>
      </c>
      <c r="Y244" s="14">
        <v>0.22500000000000001</v>
      </c>
      <c r="Z244">
        <v>89</v>
      </c>
      <c r="AA244">
        <v>64</v>
      </c>
      <c r="AB244">
        <v>22</v>
      </c>
      <c r="AC244" s="4">
        <f t="shared" si="7"/>
        <v>0.28758</v>
      </c>
      <c r="AD244" s="25"/>
      <c r="AE244" s="3"/>
      <c r="AF244" s="3"/>
    </row>
    <row r="245" spans="1:32" x14ac:dyDescent="0.25">
      <c r="A245" s="20">
        <v>45901</v>
      </c>
      <c r="B245" s="3" t="s">
        <v>61</v>
      </c>
      <c r="C245" s="3">
        <f t="shared" si="6"/>
        <v>1</v>
      </c>
      <c r="D245" t="s">
        <v>66</v>
      </c>
      <c r="E245" s="14">
        <v>1</v>
      </c>
      <c r="F245" s="14">
        <v>0.64</v>
      </c>
      <c r="G245" s="14">
        <v>0.54</v>
      </c>
      <c r="H245" s="3">
        <v>9</v>
      </c>
      <c r="I245" s="3">
        <v>11</v>
      </c>
      <c r="J245" s="3">
        <v>6</v>
      </c>
      <c r="K245" s="3">
        <v>3</v>
      </c>
      <c r="L245" s="3">
        <v>5</v>
      </c>
      <c r="M245" s="3">
        <v>2</v>
      </c>
      <c r="N245" s="3">
        <v>1</v>
      </c>
      <c r="O245" s="3">
        <v>624</v>
      </c>
      <c r="P245" s="3">
        <v>2488</v>
      </c>
      <c r="Q245" s="3">
        <v>27</v>
      </c>
      <c r="R245" s="3">
        <v>2736</v>
      </c>
      <c r="S245" s="14">
        <v>1.23</v>
      </c>
      <c r="T245" s="14">
        <v>0.2</v>
      </c>
      <c r="U245" s="14">
        <v>0.3</v>
      </c>
      <c r="V245" s="14">
        <v>0.1</v>
      </c>
      <c r="W245" s="14">
        <v>0.67</v>
      </c>
      <c r="X245" s="14">
        <v>0.67320000000000002</v>
      </c>
      <c r="Y245" s="14">
        <v>0.78</v>
      </c>
      <c r="Z245">
        <v>98</v>
      </c>
      <c r="AA245">
        <v>50</v>
      </c>
      <c r="AB245">
        <v>10</v>
      </c>
      <c r="AC245" s="4">
        <f t="shared" si="7"/>
        <v>0.70773333333333321</v>
      </c>
      <c r="AD245" s="25"/>
      <c r="AE245" s="3"/>
      <c r="AF245" s="3"/>
    </row>
    <row r="246" spans="1:32" x14ac:dyDescent="0.25">
      <c r="A246" s="20">
        <v>45902</v>
      </c>
      <c r="B246" s="3" t="s">
        <v>61</v>
      </c>
      <c r="C246" s="3">
        <f t="shared" si="6"/>
        <v>1</v>
      </c>
      <c r="D246" t="s">
        <v>67</v>
      </c>
      <c r="E246" s="14">
        <v>0.96</v>
      </c>
      <c r="F246" s="14">
        <v>0.85</v>
      </c>
      <c r="G246" s="14">
        <v>0.62</v>
      </c>
      <c r="H246" s="3">
        <v>39</v>
      </c>
      <c r="I246" s="3">
        <v>6</v>
      </c>
      <c r="J246" s="3">
        <v>9</v>
      </c>
      <c r="K246" s="3">
        <v>2</v>
      </c>
      <c r="L246" s="3">
        <v>2</v>
      </c>
      <c r="M246" s="3">
        <v>8</v>
      </c>
      <c r="N246" s="3">
        <v>5</v>
      </c>
      <c r="O246" s="3">
        <v>653</v>
      </c>
      <c r="P246" s="3">
        <v>1860</v>
      </c>
      <c r="Q246" s="3">
        <v>1633.5</v>
      </c>
      <c r="R246" s="3">
        <v>2046</v>
      </c>
      <c r="S246" s="14">
        <v>1.1299999999999999</v>
      </c>
      <c r="T246" s="14">
        <v>0.8</v>
      </c>
      <c r="U246" s="14">
        <v>0.6</v>
      </c>
      <c r="V246" s="14">
        <v>0.08</v>
      </c>
      <c r="W246" s="14">
        <v>0.84</v>
      </c>
      <c r="X246" s="14">
        <v>0.58080000000000009</v>
      </c>
      <c r="Y246" s="14">
        <v>0.66</v>
      </c>
      <c r="Z246">
        <v>90</v>
      </c>
      <c r="AA246">
        <v>77</v>
      </c>
      <c r="AB246">
        <v>16</v>
      </c>
      <c r="AC246" s="4">
        <f t="shared" si="7"/>
        <v>0.69359999999999999</v>
      </c>
      <c r="AD246" s="25"/>
      <c r="AE246" s="3"/>
      <c r="AF246" s="3"/>
    </row>
    <row r="247" spans="1:32" x14ac:dyDescent="0.25">
      <c r="A247" s="20">
        <v>45903</v>
      </c>
      <c r="B247" s="3" t="s">
        <v>61</v>
      </c>
      <c r="C247" s="3">
        <f t="shared" si="6"/>
        <v>1</v>
      </c>
      <c r="D247" t="s">
        <v>68</v>
      </c>
      <c r="E247" s="14">
        <v>0.8</v>
      </c>
      <c r="F247" s="14">
        <v>0.88</v>
      </c>
      <c r="G247" s="14">
        <v>0.46</v>
      </c>
      <c r="H247" s="3">
        <v>37</v>
      </c>
      <c r="I247" s="3">
        <v>8</v>
      </c>
      <c r="J247" s="3">
        <v>8</v>
      </c>
      <c r="K247" s="3">
        <v>12</v>
      </c>
      <c r="L247" s="3">
        <v>7</v>
      </c>
      <c r="M247" s="3">
        <v>5</v>
      </c>
      <c r="N247" s="3">
        <v>4</v>
      </c>
      <c r="O247" s="3">
        <v>3211</v>
      </c>
      <c r="P247" s="3">
        <v>2117</v>
      </c>
      <c r="Q247" s="3">
        <v>684</v>
      </c>
      <c r="R247" s="3">
        <v>5052</v>
      </c>
      <c r="S247" s="14">
        <v>1.1499999999999999</v>
      </c>
      <c r="T247" s="14">
        <v>0.15</v>
      </c>
      <c r="U247" s="14">
        <v>0.44</v>
      </c>
      <c r="V247" s="14">
        <v>0.05</v>
      </c>
      <c r="W247" s="14">
        <v>0.95</v>
      </c>
      <c r="X247" s="14">
        <v>0.96360000000000012</v>
      </c>
      <c r="Y247" s="14">
        <v>0.82</v>
      </c>
      <c r="Z247">
        <v>85</v>
      </c>
      <c r="AA247">
        <v>70</v>
      </c>
      <c r="AB247">
        <v>19</v>
      </c>
      <c r="AC247" s="4">
        <f t="shared" si="7"/>
        <v>0.91120000000000001</v>
      </c>
      <c r="AD247" s="25"/>
      <c r="AE247" s="3"/>
      <c r="AF247" s="3"/>
    </row>
    <row r="248" spans="1:32" x14ac:dyDescent="0.25">
      <c r="A248" s="20">
        <v>45904</v>
      </c>
      <c r="B248" s="3" t="s">
        <v>61</v>
      </c>
      <c r="C248" s="3">
        <f t="shared" si="6"/>
        <v>1</v>
      </c>
      <c r="D248" t="s">
        <v>69</v>
      </c>
      <c r="E248" s="14">
        <v>0.86</v>
      </c>
      <c r="F248" s="14">
        <v>0.73</v>
      </c>
      <c r="G248" s="14">
        <v>0.47</v>
      </c>
      <c r="H248" s="3">
        <v>35</v>
      </c>
      <c r="I248" s="3">
        <v>38</v>
      </c>
      <c r="J248" s="3">
        <v>12</v>
      </c>
      <c r="K248" s="3">
        <v>9</v>
      </c>
      <c r="L248" s="3">
        <v>4</v>
      </c>
      <c r="M248" s="3">
        <v>11</v>
      </c>
      <c r="N248" s="3">
        <v>1</v>
      </c>
      <c r="O248" s="3">
        <v>2129</v>
      </c>
      <c r="P248" s="3">
        <v>246</v>
      </c>
      <c r="Q248" s="3">
        <v>1653</v>
      </c>
      <c r="R248" s="3">
        <v>3009</v>
      </c>
      <c r="S248" s="14">
        <v>0.48</v>
      </c>
      <c r="T248" s="14">
        <v>1.1599999999999999</v>
      </c>
      <c r="U248" s="14">
        <v>0.34</v>
      </c>
      <c r="V248" s="14">
        <v>0.09</v>
      </c>
      <c r="W248" s="14">
        <v>0.67</v>
      </c>
      <c r="X248" s="14">
        <v>0.42240000000000005</v>
      </c>
      <c r="Y248" s="14">
        <v>0.8</v>
      </c>
      <c r="Z248">
        <v>97</v>
      </c>
      <c r="AA248">
        <v>52</v>
      </c>
      <c r="AB248">
        <v>14</v>
      </c>
      <c r="AC248" s="4">
        <f t="shared" si="7"/>
        <v>0.63080000000000003</v>
      </c>
      <c r="AD248" s="25"/>
      <c r="AE248" s="3"/>
      <c r="AF248" s="3"/>
    </row>
    <row r="249" spans="1:32" x14ac:dyDescent="0.25">
      <c r="A249" s="20">
        <v>45905</v>
      </c>
      <c r="B249" s="3" t="s">
        <v>61</v>
      </c>
      <c r="C249" s="3">
        <f t="shared" si="6"/>
        <v>1</v>
      </c>
      <c r="D249" t="s">
        <v>70</v>
      </c>
      <c r="E249" s="14">
        <v>0.9</v>
      </c>
      <c r="F249" s="14">
        <v>0.36</v>
      </c>
      <c r="G249" s="14">
        <v>0.77</v>
      </c>
      <c r="H249" s="3">
        <v>25</v>
      </c>
      <c r="I249" s="3">
        <v>24</v>
      </c>
      <c r="J249" s="3">
        <v>6</v>
      </c>
      <c r="K249" s="3">
        <v>3</v>
      </c>
      <c r="L249" s="3">
        <v>5</v>
      </c>
      <c r="M249" s="3">
        <v>2</v>
      </c>
      <c r="N249" s="3">
        <v>4</v>
      </c>
      <c r="O249" s="3">
        <v>1227</v>
      </c>
      <c r="P249" s="3">
        <v>1294</v>
      </c>
      <c r="Q249" s="3">
        <v>1714.5</v>
      </c>
      <c r="R249" s="3">
        <v>1885</v>
      </c>
      <c r="S249" s="14">
        <v>0.15</v>
      </c>
      <c r="T249" s="14">
        <v>0.71</v>
      </c>
      <c r="U249" s="14">
        <v>0.66</v>
      </c>
      <c r="V249" s="14">
        <v>0.08</v>
      </c>
      <c r="W249" s="14">
        <v>0.45</v>
      </c>
      <c r="X249" s="14">
        <v>0.95040000000000002</v>
      </c>
      <c r="Y249" s="14">
        <v>0.45</v>
      </c>
      <c r="Z249">
        <v>96</v>
      </c>
      <c r="AA249">
        <v>62</v>
      </c>
      <c r="AB249">
        <v>12</v>
      </c>
      <c r="AC249" s="4">
        <f t="shared" si="7"/>
        <v>0.61680000000000001</v>
      </c>
      <c r="AD249" s="25"/>
      <c r="AE249" s="3"/>
      <c r="AF249" s="3"/>
    </row>
    <row r="250" spans="1:32" x14ac:dyDescent="0.25">
      <c r="A250" s="20">
        <v>45906</v>
      </c>
      <c r="B250" s="3" t="s">
        <v>61</v>
      </c>
      <c r="C250" s="3">
        <f t="shared" si="6"/>
        <v>1</v>
      </c>
      <c r="D250" t="s">
        <v>51</v>
      </c>
      <c r="E250" s="14">
        <v>0.49</v>
      </c>
      <c r="F250" s="14">
        <v>0.48</v>
      </c>
      <c r="G250" s="14">
        <v>0.49</v>
      </c>
      <c r="H250" s="3">
        <v>28</v>
      </c>
      <c r="I250" s="3">
        <v>33</v>
      </c>
      <c r="J250" s="3">
        <v>8</v>
      </c>
      <c r="K250" s="3">
        <v>6</v>
      </c>
      <c r="L250" s="3">
        <v>7</v>
      </c>
      <c r="M250" s="3">
        <v>2</v>
      </c>
      <c r="N250" s="3">
        <v>2</v>
      </c>
      <c r="O250" s="3">
        <v>1962</v>
      </c>
      <c r="P250" s="3">
        <v>2795</v>
      </c>
      <c r="Q250" s="3">
        <v>1363.5</v>
      </c>
      <c r="R250" s="3">
        <v>3245</v>
      </c>
      <c r="S250" s="14">
        <v>0.91</v>
      </c>
      <c r="T250" s="14">
        <v>1.07</v>
      </c>
      <c r="U250" s="14">
        <v>0.86</v>
      </c>
      <c r="V250" s="14">
        <v>0.01</v>
      </c>
      <c r="W250" s="14">
        <v>0.23400000000000001</v>
      </c>
      <c r="X250" s="14">
        <v>0.38610000000000005</v>
      </c>
      <c r="Y250" s="14">
        <v>0.38250000000000001</v>
      </c>
      <c r="Z250">
        <v>93</v>
      </c>
      <c r="AA250">
        <v>78</v>
      </c>
      <c r="AB250">
        <v>28</v>
      </c>
      <c r="AC250" s="4">
        <f t="shared" si="7"/>
        <v>0.33420000000000005</v>
      </c>
      <c r="AD250" s="25"/>
      <c r="AE250" s="3"/>
      <c r="AF250" s="3"/>
    </row>
    <row r="251" spans="1:32" x14ac:dyDescent="0.25">
      <c r="A251" s="20">
        <v>45907</v>
      </c>
      <c r="B251" s="3" t="s">
        <v>61</v>
      </c>
      <c r="C251" s="3">
        <f t="shared" si="6"/>
        <v>1</v>
      </c>
      <c r="D251" t="s">
        <v>65</v>
      </c>
      <c r="E251" s="14">
        <v>0.37</v>
      </c>
      <c r="F251" s="14">
        <v>0.75</v>
      </c>
      <c r="G251" s="14">
        <v>0.6</v>
      </c>
      <c r="H251" s="3">
        <v>27</v>
      </c>
      <c r="I251" s="3">
        <v>35</v>
      </c>
      <c r="J251" s="3">
        <v>6</v>
      </c>
      <c r="K251" s="3">
        <v>2</v>
      </c>
      <c r="L251" s="3">
        <v>5</v>
      </c>
      <c r="M251" s="3">
        <v>2</v>
      </c>
      <c r="N251" s="3">
        <v>8</v>
      </c>
      <c r="O251" s="3">
        <v>1099</v>
      </c>
      <c r="P251" s="3">
        <v>1865</v>
      </c>
      <c r="Q251" s="3">
        <v>1756.5</v>
      </c>
      <c r="R251" s="3">
        <v>1935</v>
      </c>
      <c r="S251" s="14">
        <v>0.47</v>
      </c>
      <c r="T251" s="14">
        <v>0.87</v>
      </c>
      <c r="U251" s="14">
        <v>0.9</v>
      </c>
      <c r="V251" s="14">
        <v>0.02</v>
      </c>
      <c r="W251" s="14">
        <v>0.35550000000000004</v>
      </c>
      <c r="X251" s="14">
        <v>0.23166000000000003</v>
      </c>
      <c r="Y251" s="14">
        <v>0.25200000000000006</v>
      </c>
      <c r="Z251">
        <v>93</v>
      </c>
      <c r="AA251">
        <v>59</v>
      </c>
      <c r="AB251">
        <v>29</v>
      </c>
      <c r="AC251" s="4">
        <f t="shared" si="7"/>
        <v>0.27972000000000002</v>
      </c>
      <c r="AD251" s="25"/>
      <c r="AE251" s="3"/>
      <c r="AF251" s="3"/>
    </row>
    <row r="252" spans="1:32" x14ac:dyDescent="0.25">
      <c r="A252" s="20">
        <v>45908</v>
      </c>
      <c r="B252" s="3" t="s">
        <v>61</v>
      </c>
      <c r="C252" s="3">
        <f t="shared" si="6"/>
        <v>2</v>
      </c>
      <c r="D252" t="s">
        <v>66</v>
      </c>
      <c r="E252" s="14">
        <v>0.66</v>
      </c>
      <c r="F252" s="14">
        <v>0.62</v>
      </c>
      <c r="G252" s="14">
        <v>0.61</v>
      </c>
      <c r="H252" s="3">
        <v>31</v>
      </c>
      <c r="I252" s="3">
        <v>33</v>
      </c>
      <c r="J252" s="3">
        <v>12</v>
      </c>
      <c r="K252" s="3">
        <v>7</v>
      </c>
      <c r="L252" s="3">
        <v>12</v>
      </c>
      <c r="M252" s="3">
        <v>2</v>
      </c>
      <c r="N252" s="3">
        <v>11</v>
      </c>
      <c r="O252" s="3">
        <v>2271</v>
      </c>
      <c r="P252" s="3">
        <v>2173</v>
      </c>
      <c r="Q252" s="3">
        <v>432</v>
      </c>
      <c r="R252" s="3">
        <v>2816</v>
      </c>
      <c r="S252" s="14">
        <v>0.96</v>
      </c>
      <c r="T252" s="14">
        <v>0.5</v>
      </c>
      <c r="U252" s="14">
        <v>0.24</v>
      </c>
      <c r="V252" s="14">
        <v>0.06</v>
      </c>
      <c r="W252" s="14">
        <v>0.51</v>
      </c>
      <c r="X252" s="14">
        <v>0.47520000000000001</v>
      </c>
      <c r="Y252" s="14">
        <v>0.66</v>
      </c>
      <c r="Z252">
        <v>92</v>
      </c>
      <c r="AA252">
        <v>73</v>
      </c>
      <c r="AB252">
        <v>12</v>
      </c>
      <c r="AC252" s="4">
        <f t="shared" si="7"/>
        <v>0.5484</v>
      </c>
      <c r="AD252" s="25"/>
      <c r="AE252" s="3"/>
      <c r="AF252" s="3"/>
    </row>
    <row r="253" spans="1:32" x14ac:dyDescent="0.25">
      <c r="A253" s="20">
        <v>45909</v>
      </c>
      <c r="B253" s="3" t="s">
        <v>61</v>
      </c>
      <c r="C253" s="3">
        <f t="shared" si="6"/>
        <v>2</v>
      </c>
      <c r="D253" t="s">
        <v>67</v>
      </c>
      <c r="E253" s="14">
        <v>0.8</v>
      </c>
      <c r="F253" s="14">
        <v>0.69</v>
      </c>
      <c r="G253" s="14">
        <v>0.78</v>
      </c>
      <c r="H253" s="3">
        <v>14</v>
      </c>
      <c r="I253" s="3">
        <v>30</v>
      </c>
      <c r="J253" s="3">
        <v>1</v>
      </c>
      <c r="K253" s="3">
        <v>2</v>
      </c>
      <c r="L253" s="3">
        <v>11</v>
      </c>
      <c r="M253" s="3">
        <v>12</v>
      </c>
      <c r="N253" s="3">
        <v>2</v>
      </c>
      <c r="O253" s="3">
        <v>363</v>
      </c>
      <c r="P253" s="3">
        <v>2526</v>
      </c>
      <c r="Q253" s="3">
        <v>298.5</v>
      </c>
      <c r="R253" s="3">
        <v>2778</v>
      </c>
      <c r="S253" s="14">
        <v>1.01</v>
      </c>
      <c r="T253" s="14">
        <v>0.92</v>
      </c>
      <c r="U253" s="14">
        <v>0.53</v>
      </c>
      <c r="V253" s="14">
        <v>0.04</v>
      </c>
      <c r="W253" s="14">
        <v>0.76</v>
      </c>
      <c r="X253" s="14">
        <v>0.73920000000000008</v>
      </c>
      <c r="Y253" s="14">
        <v>0.88</v>
      </c>
      <c r="Z253">
        <v>78</v>
      </c>
      <c r="AA253">
        <v>65</v>
      </c>
      <c r="AB253">
        <v>30</v>
      </c>
      <c r="AC253" s="4">
        <f t="shared" si="7"/>
        <v>0.7930666666666667</v>
      </c>
      <c r="AD253" s="25"/>
      <c r="AE253" s="3"/>
      <c r="AF253" s="3"/>
    </row>
    <row r="254" spans="1:32" x14ac:dyDescent="0.25">
      <c r="A254" s="20">
        <v>45910</v>
      </c>
      <c r="B254" s="3" t="s">
        <v>61</v>
      </c>
      <c r="C254" s="3">
        <f t="shared" si="6"/>
        <v>2</v>
      </c>
      <c r="D254" t="s">
        <v>68</v>
      </c>
      <c r="E254" s="14">
        <v>0.77</v>
      </c>
      <c r="F254" s="14">
        <v>0.55000000000000004</v>
      </c>
      <c r="G254" s="14">
        <v>0.65</v>
      </c>
      <c r="H254" s="3">
        <v>26</v>
      </c>
      <c r="I254" s="3">
        <v>6</v>
      </c>
      <c r="J254" s="3">
        <v>5</v>
      </c>
      <c r="K254" s="3">
        <v>4</v>
      </c>
      <c r="L254" s="3">
        <v>12</v>
      </c>
      <c r="M254" s="3">
        <v>9</v>
      </c>
      <c r="N254" s="3">
        <v>3</v>
      </c>
      <c r="O254" s="3">
        <v>3056</v>
      </c>
      <c r="P254" s="3">
        <v>160</v>
      </c>
      <c r="Q254" s="3">
        <v>2575.5</v>
      </c>
      <c r="R254" s="3">
        <v>4115</v>
      </c>
      <c r="S254" s="14">
        <v>0.81</v>
      </c>
      <c r="T254" s="14">
        <v>0.88</v>
      </c>
      <c r="U254" s="14">
        <v>1.05</v>
      </c>
      <c r="V254" s="14">
        <v>0.04</v>
      </c>
      <c r="W254" s="14">
        <v>0.54</v>
      </c>
      <c r="X254" s="14">
        <v>0.64680000000000004</v>
      </c>
      <c r="Y254" s="14">
        <v>0.89</v>
      </c>
      <c r="Z254">
        <v>92</v>
      </c>
      <c r="AA254">
        <v>75</v>
      </c>
      <c r="AB254">
        <v>44</v>
      </c>
      <c r="AC254" s="4">
        <f t="shared" si="7"/>
        <v>0.6922666666666667</v>
      </c>
      <c r="AD254" s="25"/>
      <c r="AE254" s="3"/>
      <c r="AF254" s="3"/>
    </row>
    <row r="255" spans="1:32" x14ac:dyDescent="0.25">
      <c r="A255" s="20">
        <v>45911</v>
      </c>
      <c r="B255" s="3" t="s">
        <v>61</v>
      </c>
      <c r="C255" s="3">
        <f t="shared" si="6"/>
        <v>2</v>
      </c>
      <c r="D255" t="s">
        <v>69</v>
      </c>
      <c r="E255" s="14">
        <v>0.81</v>
      </c>
      <c r="F255" s="14">
        <v>0.47</v>
      </c>
      <c r="G255" s="14">
        <v>0.53</v>
      </c>
      <c r="H255" s="3">
        <v>19</v>
      </c>
      <c r="I255" s="3">
        <v>39</v>
      </c>
      <c r="J255" s="3">
        <v>3</v>
      </c>
      <c r="K255" s="3">
        <v>12</v>
      </c>
      <c r="L255" s="3">
        <v>3</v>
      </c>
      <c r="M255" s="3">
        <v>3</v>
      </c>
      <c r="N255" s="3">
        <v>9</v>
      </c>
      <c r="O255" s="3">
        <v>96</v>
      </c>
      <c r="P255" s="3">
        <v>671</v>
      </c>
      <c r="Q255" s="3">
        <v>76.5</v>
      </c>
      <c r="R255" s="3">
        <v>738</v>
      </c>
      <c r="S255" s="14">
        <v>0.32</v>
      </c>
      <c r="T255" s="14">
        <v>0.47</v>
      </c>
      <c r="U255" s="14">
        <v>0.42</v>
      </c>
      <c r="V255" s="14">
        <v>0.08</v>
      </c>
      <c r="W255" s="14">
        <v>0.68</v>
      </c>
      <c r="X255" s="14">
        <v>0.5676000000000001</v>
      </c>
      <c r="Y255" s="14">
        <v>0.47</v>
      </c>
      <c r="Z255">
        <v>83</v>
      </c>
      <c r="AA255">
        <v>63</v>
      </c>
      <c r="AB255">
        <v>47</v>
      </c>
      <c r="AC255" s="4">
        <f t="shared" si="7"/>
        <v>0.57253333333333345</v>
      </c>
      <c r="AD255" s="25"/>
      <c r="AE255" s="3"/>
      <c r="AF255" s="3"/>
    </row>
    <row r="256" spans="1:32" x14ac:dyDescent="0.25">
      <c r="A256" s="20">
        <v>45912</v>
      </c>
      <c r="B256" s="3" t="s">
        <v>61</v>
      </c>
      <c r="C256" s="3">
        <f t="shared" si="6"/>
        <v>2</v>
      </c>
      <c r="D256" t="s">
        <v>70</v>
      </c>
      <c r="E256" s="14">
        <v>0.6</v>
      </c>
      <c r="F256" s="14">
        <v>0.57999999999999996</v>
      </c>
      <c r="G256" s="14">
        <v>0.57999999999999996</v>
      </c>
      <c r="H256" s="3">
        <v>21</v>
      </c>
      <c r="I256" s="3">
        <v>11</v>
      </c>
      <c r="J256" s="3">
        <v>2</v>
      </c>
      <c r="K256" s="3">
        <v>7</v>
      </c>
      <c r="L256" s="3">
        <v>5</v>
      </c>
      <c r="M256" s="3">
        <v>4</v>
      </c>
      <c r="N256" s="3">
        <v>2</v>
      </c>
      <c r="O256" s="3">
        <v>2564</v>
      </c>
      <c r="P256" s="3">
        <v>245</v>
      </c>
      <c r="Q256" s="3">
        <v>1338</v>
      </c>
      <c r="R256" s="3">
        <v>4273</v>
      </c>
      <c r="S256" s="14">
        <v>0.39</v>
      </c>
      <c r="T256" s="14">
        <v>0.36</v>
      </c>
      <c r="U256" s="14">
        <v>0.73</v>
      </c>
      <c r="V256" s="14">
        <v>0.02</v>
      </c>
      <c r="W256" s="14">
        <v>0.52</v>
      </c>
      <c r="X256" s="14">
        <v>0.93720000000000003</v>
      </c>
      <c r="Y256" s="14">
        <v>0.46</v>
      </c>
      <c r="Z256">
        <v>95</v>
      </c>
      <c r="AA256">
        <v>79</v>
      </c>
      <c r="AB256">
        <v>42</v>
      </c>
      <c r="AC256" s="4">
        <f t="shared" si="7"/>
        <v>0.63906666666666667</v>
      </c>
      <c r="AD256" s="25"/>
      <c r="AE256" s="3"/>
      <c r="AF256" s="3"/>
    </row>
    <row r="257" spans="1:32" x14ac:dyDescent="0.25">
      <c r="A257" s="20">
        <v>45913</v>
      </c>
      <c r="B257" s="3" t="s">
        <v>61</v>
      </c>
      <c r="C257" s="3">
        <f t="shared" si="6"/>
        <v>2</v>
      </c>
      <c r="D257" t="s">
        <v>51</v>
      </c>
      <c r="E257" s="14">
        <v>0.1</v>
      </c>
      <c r="F257" s="14">
        <v>0.43</v>
      </c>
      <c r="G257" s="14">
        <v>0.54</v>
      </c>
      <c r="H257" s="3">
        <v>36</v>
      </c>
      <c r="I257" s="3">
        <v>26</v>
      </c>
      <c r="J257" s="3">
        <v>7</v>
      </c>
      <c r="K257" s="3">
        <v>7</v>
      </c>
      <c r="L257" s="3">
        <v>4</v>
      </c>
      <c r="M257" s="3">
        <v>4</v>
      </c>
      <c r="N257" s="3">
        <v>2</v>
      </c>
      <c r="O257" s="3">
        <v>3742</v>
      </c>
      <c r="P257" s="3">
        <v>1388</v>
      </c>
      <c r="Q257" s="3">
        <v>1140</v>
      </c>
      <c r="R257" s="3">
        <v>6986</v>
      </c>
      <c r="S257" s="14">
        <v>0.53</v>
      </c>
      <c r="T257" s="14">
        <v>0.57999999999999996</v>
      </c>
      <c r="U257" s="14">
        <v>0.32</v>
      </c>
      <c r="V257" s="14">
        <v>0.08</v>
      </c>
      <c r="W257" s="14">
        <v>0.34200000000000003</v>
      </c>
      <c r="X257" s="14">
        <v>0.26136000000000004</v>
      </c>
      <c r="Y257" s="14">
        <v>0.39600000000000002</v>
      </c>
      <c r="Z257">
        <v>93</v>
      </c>
      <c r="AA257">
        <v>53</v>
      </c>
      <c r="AB257">
        <v>31</v>
      </c>
      <c r="AC257" s="4">
        <f t="shared" si="7"/>
        <v>0.33312000000000003</v>
      </c>
      <c r="AD257" s="25"/>
      <c r="AE257" s="3"/>
      <c r="AF257" s="3"/>
    </row>
    <row r="258" spans="1:32" x14ac:dyDescent="0.25">
      <c r="A258" s="20">
        <v>45914</v>
      </c>
      <c r="B258" s="3" t="s">
        <v>61</v>
      </c>
      <c r="C258" s="3">
        <f t="shared" si="6"/>
        <v>2</v>
      </c>
      <c r="D258" t="s">
        <v>65</v>
      </c>
      <c r="E258" s="14">
        <v>0.3</v>
      </c>
      <c r="F258" s="14">
        <v>0.46</v>
      </c>
      <c r="G258" s="14">
        <v>0.64</v>
      </c>
      <c r="H258" s="3">
        <v>12</v>
      </c>
      <c r="I258" s="3">
        <v>15</v>
      </c>
      <c r="J258" s="3">
        <v>2</v>
      </c>
      <c r="K258" s="3">
        <v>2</v>
      </c>
      <c r="L258" s="3">
        <v>6</v>
      </c>
      <c r="M258" s="3">
        <v>4</v>
      </c>
      <c r="N258" s="3">
        <v>4</v>
      </c>
      <c r="O258" s="3">
        <v>3166</v>
      </c>
      <c r="P258" s="3">
        <v>119</v>
      </c>
      <c r="Q258" s="3">
        <v>2614.5</v>
      </c>
      <c r="R258" s="3">
        <v>3926</v>
      </c>
      <c r="S258" s="14">
        <v>0.52</v>
      </c>
      <c r="T258" s="14">
        <v>1.19</v>
      </c>
      <c r="U258" s="14">
        <v>1.1200000000000001</v>
      </c>
      <c r="V258" s="14">
        <v>7.0000000000000007E-2</v>
      </c>
      <c r="W258" s="14">
        <v>0.34650000000000003</v>
      </c>
      <c r="X258" s="14">
        <v>0.40392000000000006</v>
      </c>
      <c r="Y258" s="14">
        <v>0.1575</v>
      </c>
      <c r="Z258">
        <v>97</v>
      </c>
      <c r="AA258">
        <v>61</v>
      </c>
      <c r="AB258">
        <v>34</v>
      </c>
      <c r="AC258" s="4">
        <f t="shared" si="7"/>
        <v>0.30264000000000002</v>
      </c>
      <c r="AD258" s="25"/>
      <c r="AE258" s="3"/>
      <c r="AF258" s="3"/>
    </row>
    <row r="259" spans="1:32" x14ac:dyDescent="0.25">
      <c r="A259" s="20">
        <v>45915</v>
      </c>
      <c r="B259" s="3" t="s">
        <v>61</v>
      </c>
      <c r="C259" s="3">
        <f t="shared" ref="C259:C322" si="8">WEEKNUM(A259, 2)-WEEKNUM(DATE(YEAR(A259),MONTH(A259),1),2) +1</f>
        <v>3</v>
      </c>
      <c r="D259" t="s">
        <v>66</v>
      </c>
      <c r="E259" s="14">
        <v>0.86</v>
      </c>
      <c r="F259" s="14">
        <v>0.83</v>
      </c>
      <c r="G259" s="14">
        <v>0.75</v>
      </c>
      <c r="H259" s="3">
        <v>19</v>
      </c>
      <c r="I259" s="3">
        <v>39</v>
      </c>
      <c r="J259" s="3">
        <v>7</v>
      </c>
      <c r="K259" s="3">
        <v>4</v>
      </c>
      <c r="L259" s="3">
        <v>12</v>
      </c>
      <c r="M259" s="3">
        <v>11</v>
      </c>
      <c r="N259" s="3">
        <v>4</v>
      </c>
      <c r="O259" s="3">
        <v>16</v>
      </c>
      <c r="P259" s="3">
        <v>2894</v>
      </c>
      <c r="Q259" s="3">
        <v>2065.5</v>
      </c>
      <c r="R259" s="3">
        <v>3183</v>
      </c>
      <c r="S259" s="14">
        <v>0.48</v>
      </c>
      <c r="T259" s="14">
        <v>0.79</v>
      </c>
      <c r="U259" s="14">
        <v>1.04</v>
      </c>
      <c r="V259" s="14">
        <v>0.08</v>
      </c>
      <c r="W259" s="14">
        <v>0.53</v>
      </c>
      <c r="X259" s="14">
        <v>0.60720000000000007</v>
      </c>
      <c r="Y259" s="14">
        <v>0.89</v>
      </c>
      <c r="Z259">
        <v>84</v>
      </c>
      <c r="AA259">
        <v>76</v>
      </c>
      <c r="AB259">
        <v>14</v>
      </c>
      <c r="AC259" s="4">
        <f t="shared" ref="AC259:AC322" si="9">AVERAGE(W259:Y259)</f>
        <v>0.67573333333333341</v>
      </c>
      <c r="AD259" s="25"/>
      <c r="AE259" s="3"/>
      <c r="AF259" s="3"/>
    </row>
    <row r="260" spans="1:32" x14ac:dyDescent="0.25">
      <c r="A260" s="20">
        <v>45916</v>
      </c>
      <c r="B260" s="3" t="s">
        <v>61</v>
      </c>
      <c r="C260" s="3">
        <f t="shared" si="8"/>
        <v>3</v>
      </c>
      <c r="D260" t="s">
        <v>67</v>
      </c>
      <c r="E260" s="14">
        <v>0.79</v>
      </c>
      <c r="F260" s="14">
        <v>0.49</v>
      </c>
      <c r="G260" s="14">
        <v>0.38</v>
      </c>
      <c r="H260" s="3">
        <v>33</v>
      </c>
      <c r="I260" s="3">
        <v>9</v>
      </c>
      <c r="J260" s="3">
        <v>8</v>
      </c>
      <c r="K260" s="3">
        <v>2</v>
      </c>
      <c r="L260" s="3">
        <v>1</v>
      </c>
      <c r="M260" s="3">
        <v>12</v>
      </c>
      <c r="N260" s="3">
        <v>5</v>
      </c>
      <c r="O260" s="3">
        <v>2760</v>
      </c>
      <c r="P260" s="3">
        <v>2315</v>
      </c>
      <c r="Q260" s="3">
        <v>928.5</v>
      </c>
      <c r="R260" s="3">
        <v>2981</v>
      </c>
      <c r="S260" s="14">
        <v>0.79</v>
      </c>
      <c r="T260" s="14">
        <v>0.51</v>
      </c>
      <c r="U260" s="14">
        <v>0.22</v>
      </c>
      <c r="V260" s="14">
        <v>0.1</v>
      </c>
      <c r="W260" s="14">
        <v>0.49</v>
      </c>
      <c r="X260" s="14">
        <v>0.73920000000000008</v>
      </c>
      <c r="Y260" s="14">
        <v>0.88</v>
      </c>
      <c r="Z260">
        <v>86</v>
      </c>
      <c r="AA260">
        <v>79</v>
      </c>
      <c r="AB260">
        <v>31</v>
      </c>
      <c r="AC260" s="4">
        <f t="shared" si="9"/>
        <v>0.70306666666666662</v>
      </c>
      <c r="AD260" s="25"/>
      <c r="AE260" s="3"/>
      <c r="AF260" s="3"/>
    </row>
    <row r="261" spans="1:32" x14ac:dyDescent="0.25">
      <c r="A261" s="20">
        <v>45917</v>
      </c>
      <c r="B261" s="3" t="s">
        <v>61</v>
      </c>
      <c r="C261" s="3">
        <f t="shared" si="8"/>
        <v>3</v>
      </c>
      <c r="D261" t="s">
        <v>68</v>
      </c>
      <c r="E261" s="14">
        <v>0.79</v>
      </c>
      <c r="F261" s="14">
        <v>0.89</v>
      </c>
      <c r="G261" s="14">
        <v>0.83</v>
      </c>
      <c r="H261" s="3">
        <v>6</v>
      </c>
      <c r="I261" s="3">
        <v>23</v>
      </c>
      <c r="J261" s="3">
        <v>2</v>
      </c>
      <c r="K261" s="3">
        <v>3</v>
      </c>
      <c r="L261" s="3">
        <v>12</v>
      </c>
      <c r="M261" s="3">
        <v>12</v>
      </c>
      <c r="N261" s="3">
        <v>2</v>
      </c>
      <c r="O261" s="3">
        <v>2450</v>
      </c>
      <c r="P261" s="3">
        <v>3181</v>
      </c>
      <c r="Q261" s="3">
        <v>1777.5</v>
      </c>
      <c r="R261" s="3">
        <v>3499</v>
      </c>
      <c r="S261" s="14">
        <v>0.84</v>
      </c>
      <c r="T261" s="14">
        <v>0.43</v>
      </c>
      <c r="U261" s="14">
        <v>0.89</v>
      </c>
      <c r="V261" s="14">
        <v>0.06</v>
      </c>
      <c r="W261" s="14">
        <v>0.82</v>
      </c>
      <c r="X261" s="14">
        <v>0.5544</v>
      </c>
      <c r="Y261" s="14">
        <v>0.83</v>
      </c>
      <c r="Z261">
        <v>98</v>
      </c>
      <c r="AA261">
        <v>56</v>
      </c>
      <c r="AB261">
        <v>25</v>
      </c>
      <c r="AC261" s="4">
        <f t="shared" si="9"/>
        <v>0.73480000000000001</v>
      </c>
      <c r="AD261" s="25"/>
      <c r="AE261" s="3"/>
      <c r="AF261" s="3"/>
    </row>
    <row r="262" spans="1:32" x14ac:dyDescent="0.25">
      <c r="A262" s="20">
        <v>45918</v>
      </c>
      <c r="B262" s="3" t="s">
        <v>61</v>
      </c>
      <c r="C262" s="3">
        <f t="shared" si="8"/>
        <v>3</v>
      </c>
      <c r="D262" t="s">
        <v>69</v>
      </c>
      <c r="E262" s="14">
        <v>0.64</v>
      </c>
      <c r="F262" s="14">
        <v>0.52</v>
      </c>
      <c r="G262" s="14">
        <v>0.56000000000000005</v>
      </c>
      <c r="H262" s="3">
        <v>27</v>
      </c>
      <c r="I262" s="3">
        <v>38</v>
      </c>
      <c r="J262" s="3">
        <v>6</v>
      </c>
      <c r="K262" s="3">
        <v>2</v>
      </c>
      <c r="L262" s="3">
        <v>6</v>
      </c>
      <c r="M262" s="3">
        <v>6</v>
      </c>
      <c r="N262" s="3">
        <v>2</v>
      </c>
      <c r="O262" s="3">
        <v>654</v>
      </c>
      <c r="P262" s="3">
        <v>297</v>
      </c>
      <c r="Q262" s="3">
        <v>366</v>
      </c>
      <c r="R262" s="3">
        <v>1151</v>
      </c>
      <c r="S262" s="14">
        <v>1.25</v>
      </c>
      <c r="T262" s="14">
        <v>0.74</v>
      </c>
      <c r="U262" s="14">
        <v>0.84</v>
      </c>
      <c r="V262" s="14">
        <v>0.04</v>
      </c>
      <c r="W262" s="14">
        <v>0.74</v>
      </c>
      <c r="X262" s="14">
        <v>0.62039999999999995</v>
      </c>
      <c r="Y262" s="14">
        <v>0.43</v>
      </c>
      <c r="Z262">
        <v>82</v>
      </c>
      <c r="AA262">
        <v>74</v>
      </c>
      <c r="AB262">
        <v>21</v>
      </c>
      <c r="AC262" s="4">
        <f t="shared" si="9"/>
        <v>0.59679999999999989</v>
      </c>
      <c r="AD262" s="25"/>
      <c r="AE262" s="3"/>
      <c r="AF262" s="3"/>
    </row>
    <row r="263" spans="1:32" x14ac:dyDescent="0.25">
      <c r="A263" s="20">
        <v>45919</v>
      </c>
      <c r="B263" s="3" t="s">
        <v>61</v>
      </c>
      <c r="C263" s="3">
        <f t="shared" si="8"/>
        <v>3</v>
      </c>
      <c r="D263" t="s">
        <v>70</v>
      </c>
      <c r="E263" s="14">
        <v>0.67</v>
      </c>
      <c r="F263" s="14">
        <v>0.84</v>
      </c>
      <c r="G263" s="14">
        <v>0.73</v>
      </c>
      <c r="H263" s="3">
        <v>23</v>
      </c>
      <c r="I263" s="3">
        <v>37</v>
      </c>
      <c r="J263" s="3">
        <v>5</v>
      </c>
      <c r="K263" s="3">
        <v>2</v>
      </c>
      <c r="L263" s="3">
        <v>2</v>
      </c>
      <c r="M263" s="3">
        <v>2</v>
      </c>
      <c r="N263" s="3">
        <v>4</v>
      </c>
      <c r="O263" s="3">
        <v>1995</v>
      </c>
      <c r="P263" s="3">
        <v>3334</v>
      </c>
      <c r="Q263" s="3">
        <v>1725</v>
      </c>
      <c r="R263" s="3">
        <v>3667</v>
      </c>
      <c r="S263" s="14">
        <v>0.15</v>
      </c>
      <c r="T263" s="14">
        <v>0.23</v>
      </c>
      <c r="U263" s="14">
        <v>0.34</v>
      </c>
      <c r="V263" s="14">
        <v>0.06</v>
      </c>
      <c r="W263" s="14">
        <v>0.91</v>
      </c>
      <c r="X263" s="14">
        <v>0.91080000000000005</v>
      </c>
      <c r="Y263" s="14">
        <v>0.6</v>
      </c>
      <c r="Z263">
        <v>79</v>
      </c>
      <c r="AA263">
        <v>61</v>
      </c>
      <c r="AB263">
        <v>35</v>
      </c>
      <c r="AC263" s="4">
        <f t="shared" si="9"/>
        <v>0.80693333333333339</v>
      </c>
      <c r="AD263" s="25"/>
      <c r="AE263" s="3"/>
      <c r="AF263" s="3"/>
    </row>
    <row r="264" spans="1:32" x14ac:dyDescent="0.25">
      <c r="A264" s="20">
        <v>45920</v>
      </c>
      <c r="B264" s="3" t="s">
        <v>61</v>
      </c>
      <c r="C264" s="3">
        <f t="shared" si="8"/>
        <v>3</v>
      </c>
      <c r="D264" t="s">
        <v>51</v>
      </c>
      <c r="E264" s="14">
        <v>0.21</v>
      </c>
      <c r="F264" s="14">
        <v>0.5</v>
      </c>
      <c r="G264" s="14">
        <v>0.8</v>
      </c>
      <c r="H264" s="3">
        <v>33</v>
      </c>
      <c r="I264" s="3">
        <v>35</v>
      </c>
      <c r="J264" s="3">
        <v>2</v>
      </c>
      <c r="K264" s="3">
        <v>7</v>
      </c>
      <c r="L264" s="3">
        <v>3</v>
      </c>
      <c r="M264" s="3">
        <v>2</v>
      </c>
      <c r="N264" s="3">
        <v>7</v>
      </c>
      <c r="O264" s="3">
        <v>1189</v>
      </c>
      <c r="P264" s="3">
        <v>3312</v>
      </c>
      <c r="Q264" s="3">
        <v>868.5</v>
      </c>
      <c r="R264" s="3">
        <v>3643</v>
      </c>
      <c r="S264" s="14">
        <v>0.96</v>
      </c>
      <c r="T264" s="14">
        <v>1</v>
      </c>
      <c r="U264" s="14">
        <v>0.84</v>
      </c>
      <c r="V264" s="14">
        <v>0.02</v>
      </c>
      <c r="W264" s="14">
        <v>0.27900000000000003</v>
      </c>
      <c r="X264" s="14">
        <v>0.21978000000000003</v>
      </c>
      <c r="Y264" s="14">
        <v>0.35100000000000003</v>
      </c>
      <c r="Z264">
        <v>100</v>
      </c>
      <c r="AA264">
        <v>58</v>
      </c>
      <c r="AB264">
        <v>34</v>
      </c>
      <c r="AC264" s="4">
        <f t="shared" si="9"/>
        <v>0.28326000000000001</v>
      </c>
      <c r="AD264" s="25"/>
      <c r="AE264" s="3"/>
      <c r="AF264" s="3"/>
    </row>
    <row r="265" spans="1:32" x14ac:dyDescent="0.25">
      <c r="A265" s="20">
        <v>45921</v>
      </c>
      <c r="B265" s="3" t="s">
        <v>61</v>
      </c>
      <c r="C265" s="3">
        <f t="shared" si="8"/>
        <v>3</v>
      </c>
      <c r="D265" t="s">
        <v>65</v>
      </c>
      <c r="E265" s="14">
        <v>0.25</v>
      </c>
      <c r="F265" s="14">
        <v>0.56999999999999995</v>
      </c>
      <c r="G265" s="14">
        <v>0.56999999999999995</v>
      </c>
      <c r="H265" s="3">
        <v>11</v>
      </c>
      <c r="I265" s="3">
        <v>16</v>
      </c>
      <c r="J265" s="3">
        <v>2</v>
      </c>
      <c r="K265" s="3">
        <v>7</v>
      </c>
      <c r="L265" s="3">
        <v>7</v>
      </c>
      <c r="M265" s="3">
        <v>2</v>
      </c>
      <c r="N265" s="3">
        <v>2</v>
      </c>
      <c r="O265" s="3">
        <v>149</v>
      </c>
      <c r="P265" s="3">
        <v>535</v>
      </c>
      <c r="Q265" s="3">
        <v>2616</v>
      </c>
      <c r="R265" s="3">
        <v>2877</v>
      </c>
      <c r="S265" s="14">
        <v>0.37</v>
      </c>
      <c r="T265" s="14">
        <v>0.35</v>
      </c>
      <c r="U265" s="14">
        <v>0.89</v>
      </c>
      <c r="V265" s="14">
        <v>0.02</v>
      </c>
      <c r="W265" s="14">
        <v>0.22500000000000001</v>
      </c>
      <c r="X265" s="14">
        <v>0.42174000000000006</v>
      </c>
      <c r="Y265" s="14">
        <v>0.39150000000000001</v>
      </c>
      <c r="Z265">
        <v>80</v>
      </c>
      <c r="AA265">
        <v>52</v>
      </c>
      <c r="AB265">
        <v>21</v>
      </c>
      <c r="AC265" s="4">
        <f t="shared" si="9"/>
        <v>0.34608</v>
      </c>
      <c r="AD265" s="25"/>
      <c r="AE265" s="3"/>
      <c r="AF265" s="3"/>
    </row>
    <row r="266" spans="1:32" x14ac:dyDescent="0.25">
      <c r="A266" s="20">
        <v>45922</v>
      </c>
      <c r="B266" s="3" t="s">
        <v>61</v>
      </c>
      <c r="C266" s="3">
        <f t="shared" si="8"/>
        <v>4</v>
      </c>
      <c r="D266" t="s">
        <v>66</v>
      </c>
      <c r="E266" s="14">
        <v>0.61</v>
      </c>
      <c r="F266" s="14">
        <v>0.81</v>
      </c>
      <c r="G266" s="14">
        <v>0.4</v>
      </c>
      <c r="H266" s="3">
        <v>29</v>
      </c>
      <c r="I266" s="3">
        <v>23</v>
      </c>
      <c r="J266" s="3">
        <v>4</v>
      </c>
      <c r="K266" s="3">
        <v>12</v>
      </c>
      <c r="L266" s="3">
        <v>12</v>
      </c>
      <c r="M266" s="3">
        <v>1</v>
      </c>
      <c r="N266" s="3">
        <v>9</v>
      </c>
      <c r="O266" s="3">
        <v>1988</v>
      </c>
      <c r="P266" s="3">
        <v>700</v>
      </c>
      <c r="Q266" s="3">
        <v>2502</v>
      </c>
      <c r="R266" s="3">
        <v>3525</v>
      </c>
      <c r="S266" s="14">
        <v>1.06</v>
      </c>
      <c r="T266" s="14">
        <v>0.27</v>
      </c>
      <c r="U266" s="14">
        <v>0.4</v>
      </c>
      <c r="V266" s="14">
        <v>0.02</v>
      </c>
      <c r="W266" s="14">
        <v>0.47</v>
      </c>
      <c r="X266" s="14">
        <v>0.64680000000000004</v>
      </c>
      <c r="Y266" s="14">
        <v>0.74</v>
      </c>
      <c r="Z266">
        <v>94</v>
      </c>
      <c r="AA266">
        <v>53</v>
      </c>
      <c r="AB266">
        <v>17</v>
      </c>
      <c r="AC266" s="4">
        <f t="shared" si="9"/>
        <v>0.61893333333333334</v>
      </c>
      <c r="AD266" s="25"/>
      <c r="AE266" s="3"/>
      <c r="AF266" s="3"/>
    </row>
    <row r="267" spans="1:32" x14ac:dyDescent="0.25">
      <c r="A267" s="20">
        <v>45923</v>
      </c>
      <c r="B267" s="3" t="s">
        <v>61</v>
      </c>
      <c r="C267" s="3">
        <f t="shared" si="8"/>
        <v>4</v>
      </c>
      <c r="D267" t="s">
        <v>67</v>
      </c>
      <c r="E267" s="14">
        <v>0.77</v>
      </c>
      <c r="F267" s="14">
        <v>0.45</v>
      </c>
      <c r="G267" s="14">
        <v>0.51</v>
      </c>
      <c r="H267" s="3">
        <v>31</v>
      </c>
      <c r="I267" s="3">
        <v>31</v>
      </c>
      <c r="J267" s="3">
        <v>8</v>
      </c>
      <c r="K267" s="3">
        <v>12</v>
      </c>
      <c r="L267" s="3">
        <v>5</v>
      </c>
      <c r="M267" s="3">
        <v>7</v>
      </c>
      <c r="N267" s="3">
        <v>7</v>
      </c>
      <c r="O267" s="3">
        <v>485</v>
      </c>
      <c r="P267" s="3">
        <v>2232</v>
      </c>
      <c r="Q267" s="3">
        <v>729</v>
      </c>
      <c r="R267" s="3">
        <v>2455</v>
      </c>
      <c r="S267" s="14">
        <v>0.16</v>
      </c>
      <c r="T267" s="14">
        <v>1.1100000000000001</v>
      </c>
      <c r="U267" s="14">
        <v>1.1399999999999999</v>
      </c>
      <c r="V267" s="14">
        <v>0.05</v>
      </c>
      <c r="W267" s="14">
        <v>0.54</v>
      </c>
      <c r="X267" s="14">
        <v>0.43560000000000004</v>
      </c>
      <c r="Y267" s="14">
        <v>0.63</v>
      </c>
      <c r="Z267">
        <v>90</v>
      </c>
      <c r="AA267">
        <v>77</v>
      </c>
      <c r="AB267">
        <v>26</v>
      </c>
      <c r="AC267" s="4">
        <f t="shared" si="9"/>
        <v>0.53520000000000001</v>
      </c>
      <c r="AD267" s="25"/>
      <c r="AE267" s="3"/>
      <c r="AF267" s="3"/>
    </row>
    <row r="268" spans="1:32" x14ac:dyDescent="0.25">
      <c r="A268" s="20">
        <v>45924</v>
      </c>
      <c r="B268" s="3" t="s">
        <v>61</v>
      </c>
      <c r="C268" s="3">
        <f t="shared" si="8"/>
        <v>4</v>
      </c>
      <c r="D268" t="s">
        <v>68</v>
      </c>
      <c r="E268" s="14">
        <v>0.71</v>
      </c>
      <c r="F268" s="14">
        <v>0.83</v>
      </c>
      <c r="G268" s="14">
        <v>0.8</v>
      </c>
      <c r="H268" s="3">
        <v>28</v>
      </c>
      <c r="I268" s="3">
        <v>39</v>
      </c>
      <c r="J268" s="3">
        <v>7</v>
      </c>
      <c r="K268" s="3">
        <v>12</v>
      </c>
      <c r="L268" s="3">
        <v>11</v>
      </c>
      <c r="M268" s="3">
        <v>6</v>
      </c>
      <c r="N268" s="3">
        <v>2</v>
      </c>
      <c r="O268" s="3">
        <v>95</v>
      </c>
      <c r="P268" s="3">
        <v>2228</v>
      </c>
      <c r="Q268" s="3">
        <v>2314.5</v>
      </c>
      <c r="R268" s="3">
        <v>2545</v>
      </c>
      <c r="S268" s="14">
        <v>0.43</v>
      </c>
      <c r="T268" s="14">
        <v>1.07</v>
      </c>
      <c r="U268" s="14">
        <v>0.79</v>
      </c>
      <c r="V268" s="14">
        <v>0.08</v>
      </c>
      <c r="W268" s="14">
        <v>0.7</v>
      </c>
      <c r="X268" s="14">
        <v>0.95040000000000002</v>
      </c>
      <c r="Y268" s="14">
        <v>0.5</v>
      </c>
      <c r="Z268">
        <v>97</v>
      </c>
      <c r="AA268">
        <v>62</v>
      </c>
      <c r="AB268">
        <v>13</v>
      </c>
      <c r="AC268" s="4">
        <f t="shared" si="9"/>
        <v>0.71679999999999999</v>
      </c>
      <c r="AD268" s="25"/>
      <c r="AE268" s="3"/>
      <c r="AF268" s="3"/>
    </row>
    <row r="269" spans="1:32" x14ac:dyDescent="0.25">
      <c r="A269" s="20">
        <v>45925</v>
      </c>
      <c r="B269" s="3" t="s">
        <v>61</v>
      </c>
      <c r="C269" s="3">
        <f t="shared" si="8"/>
        <v>4</v>
      </c>
      <c r="D269" t="s">
        <v>69</v>
      </c>
      <c r="E269" s="14">
        <v>0.76</v>
      </c>
      <c r="F269" s="14">
        <v>0.9</v>
      </c>
      <c r="G269" s="14">
        <v>0.63</v>
      </c>
      <c r="H269" s="3">
        <v>13</v>
      </c>
      <c r="I269" s="3">
        <v>16</v>
      </c>
      <c r="J269" s="3">
        <v>3</v>
      </c>
      <c r="K269" s="3">
        <v>6</v>
      </c>
      <c r="L269" s="3">
        <v>2</v>
      </c>
      <c r="M269" s="3">
        <v>3</v>
      </c>
      <c r="N269" s="3">
        <v>11</v>
      </c>
      <c r="O269" s="3">
        <v>2557</v>
      </c>
      <c r="P269" s="3">
        <v>1008</v>
      </c>
      <c r="Q269" s="3">
        <v>2061</v>
      </c>
      <c r="R269" s="3">
        <v>2625</v>
      </c>
      <c r="S269" s="14">
        <v>0.85</v>
      </c>
      <c r="T269" s="14">
        <v>1.1100000000000001</v>
      </c>
      <c r="U269" s="14">
        <v>0.2</v>
      </c>
      <c r="V269" s="14">
        <v>0.01</v>
      </c>
      <c r="W269" s="14">
        <v>0.73</v>
      </c>
      <c r="X269" s="14">
        <v>0.5676000000000001</v>
      </c>
      <c r="Y269" s="14">
        <v>0.37</v>
      </c>
      <c r="Z269">
        <v>97</v>
      </c>
      <c r="AA269">
        <v>53</v>
      </c>
      <c r="AB269">
        <v>45</v>
      </c>
      <c r="AC269" s="4">
        <f t="shared" si="9"/>
        <v>0.55586666666666673</v>
      </c>
      <c r="AD269" s="25"/>
      <c r="AE269" s="3"/>
      <c r="AF269" s="3"/>
    </row>
    <row r="270" spans="1:32" x14ac:dyDescent="0.25">
      <c r="A270" s="20">
        <v>45926</v>
      </c>
      <c r="B270" s="3" t="s">
        <v>61</v>
      </c>
      <c r="C270" s="3">
        <f t="shared" si="8"/>
        <v>4</v>
      </c>
      <c r="D270" t="s">
        <v>70</v>
      </c>
      <c r="E270" s="14">
        <v>0.64</v>
      </c>
      <c r="F270" s="14">
        <v>0.57999999999999996</v>
      </c>
      <c r="G270" s="14">
        <v>0.51</v>
      </c>
      <c r="H270" s="3">
        <v>27</v>
      </c>
      <c r="I270" s="3">
        <v>31</v>
      </c>
      <c r="J270" s="3">
        <v>2</v>
      </c>
      <c r="K270" s="3">
        <v>3</v>
      </c>
      <c r="L270" s="3">
        <v>2</v>
      </c>
      <c r="M270" s="3">
        <v>3</v>
      </c>
      <c r="N270" s="3">
        <v>2</v>
      </c>
      <c r="O270" s="3">
        <v>2894</v>
      </c>
      <c r="P270" s="3">
        <v>426</v>
      </c>
      <c r="Q270" s="3">
        <v>312</v>
      </c>
      <c r="R270" s="3">
        <v>2894</v>
      </c>
      <c r="S270" s="14">
        <v>0.97</v>
      </c>
      <c r="T270" s="14">
        <v>0.98</v>
      </c>
      <c r="U270" s="14">
        <v>0.15</v>
      </c>
      <c r="V270" s="14">
        <v>0.02</v>
      </c>
      <c r="W270" s="14">
        <v>0.84</v>
      </c>
      <c r="X270" s="14">
        <v>0.72600000000000009</v>
      </c>
      <c r="Y270" s="14">
        <v>0.44</v>
      </c>
      <c r="Z270">
        <v>86</v>
      </c>
      <c r="AA270">
        <v>70</v>
      </c>
      <c r="AB270">
        <v>44</v>
      </c>
      <c r="AC270" s="4">
        <f t="shared" si="9"/>
        <v>0.66866666666666674</v>
      </c>
      <c r="AD270" s="25"/>
      <c r="AE270" s="3"/>
      <c r="AF270" s="3"/>
    </row>
    <row r="271" spans="1:32" x14ac:dyDescent="0.25">
      <c r="A271" s="20">
        <v>45927</v>
      </c>
      <c r="B271" s="3" t="s">
        <v>61</v>
      </c>
      <c r="C271" s="3">
        <f t="shared" si="8"/>
        <v>4</v>
      </c>
      <c r="D271" t="s">
        <v>51</v>
      </c>
      <c r="E271" s="14">
        <v>0.1</v>
      </c>
      <c r="F271" s="14">
        <v>0.44</v>
      </c>
      <c r="G271" s="14">
        <v>0.49</v>
      </c>
      <c r="H271" s="3">
        <v>14</v>
      </c>
      <c r="I271" s="3">
        <v>40</v>
      </c>
      <c r="J271" s="3">
        <v>2</v>
      </c>
      <c r="K271" s="3">
        <v>2</v>
      </c>
      <c r="L271" s="3">
        <v>2</v>
      </c>
      <c r="M271" s="3">
        <v>2</v>
      </c>
      <c r="N271" s="3">
        <v>2</v>
      </c>
      <c r="O271" s="3">
        <v>2457</v>
      </c>
      <c r="P271" s="3">
        <v>324</v>
      </c>
      <c r="Q271" s="3">
        <v>721.5</v>
      </c>
      <c r="R271" s="3">
        <v>3408</v>
      </c>
      <c r="S271" s="14">
        <v>0.47</v>
      </c>
      <c r="T271" s="14">
        <v>0.67</v>
      </c>
      <c r="U271" s="14">
        <v>0.2</v>
      </c>
      <c r="V271" s="14">
        <v>0.09</v>
      </c>
      <c r="W271" s="14">
        <v>0.20250000000000001</v>
      </c>
      <c r="X271" s="14">
        <v>0.21978000000000003</v>
      </c>
      <c r="Y271" s="14">
        <v>0.27900000000000003</v>
      </c>
      <c r="Z271">
        <v>98</v>
      </c>
      <c r="AA271">
        <v>76</v>
      </c>
      <c r="AB271">
        <v>30</v>
      </c>
      <c r="AC271" s="4">
        <f t="shared" si="9"/>
        <v>0.23376000000000005</v>
      </c>
      <c r="AD271" s="25"/>
      <c r="AE271" s="3"/>
      <c r="AF271" s="3"/>
    </row>
    <row r="272" spans="1:32" x14ac:dyDescent="0.25">
      <c r="A272" s="20">
        <v>45928</v>
      </c>
      <c r="B272" s="3" t="s">
        <v>61</v>
      </c>
      <c r="C272" s="3">
        <f t="shared" si="8"/>
        <v>4</v>
      </c>
      <c r="D272" t="s">
        <v>65</v>
      </c>
      <c r="E272" s="14">
        <v>0.33</v>
      </c>
      <c r="F272" s="14">
        <v>0.51</v>
      </c>
      <c r="G272" s="14">
        <v>0.89</v>
      </c>
      <c r="H272" s="3">
        <v>35</v>
      </c>
      <c r="I272" s="3">
        <v>31</v>
      </c>
      <c r="J272" s="3">
        <v>1</v>
      </c>
      <c r="K272" s="3">
        <v>2</v>
      </c>
      <c r="L272" s="3">
        <v>8</v>
      </c>
      <c r="M272" s="3">
        <v>2</v>
      </c>
      <c r="N272" s="3">
        <v>4</v>
      </c>
      <c r="O272" s="3">
        <v>3735</v>
      </c>
      <c r="P272" s="3">
        <v>490</v>
      </c>
      <c r="Q272" s="3">
        <v>2538</v>
      </c>
      <c r="R272" s="3">
        <v>6724</v>
      </c>
      <c r="S272" s="14">
        <v>0.61</v>
      </c>
      <c r="T272" s="14">
        <v>0.66</v>
      </c>
      <c r="U272" s="14">
        <v>0.93</v>
      </c>
      <c r="V272" s="14">
        <v>0.05</v>
      </c>
      <c r="W272" s="14">
        <v>0.30150000000000005</v>
      </c>
      <c r="X272" s="14">
        <v>0.38610000000000005</v>
      </c>
      <c r="Y272" s="14">
        <v>0.29250000000000004</v>
      </c>
      <c r="Z272">
        <v>92</v>
      </c>
      <c r="AA272">
        <v>51</v>
      </c>
      <c r="AB272">
        <v>14</v>
      </c>
      <c r="AC272" s="4">
        <f t="shared" si="9"/>
        <v>0.32670000000000005</v>
      </c>
      <c r="AD272" s="25"/>
      <c r="AE272" s="3"/>
      <c r="AF272" s="3"/>
    </row>
    <row r="273" spans="1:32" x14ac:dyDescent="0.25">
      <c r="A273" s="20">
        <v>45929</v>
      </c>
      <c r="B273" s="3" t="s">
        <v>61</v>
      </c>
      <c r="C273" s="3">
        <f t="shared" si="8"/>
        <v>5</v>
      </c>
      <c r="D273" t="s">
        <v>66</v>
      </c>
      <c r="E273" s="14">
        <v>0.87</v>
      </c>
      <c r="F273" s="14">
        <v>0.88</v>
      </c>
      <c r="G273" s="14">
        <v>0.37</v>
      </c>
      <c r="H273" s="3">
        <v>35</v>
      </c>
      <c r="I273" s="3">
        <v>10</v>
      </c>
      <c r="J273" s="3">
        <v>1</v>
      </c>
      <c r="K273" s="3">
        <v>2</v>
      </c>
      <c r="L273" s="3">
        <v>9</v>
      </c>
      <c r="M273" s="3">
        <v>11</v>
      </c>
      <c r="N273" s="3">
        <v>4</v>
      </c>
      <c r="O273" s="3">
        <v>3642</v>
      </c>
      <c r="P273" s="3">
        <v>1165</v>
      </c>
      <c r="Q273" s="3">
        <v>600</v>
      </c>
      <c r="R273" s="3">
        <v>6798</v>
      </c>
      <c r="S273" s="14">
        <v>1.18</v>
      </c>
      <c r="T273" s="14">
        <v>0.55000000000000004</v>
      </c>
      <c r="U273" s="14">
        <v>1.1200000000000001</v>
      </c>
      <c r="V273" s="14">
        <v>0.03</v>
      </c>
      <c r="W273" s="14">
        <v>0.95</v>
      </c>
      <c r="X273" s="14">
        <v>0.64680000000000004</v>
      </c>
      <c r="Y273" s="14">
        <v>0.73</v>
      </c>
      <c r="Z273">
        <v>88</v>
      </c>
      <c r="AA273">
        <v>73</v>
      </c>
      <c r="AB273">
        <v>13</v>
      </c>
      <c r="AC273" s="4">
        <f t="shared" si="9"/>
        <v>0.77559999999999996</v>
      </c>
      <c r="AD273" s="25"/>
      <c r="AE273" s="3"/>
      <c r="AF273" s="3"/>
    </row>
    <row r="274" spans="1:32" x14ac:dyDescent="0.25">
      <c r="A274" s="20">
        <v>45930</v>
      </c>
      <c r="B274" s="3" t="s">
        <v>61</v>
      </c>
      <c r="C274" s="3">
        <f t="shared" si="8"/>
        <v>5</v>
      </c>
      <c r="D274" t="s">
        <v>67</v>
      </c>
      <c r="E274" s="14">
        <v>0.82</v>
      </c>
      <c r="F274" s="14">
        <v>0.52</v>
      </c>
      <c r="G274" s="14">
        <v>0.88</v>
      </c>
      <c r="H274" s="3">
        <v>21</v>
      </c>
      <c r="I274" s="3">
        <v>37</v>
      </c>
      <c r="J274" s="3">
        <v>3</v>
      </c>
      <c r="K274" s="3">
        <v>5</v>
      </c>
      <c r="L274" s="3">
        <v>7</v>
      </c>
      <c r="M274" s="3">
        <v>2</v>
      </c>
      <c r="N274" s="3">
        <v>5</v>
      </c>
      <c r="O274" s="3">
        <v>2608</v>
      </c>
      <c r="P274" s="3">
        <v>189</v>
      </c>
      <c r="Q274" s="3">
        <v>483</v>
      </c>
      <c r="R274" s="3">
        <v>2712</v>
      </c>
      <c r="S274" s="14">
        <v>1.07</v>
      </c>
      <c r="T274" s="14">
        <v>1.1100000000000001</v>
      </c>
      <c r="U274" s="14">
        <v>0.98</v>
      </c>
      <c r="V274" s="14">
        <v>0.06</v>
      </c>
      <c r="W274" s="14">
        <v>0.62</v>
      </c>
      <c r="X274" s="14">
        <v>0.89760000000000018</v>
      </c>
      <c r="Y274" s="14">
        <v>0.79</v>
      </c>
      <c r="Z274">
        <v>81</v>
      </c>
      <c r="AA274">
        <v>64</v>
      </c>
      <c r="AB274">
        <v>42</v>
      </c>
      <c r="AC274" s="4">
        <f t="shared" si="9"/>
        <v>0.76920000000000011</v>
      </c>
      <c r="AD274" s="25"/>
      <c r="AE274" s="3"/>
      <c r="AF274" s="3"/>
    </row>
    <row r="275" spans="1:32" x14ac:dyDescent="0.25">
      <c r="A275" s="20">
        <v>45931</v>
      </c>
      <c r="B275" s="3" t="s">
        <v>62</v>
      </c>
      <c r="C275" s="3">
        <f t="shared" si="8"/>
        <v>1</v>
      </c>
      <c r="D275" t="s">
        <v>68</v>
      </c>
      <c r="E275" s="14">
        <v>0.62</v>
      </c>
      <c r="F275" s="14">
        <v>0.86</v>
      </c>
      <c r="G275" s="14">
        <v>0.52</v>
      </c>
      <c r="H275" s="3">
        <v>11</v>
      </c>
      <c r="I275" s="3">
        <v>25</v>
      </c>
      <c r="J275" s="3">
        <v>11</v>
      </c>
      <c r="K275" s="3">
        <v>6</v>
      </c>
      <c r="L275" s="3">
        <v>3</v>
      </c>
      <c r="M275" s="3">
        <v>9</v>
      </c>
      <c r="N275" s="3">
        <v>12</v>
      </c>
      <c r="O275" s="3">
        <v>2429</v>
      </c>
      <c r="P275" s="3">
        <v>468</v>
      </c>
      <c r="Q275" s="3">
        <v>1224</v>
      </c>
      <c r="R275" s="3">
        <v>2850</v>
      </c>
      <c r="S275" s="14">
        <v>0.43</v>
      </c>
      <c r="T275" s="14">
        <v>0.87</v>
      </c>
      <c r="U275" s="14">
        <v>1.02</v>
      </c>
      <c r="V275" s="14">
        <v>0.03</v>
      </c>
      <c r="W275" s="14">
        <v>0.77</v>
      </c>
      <c r="X275" s="14">
        <v>0.52800000000000002</v>
      </c>
      <c r="Y275" s="14">
        <v>0.53</v>
      </c>
      <c r="Z275">
        <v>89</v>
      </c>
      <c r="AA275">
        <v>77</v>
      </c>
      <c r="AB275">
        <v>29</v>
      </c>
      <c r="AC275" s="4">
        <f t="shared" si="9"/>
        <v>0.60933333333333339</v>
      </c>
      <c r="AD275" s="25"/>
      <c r="AE275" s="3"/>
      <c r="AF275" s="3"/>
    </row>
    <row r="276" spans="1:32" x14ac:dyDescent="0.25">
      <c r="A276" s="20">
        <v>45932</v>
      </c>
      <c r="B276" s="3" t="s">
        <v>62</v>
      </c>
      <c r="C276" s="3">
        <f t="shared" si="8"/>
        <v>1</v>
      </c>
      <c r="D276" t="s">
        <v>69</v>
      </c>
      <c r="E276" s="14">
        <v>0.9</v>
      </c>
      <c r="F276" s="14">
        <v>0.65</v>
      </c>
      <c r="G276" s="14">
        <v>0.43</v>
      </c>
      <c r="H276" s="3">
        <v>25</v>
      </c>
      <c r="I276" s="3">
        <v>17</v>
      </c>
      <c r="J276" s="3">
        <v>12</v>
      </c>
      <c r="K276" s="3">
        <v>8</v>
      </c>
      <c r="L276" s="3">
        <v>2</v>
      </c>
      <c r="M276" s="3">
        <v>2</v>
      </c>
      <c r="N276" s="3">
        <v>5</v>
      </c>
      <c r="O276" s="3">
        <v>2298</v>
      </c>
      <c r="P276" s="3">
        <v>3048</v>
      </c>
      <c r="Q276" s="3">
        <v>630</v>
      </c>
      <c r="R276" s="3">
        <v>3860</v>
      </c>
      <c r="S276" s="14">
        <v>0.42</v>
      </c>
      <c r="T276" s="14">
        <v>1.2</v>
      </c>
      <c r="U276" s="14">
        <v>1.05</v>
      </c>
      <c r="V276" s="14">
        <v>0.1</v>
      </c>
      <c r="W276" s="14">
        <v>0.77</v>
      </c>
      <c r="X276" s="14">
        <v>0.81840000000000002</v>
      </c>
      <c r="Y276" s="14">
        <v>0.47</v>
      </c>
      <c r="Z276">
        <v>81</v>
      </c>
      <c r="AA276">
        <v>75</v>
      </c>
      <c r="AB276">
        <v>14</v>
      </c>
      <c r="AC276" s="4">
        <f t="shared" si="9"/>
        <v>0.68613333333333326</v>
      </c>
      <c r="AD276" s="25"/>
      <c r="AE276" s="3"/>
      <c r="AF276" s="3"/>
    </row>
    <row r="277" spans="1:32" x14ac:dyDescent="0.25">
      <c r="A277" s="20">
        <v>45933</v>
      </c>
      <c r="B277" s="3" t="s">
        <v>62</v>
      </c>
      <c r="C277" s="3">
        <f t="shared" si="8"/>
        <v>1</v>
      </c>
      <c r="D277" t="s">
        <v>70</v>
      </c>
      <c r="E277" s="14">
        <v>0.66</v>
      </c>
      <c r="F277" s="14">
        <v>0.56000000000000005</v>
      </c>
      <c r="G277" s="14">
        <v>0.72</v>
      </c>
      <c r="H277" s="3">
        <v>36</v>
      </c>
      <c r="I277" s="3">
        <v>33</v>
      </c>
      <c r="J277" s="3">
        <v>3</v>
      </c>
      <c r="K277" s="3">
        <v>4</v>
      </c>
      <c r="L277" s="3">
        <v>4</v>
      </c>
      <c r="M277" s="3">
        <v>2</v>
      </c>
      <c r="N277" s="3">
        <v>1</v>
      </c>
      <c r="O277" s="3">
        <v>3282</v>
      </c>
      <c r="P277" s="3">
        <v>2140</v>
      </c>
      <c r="Q277" s="3">
        <v>1089</v>
      </c>
      <c r="R277" s="3">
        <v>5602</v>
      </c>
      <c r="S277" s="14">
        <v>0.48</v>
      </c>
      <c r="T277" s="14">
        <v>0.18</v>
      </c>
      <c r="U277" s="14">
        <v>0.41</v>
      </c>
      <c r="V277" s="14">
        <v>0.01</v>
      </c>
      <c r="W277" s="14">
        <v>0.84</v>
      </c>
      <c r="X277" s="14">
        <v>0.79200000000000004</v>
      </c>
      <c r="Y277" s="14">
        <v>0.55000000000000004</v>
      </c>
      <c r="Z277">
        <v>100</v>
      </c>
      <c r="AA277">
        <v>71</v>
      </c>
      <c r="AB277">
        <v>12</v>
      </c>
      <c r="AC277" s="4">
        <f t="shared" si="9"/>
        <v>0.7273333333333335</v>
      </c>
      <c r="AD277" s="25"/>
      <c r="AE277" s="3"/>
      <c r="AF277" s="3"/>
    </row>
    <row r="278" spans="1:32" x14ac:dyDescent="0.25">
      <c r="A278" s="20">
        <v>45934</v>
      </c>
      <c r="B278" s="3" t="s">
        <v>62</v>
      </c>
      <c r="C278" s="3">
        <f t="shared" si="8"/>
        <v>1</v>
      </c>
      <c r="D278" t="s">
        <v>51</v>
      </c>
      <c r="E278" s="14">
        <v>0.12</v>
      </c>
      <c r="F278" s="14">
        <v>0.81</v>
      </c>
      <c r="G278" s="14">
        <v>0.84</v>
      </c>
      <c r="H278" s="3">
        <v>7</v>
      </c>
      <c r="I278" s="3">
        <v>15</v>
      </c>
      <c r="J278" s="3">
        <v>8</v>
      </c>
      <c r="K278" s="3">
        <v>6</v>
      </c>
      <c r="L278" s="3">
        <v>2</v>
      </c>
      <c r="M278" s="3">
        <v>4</v>
      </c>
      <c r="N278" s="3">
        <v>2</v>
      </c>
      <c r="O278" s="3">
        <v>3449</v>
      </c>
      <c r="P278" s="3">
        <v>2747</v>
      </c>
      <c r="Q278" s="3">
        <v>2220</v>
      </c>
      <c r="R278" s="3">
        <v>5288</v>
      </c>
      <c r="S278" s="14">
        <v>0.78</v>
      </c>
      <c r="T278" s="14">
        <v>0.99</v>
      </c>
      <c r="U278" s="14">
        <v>0.75</v>
      </c>
      <c r="V278" s="14">
        <v>0.09</v>
      </c>
      <c r="W278" s="14">
        <v>0.378</v>
      </c>
      <c r="X278" s="14">
        <v>0.40986</v>
      </c>
      <c r="Y278" s="14">
        <v>0.31950000000000001</v>
      </c>
      <c r="Z278">
        <v>79</v>
      </c>
      <c r="AA278">
        <v>53</v>
      </c>
      <c r="AB278">
        <v>48</v>
      </c>
      <c r="AC278" s="4">
        <f t="shared" si="9"/>
        <v>0.36911999999999995</v>
      </c>
      <c r="AD278" s="25"/>
      <c r="AE278" s="3"/>
      <c r="AF278" s="3"/>
    </row>
    <row r="279" spans="1:32" x14ac:dyDescent="0.25">
      <c r="A279" s="20">
        <v>45935</v>
      </c>
      <c r="B279" s="3" t="s">
        <v>62</v>
      </c>
      <c r="C279" s="3">
        <f t="shared" si="8"/>
        <v>1</v>
      </c>
      <c r="D279" t="s">
        <v>65</v>
      </c>
      <c r="E279" s="14">
        <v>0.35</v>
      </c>
      <c r="F279" s="14">
        <v>0.8</v>
      </c>
      <c r="G279" s="14">
        <v>0.67</v>
      </c>
      <c r="H279" s="3">
        <v>7</v>
      </c>
      <c r="I279" s="3">
        <v>16</v>
      </c>
      <c r="J279" s="3">
        <v>1</v>
      </c>
      <c r="K279" s="3">
        <v>8</v>
      </c>
      <c r="L279" s="3">
        <v>7</v>
      </c>
      <c r="M279" s="3">
        <v>6</v>
      </c>
      <c r="N279" s="3">
        <v>7</v>
      </c>
      <c r="O279" s="3">
        <v>1055</v>
      </c>
      <c r="P279" s="3">
        <v>2214</v>
      </c>
      <c r="Q279" s="3">
        <v>1554</v>
      </c>
      <c r="R279" s="3">
        <v>2435</v>
      </c>
      <c r="S279" s="14">
        <v>0.73</v>
      </c>
      <c r="T279" s="14">
        <v>1.1000000000000001</v>
      </c>
      <c r="U279" s="14">
        <v>1.01</v>
      </c>
      <c r="V279" s="14">
        <v>0.08</v>
      </c>
      <c r="W279" s="14">
        <v>0.30150000000000005</v>
      </c>
      <c r="X279" s="14">
        <v>0.37422000000000005</v>
      </c>
      <c r="Y279" s="14">
        <v>0.26550000000000001</v>
      </c>
      <c r="Z279">
        <v>86</v>
      </c>
      <c r="AA279">
        <v>63</v>
      </c>
      <c r="AB279">
        <v>22</v>
      </c>
      <c r="AC279" s="4">
        <f t="shared" si="9"/>
        <v>0.31374000000000007</v>
      </c>
      <c r="AD279" s="25"/>
      <c r="AE279" s="3"/>
      <c r="AF279" s="3"/>
    </row>
    <row r="280" spans="1:32" x14ac:dyDescent="0.25">
      <c r="A280" s="20">
        <v>45936</v>
      </c>
      <c r="B280" s="3" t="s">
        <v>62</v>
      </c>
      <c r="C280" s="3">
        <f t="shared" si="8"/>
        <v>2</v>
      </c>
      <c r="D280" t="s">
        <v>66</v>
      </c>
      <c r="E280" s="14">
        <v>0.84</v>
      </c>
      <c r="F280" s="14">
        <v>0.77</v>
      </c>
      <c r="G280" s="14">
        <v>0.83</v>
      </c>
      <c r="H280" s="3">
        <v>21</v>
      </c>
      <c r="I280" s="3">
        <v>34</v>
      </c>
      <c r="J280" s="3">
        <v>4</v>
      </c>
      <c r="K280" s="3">
        <v>9</v>
      </c>
      <c r="L280" s="3">
        <v>11</v>
      </c>
      <c r="M280" s="3">
        <v>3</v>
      </c>
      <c r="N280" s="3">
        <v>1</v>
      </c>
      <c r="O280" s="3">
        <v>1886</v>
      </c>
      <c r="P280" s="3">
        <v>292</v>
      </c>
      <c r="Q280" s="3">
        <v>1719</v>
      </c>
      <c r="R280" s="3">
        <v>3521</v>
      </c>
      <c r="S280" s="14">
        <v>0.15</v>
      </c>
      <c r="T280" s="14">
        <v>1.18</v>
      </c>
      <c r="U280" s="14">
        <v>0.51</v>
      </c>
      <c r="V280" s="14">
        <v>0.09</v>
      </c>
      <c r="W280" s="14">
        <v>0.66</v>
      </c>
      <c r="X280" s="14">
        <v>0.46200000000000002</v>
      </c>
      <c r="Y280" s="14">
        <v>0.78</v>
      </c>
      <c r="Z280">
        <v>85</v>
      </c>
      <c r="AA280">
        <v>63</v>
      </c>
      <c r="AB280">
        <v>10</v>
      </c>
      <c r="AC280" s="4">
        <f t="shared" si="9"/>
        <v>0.63400000000000001</v>
      </c>
      <c r="AD280" s="25"/>
      <c r="AE280" s="3"/>
      <c r="AF280" s="3"/>
    </row>
    <row r="281" spans="1:32" x14ac:dyDescent="0.25">
      <c r="A281" s="20">
        <v>45937</v>
      </c>
      <c r="B281" s="3" t="s">
        <v>62</v>
      </c>
      <c r="C281" s="3">
        <f t="shared" si="8"/>
        <v>2</v>
      </c>
      <c r="D281" t="s">
        <v>67</v>
      </c>
      <c r="E281" s="14">
        <v>0.96</v>
      </c>
      <c r="F281" s="14">
        <v>0.77</v>
      </c>
      <c r="G281" s="14">
        <v>0.39</v>
      </c>
      <c r="H281" s="3">
        <v>6</v>
      </c>
      <c r="I281" s="3">
        <v>11</v>
      </c>
      <c r="J281" s="3">
        <v>4</v>
      </c>
      <c r="K281" s="3">
        <v>3</v>
      </c>
      <c r="L281" s="3">
        <v>9</v>
      </c>
      <c r="M281" s="3">
        <v>12</v>
      </c>
      <c r="N281" s="3">
        <v>12</v>
      </c>
      <c r="O281" s="3">
        <v>1940</v>
      </c>
      <c r="P281" s="3">
        <v>2754</v>
      </c>
      <c r="Q281" s="3">
        <v>702</v>
      </c>
      <c r="R281" s="3">
        <v>3029</v>
      </c>
      <c r="S281" s="14">
        <v>0.16</v>
      </c>
      <c r="T281" s="14">
        <v>0.33</v>
      </c>
      <c r="U281" s="14">
        <v>0.89</v>
      </c>
      <c r="V281" s="14">
        <v>0.06</v>
      </c>
      <c r="W281" s="14">
        <v>0.8</v>
      </c>
      <c r="X281" s="14">
        <v>0.62039999999999995</v>
      </c>
      <c r="Y281" s="14">
        <v>0.85</v>
      </c>
      <c r="Z281">
        <v>91</v>
      </c>
      <c r="AA281">
        <v>59</v>
      </c>
      <c r="AB281">
        <v>19</v>
      </c>
      <c r="AC281" s="4">
        <f t="shared" si="9"/>
        <v>0.75680000000000003</v>
      </c>
      <c r="AD281" s="25"/>
      <c r="AE281" s="3"/>
      <c r="AF281" s="3"/>
    </row>
    <row r="282" spans="1:32" x14ac:dyDescent="0.25">
      <c r="A282" s="20">
        <v>45938</v>
      </c>
      <c r="B282" s="3" t="s">
        <v>62</v>
      </c>
      <c r="C282" s="3">
        <f t="shared" si="8"/>
        <v>2</v>
      </c>
      <c r="D282" t="s">
        <v>68</v>
      </c>
      <c r="E282" s="14">
        <v>0.9</v>
      </c>
      <c r="F282" s="14">
        <v>0.59</v>
      </c>
      <c r="G282" s="14">
        <v>0.89</v>
      </c>
      <c r="H282" s="3">
        <v>25</v>
      </c>
      <c r="I282" s="3">
        <v>32</v>
      </c>
      <c r="J282" s="3">
        <v>12</v>
      </c>
      <c r="K282" s="3">
        <v>12</v>
      </c>
      <c r="L282" s="3">
        <v>8</v>
      </c>
      <c r="M282" s="3">
        <v>3</v>
      </c>
      <c r="N282" s="3">
        <v>12</v>
      </c>
      <c r="O282" s="3">
        <v>1375</v>
      </c>
      <c r="P282" s="3">
        <v>313</v>
      </c>
      <c r="Q282" s="3">
        <v>2551.5</v>
      </c>
      <c r="R282" s="3">
        <v>2806</v>
      </c>
      <c r="S282" s="14">
        <v>0.18</v>
      </c>
      <c r="T282" s="14">
        <v>0.47</v>
      </c>
      <c r="U282" s="14">
        <v>0.55000000000000004</v>
      </c>
      <c r="V282" s="14">
        <v>0.05</v>
      </c>
      <c r="W282" s="14">
        <v>0.57999999999999996</v>
      </c>
      <c r="X282" s="14">
        <v>0.96360000000000012</v>
      </c>
      <c r="Y282" s="14">
        <v>0.64</v>
      </c>
      <c r="Z282">
        <v>80</v>
      </c>
      <c r="AA282">
        <v>57</v>
      </c>
      <c r="AB282">
        <v>16</v>
      </c>
      <c r="AC282" s="4">
        <f t="shared" si="9"/>
        <v>0.72786666666666677</v>
      </c>
      <c r="AD282" s="25"/>
      <c r="AE282" s="3"/>
      <c r="AF282" s="3"/>
    </row>
    <row r="283" spans="1:32" x14ac:dyDescent="0.25">
      <c r="A283" s="20">
        <v>45939</v>
      </c>
      <c r="B283" s="3" t="s">
        <v>62</v>
      </c>
      <c r="C283" s="3">
        <f t="shared" si="8"/>
        <v>2</v>
      </c>
      <c r="D283" t="s">
        <v>69</v>
      </c>
      <c r="E283" s="14">
        <v>0.78</v>
      </c>
      <c r="F283" s="14">
        <v>0.43</v>
      </c>
      <c r="G283" s="14">
        <v>0.41</v>
      </c>
      <c r="H283" s="3">
        <v>26</v>
      </c>
      <c r="I283" s="3">
        <v>14</v>
      </c>
      <c r="J283" s="3">
        <v>7</v>
      </c>
      <c r="K283" s="3">
        <v>1</v>
      </c>
      <c r="L283" s="3">
        <v>5</v>
      </c>
      <c r="M283" s="3">
        <v>1</v>
      </c>
      <c r="N283" s="3">
        <v>4</v>
      </c>
      <c r="O283" s="3">
        <v>918</v>
      </c>
      <c r="P283" s="3">
        <v>1661</v>
      </c>
      <c r="Q283" s="3">
        <v>1887</v>
      </c>
      <c r="R283" s="3">
        <v>2075</v>
      </c>
      <c r="S283" s="14">
        <v>1.21</v>
      </c>
      <c r="T283" s="14">
        <v>1.1100000000000001</v>
      </c>
      <c r="U283" s="14">
        <v>0.81</v>
      </c>
      <c r="V283" s="14">
        <v>7.0000000000000007E-2</v>
      </c>
      <c r="W283" s="14">
        <v>0.93</v>
      </c>
      <c r="X283" s="14">
        <v>0.63360000000000005</v>
      </c>
      <c r="Y283" s="14">
        <v>0.54</v>
      </c>
      <c r="Z283">
        <v>94</v>
      </c>
      <c r="AA283">
        <v>79</v>
      </c>
      <c r="AB283">
        <v>32</v>
      </c>
      <c r="AC283" s="4">
        <f t="shared" si="9"/>
        <v>0.70120000000000005</v>
      </c>
      <c r="AD283" s="25"/>
      <c r="AE283" s="3"/>
      <c r="AF283" s="3"/>
    </row>
    <row r="284" spans="1:32" x14ac:dyDescent="0.25">
      <c r="A284" s="20">
        <v>45940</v>
      </c>
      <c r="B284" s="3" t="s">
        <v>62</v>
      </c>
      <c r="C284" s="3">
        <f t="shared" si="8"/>
        <v>2</v>
      </c>
      <c r="D284" t="s">
        <v>70</v>
      </c>
      <c r="E284" s="14">
        <v>0.66</v>
      </c>
      <c r="F284" s="14">
        <v>0.41</v>
      </c>
      <c r="G284" s="14">
        <v>0.63</v>
      </c>
      <c r="H284" s="3">
        <v>13</v>
      </c>
      <c r="I284" s="3">
        <v>12</v>
      </c>
      <c r="J284" s="3">
        <v>2</v>
      </c>
      <c r="K284" s="3">
        <v>5</v>
      </c>
      <c r="L284" s="3">
        <v>5</v>
      </c>
      <c r="M284" s="3">
        <v>2</v>
      </c>
      <c r="N284" s="3">
        <v>5</v>
      </c>
      <c r="O284" s="3">
        <v>2821</v>
      </c>
      <c r="P284" s="3">
        <v>1530</v>
      </c>
      <c r="Q284" s="3">
        <v>1189.5</v>
      </c>
      <c r="R284" s="3">
        <v>4890</v>
      </c>
      <c r="S284" s="14">
        <v>1.21</v>
      </c>
      <c r="T284" s="14">
        <v>1.08</v>
      </c>
      <c r="U284" s="14">
        <v>0.39</v>
      </c>
      <c r="V284" s="14">
        <v>0.05</v>
      </c>
      <c r="W284" s="14">
        <v>0.93</v>
      </c>
      <c r="X284" s="14">
        <v>0.43560000000000004</v>
      </c>
      <c r="Y284" s="14">
        <v>0.6</v>
      </c>
      <c r="Z284">
        <v>96</v>
      </c>
      <c r="AA284">
        <v>77</v>
      </c>
      <c r="AB284">
        <v>14</v>
      </c>
      <c r="AC284" s="4">
        <f t="shared" si="9"/>
        <v>0.65520000000000012</v>
      </c>
      <c r="AD284" s="25"/>
      <c r="AE284" s="3"/>
      <c r="AF284" s="3"/>
    </row>
    <row r="285" spans="1:32" x14ac:dyDescent="0.25">
      <c r="A285" s="20">
        <v>45941</v>
      </c>
      <c r="B285" s="3" t="s">
        <v>62</v>
      </c>
      <c r="C285" s="3">
        <f t="shared" si="8"/>
        <v>2</v>
      </c>
      <c r="D285" t="s">
        <v>51</v>
      </c>
      <c r="E285" s="14">
        <v>0.33</v>
      </c>
      <c r="F285" s="14">
        <v>0.85</v>
      </c>
      <c r="G285" s="14">
        <v>0.7</v>
      </c>
      <c r="H285" s="3">
        <v>30</v>
      </c>
      <c r="I285" s="3">
        <v>25</v>
      </c>
      <c r="J285" s="3">
        <v>4</v>
      </c>
      <c r="K285" s="3">
        <v>2</v>
      </c>
      <c r="L285" s="3">
        <v>8</v>
      </c>
      <c r="M285" s="3">
        <v>5</v>
      </c>
      <c r="N285" s="3">
        <v>7</v>
      </c>
      <c r="O285" s="3">
        <v>115</v>
      </c>
      <c r="P285" s="3">
        <v>468</v>
      </c>
      <c r="Q285" s="3">
        <v>1225.5</v>
      </c>
      <c r="R285" s="3">
        <v>1348</v>
      </c>
      <c r="S285" s="14">
        <v>1.18</v>
      </c>
      <c r="T285" s="14">
        <v>0.51</v>
      </c>
      <c r="U285" s="14">
        <v>1.01</v>
      </c>
      <c r="V285" s="14">
        <v>7.0000000000000007E-2</v>
      </c>
      <c r="W285" s="14">
        <v>0.28350000000000003</v>
      </c>
      <c r="X285" s="14">
        <v>0.17820000000000003</v>
      </c>
      <c r="Y285" s="14">
        <v>0.39150000000000001</v>
      </c>
      <c r="Z285">
        <v>79</v>
      </c>
      <c r="AA285">
        <v>51</v>
      </c>
      <c r="AB285">
        <v>38</v>
      </c>
      <c r="AC285" s="4">
        <f t="shared" si="9"/>
        <v>0.28440000000000004</v>
      </c>
      <c r="AD285" s="25"/>
      <c r="AE285" s="3"/>
      <c r="AF285" s="3"/>
    </row>
    <row r="286" spans="1:32" x14ac:dyDescent="0.25">
      <c r="A286" s="20">
        <v>45942</v>
      </c>
      <c r="B286" s="3" t="s">
        <v>62</v>
      </c>
      <c r="C286" s="3">
        <f t="shared" si="8"/>
        <v>2</v>
      </c>
      <c r="D286" t="s">
        <v>65</v>
      </c>
      <c r="E286" s="14">
        <v>0.32</v>
      </c>
      <c r="F286" s="14">
        <v>0.55000000000000004</v>
      </c>
      <c r="G286" s="14">
        <v>0.62</v>
      </c>
      <c r="H286" s="3">
        <v>23</v>
      </c>
      <c r="I286" s="3">
        <v>30</v>
      </c>
      <c r="J286" s="3">
        <v>1</v>
      </c>
      <c r="K286" s="3">
        <v>8</v>
      </c>
      <c r="L286" s="3">
        <v>8</v>
      </c>
      <c r="M286" s="3">
        <v>6</v>
      </c>
      <c r="N286" s="3">
        <v>2</v>
      </c>
      <c r="O286" s="3">
        <v>408</v>
      </c>
      <c r="P286" s="3">
        <v>2517</v>
      </c>
      <c r="Q286" s="3">
        <v>501</v>
      </c>
      <c r="R286" s="3">
        <v>2768</v>
      </c>
      <c r="S286" s="14">
        <v>0.92</v>
      </c>
      <c r="T286" s="14">
        <v>1.06</v>
      </c>
      <c r="U286" s="14">
        <v>0.31</v>
      </c>
      <c r="V286" s="14">
        <v>0.08</v>
      </c>
      <c r="W286" s="14">
        <v>0.38700000000000001</v>
      </c>
      <c r="X286" s="14">
        <v>0.22572000000000003</v>
      </c>
      <c r="Y286" s="14">
        <v>0.34200000000000003</v>
      </c>
      <c r="Z286">
        <v>78</v>
      </c>
      <c r="AA286">
        <v>57</v>
      </c>
      <c r="AB286">
        <v>20</v>
      </c>
      <c r="AC286" s="4">
        <f t="shared" si="9"/>
        <v>0.31824000000000002</v>
      </c>
      <c r="AD286" s="25"/>
      <c r="AE286" s="3"/>
      <c r="AF286" s="3"/>
    </row>
    <row r="287" spans="1:32" x14ac:dyDescent="0.25">
      <c r="A287" s="20">
        <v>45943</v>
      </c>
      <c r="B287" s="3" t="s">
        <v>62</v>
      </c>
      <c r="C287" s="3">
        <f t="shared" si="8"/>
        <v>3</v>
      </c>
      <c r="D287" t="s">
        <v>66</v>
      </c>
      <c r="E287" s="14">
        <v>0.6</v>
      </c>
      <c r="F287" s="14">
        <v>0.46</v>
      </c>
      <c r="G287" s="14">
        <v>0.85</v>
      </c>
      <c r="H287" s="3">
        <v>22</v>
      </c>
      <c r="I287" s="3">
        <v>8</v>
      </c>
      <c r="J287" s="3">
        <v>2</v>
      </c>
      <c r="K287" s="3">
        <v>4</v>
      </c>
      <c r="L287" s="3">
        <v>5</v>
      </c>
      <c r="M287" s="3">
        <v>3</v>
      </c>
      <c r="N287" s="3">
        <v>7</v>
      </c>
      <c r="O287" s="3">
        <v>1374</v>
      </c>
      <c r="P287" s="3">
        <v>2220</v>
      </c>
      <c r="Q287" s="3">
        <v>1089</v>
      </c>
      <c r="R287" s="3">
        <v>2442</v>
      </c>
      <c r="S287" s="14">
        <v>0.91</v>
      </c>
      <c r="T287" s="14">
        <v>0.72</v>
      </c>
      <c r="U287" s="14">
        <v>0.61</v>
      </c>
      <c r="V287" s="14">
        <v>0.1</v>
      </c>
      <c r="W287" s="14">
        <v>0.65</v>
      </c>
      <c r="X287" s="14">
        <v>0.84480000000000011</v>
      </c>
      <c r="Y287" s="14">
        <v>0.54</v>
      </c>
      <c r="Z287">
        <v>94</v>
      </c>
      <c r="AA287">
        <v>80</v>
      </c>
      <c r="AB287">
        <v>45</v>
      </c>
      <c r="AC287" s="4">
        <f t="shared" si="9"/>
        <v>0.67826666666666668</v>
      </c>
      <c r="AD287" s="25"/>
      <c r="AE287" s="3"/>
      <c r="AF287" s="3"/>
    </row>
    <row r="288" spans="1:32" x14ac:dyDescent="0.25">
      <c r="A288" s="20">
        <v>45944</v>
      </c>
      <c r="B288" s="3" t="s">
        <v>62</v>
      </c>
      <c r="C288" s="3">
        <f t="shared" si="8"/>
        <v>3</v>
      </c>
      <c r="D288" t="s">
        <v>67</v>
      </c>
      <c r="E288" s="14">
        <v>0.64</v>
      </c>
      <c r="F288" s="14">
        <v>0.74</v>
      </c>
      <c r="G288" s="14">
        <v>0.47</v>
      </c>
      <c r="H288" s="3">
        <v>27</v>
      </c>
      <c r="I288" s="3">
        <v>34</v>
      </c>
      <c r="J288" s="3">
        <v>11</v>
      </c>
      <c r="K288" s="3">
        <v>12</v>
      </c>
      <c r="L288" s="3">
        <v>4</v>
      </c>
      <c r="M288" s="3">
        <v>12</v>
      </c>
      <c r="N288" s="3">
        <v>5</v>
      </c>
      <c r="O288" s="3">
        <v>3750</v>
      </c>
      <c r="P288" s="3">
        <v>1413</v>
      </c>
      <c r="Q288" s="3">
        <v>834</v>
      </c>
      <c r="R288" s="3">
        <v>4750</v>
      </c>
      <c r="S288" s="14">
        <v>1.19</v>
      </c>
      <c r="T288" s="14">
        <v>1.05</v>
      </c>
      <c r="U288" s="14">
        <v>0.5</v>
      </c>
      <c r="V288" s="14">
        <v>0.02</v>
      </c>
      <c r="W288" s="14">
        <v>0.89</v>
      </c>
      <c r="X288" s="14">
        <v>0.52800000000000002</v>
      </c>
      <c r="Y288" s="14">
        <v>0.89</v>
      </c>
      <c r="Z288">
        <v>79</v>
      </c>
      <c r="AA288">
        <v>64</v>
      </c>
      <c r="AB288">
        <v>12</v>
      </c>
      <c r="AC288" s="4">
        <f t="shared" si="9"/>
        <v>0.76933333333333342</v>
      </c>
      <c r="AD288" s="25"/>
      <c r="AE288" s="3"/>
      <c r="AF288" s="3"/>
    </row>
    <row r="289" spans="1:32" x14ac:dyDescent="0.25">
      <c r="A289" s="20">
        <v>45945</v>
      </c>
      <c r="B289" s="3" t="s">
        <v>62</v>
      </c>
      <c r="C289" s="3">
        <f t="shared" si="8"/>
        <v>3</v>
      </c>
      <c r="D289" t="s">
        <v>68</v>
      </c>
      <c r="E289" s="14">
        <v>0.62</v>
      </c>
      <c r="F289" s="14">
        <v>0.79</v>
      </c>
      <c r="G289" s="14">
        <v>0.5</v>
      </c>
      <c r="H289" s="3">
        <v>7</v>
      </c>
      <c r="I289" s="3">
        <v>27</v>
      </c>
      <c r="J289" s="3">
        <v>12</v>
      </c>
      <c r="K289" s="3">
        <v>9</v>
      </c>
      <c r="L289" s="3">
        <v>2</v>
      </c>
      <c r="M289" s="3">
        <v>12</v>
      </c>
      <c r="N289" s="3">
        <v>6</v>
      </c>
      <c r="O289" s="3">
        <v>518</v>
      </c>
      <c r="P289" s="3">
        <v>3218</v>
      </c>
      <c r="Q289" s="3">
        <v>1404</v>
      </c>
      <c r="R289" s="3">
        <v>3539</v>
      </c>
      <c r="S289" s="14">
        <v>0.52</v>
      </c>
      <c r="T289" s="14">
        <v>0.61</v>
      </c>
      <c r="U289" s="14">
        <v>0.82</v>
      </c>
      <c r="V289" s="14">
        <v>0.09</v>
      </c>
      <c r="W289" s="14">
        <v>0.61</v>
      </c>
      <c r="X289" s="14">
        <v>0.87120000000000009</v>
      </c>
      <c r="Y289" s="14">
        <v>0.68</v>
      </c>
      <c r="Z289">
        <v>92</v>
      </c>
      <c r="AA289">
        <v>53</v>
      </c>
      <c r="AB289">
        <v>10</v>
      </c>
      <c r="AC289" s="4">
        <f t="shared" si="9"/>
        <v>0.72040000000000004</v>
      </c>
      <c r="AD289" s="25"/>
      <c r="AE289" s="3"/>
      <c r="AF289" s="3"/>
    </row>
    <row r="290" spans="1:32" x14ac:dyDescent="0.25">
      <c r="A290" s="20">
        <v>45946</v>
      </c>
      <c r="B290" s="3" t="s">
        <v>62</v>
      </c>
      <c r="C290" s="3">
        <f t="shared" si="8"/>
        <v>3</v>
      </c>
      <c r="D290" t="s">
        <v>69</v>
      </c>
      <c r="E290" s="14">
        <v>0.75</v>
      </c>
      <c r="F290" s="14">
        <v>0.55000000000000004</v>
      </c>
      <c r="G290" s="14">
        <v>0.82</v>
      </c>
      <c r="H290" s="3">
        <v>35</v>
      </c>
      <c r="I290" s="3">
        <v>19</v>
      </c>
      <c r="J290" s="3">
        <v>9</v>
      </c>
      <c r="K290" s="3">
        <v>9</v>
      </c>
      <c r="L290" s="3">
        <v>8</v>
      </c>
      <c r="M290" s="3">
        <v>12</v>
      </c>
      <c r="N290" s="3">
        <v>7</v>
      </c>
      <c r="O290" s="3">
        <v>2471</v>
      </c>
      <c r="P290" s="3">
        <v>1572</v>
      </c>
      <c r="Q290" s="3">
        <v>951</v>
      </c>
      <c r="R290" s="3">
        <v>2471</v>
      </c>
      <c r="S290" s="14">
        <v>0.38</v>
      </c>
      <c r="T290" s="14">
        <v>0.57999999999999996</v>
      </c>
      <c r="U290" s="14">
        <v>0.72</v>
      </c>
      <c r="V290" s="14">
        <v>0.01</v>
      </c>
      <c r="W290" s="14">
        <v>0.93</v>
      </c>
      <c r="X290" s="14">
        <v>0.80520000000000003</v>
      </c>
      <c r="Y290" s="14">
        <v>0.46</v>
      </c>
      <c r="Z290">
        <v>83</v>
      </c>
      <c r="AA290">
        <v>78</v>
      </c>
      <c r="AB290">
        <v>28</v>
      </c>
      <c r="AC290" s="4">
        <f t="shared" si="9"/>
        <v>0.73173333333333346</v>
      </c>
      <c r="AD290" s="25"/>
      <c r="AE290" s="3"/>
      <c r="AF290" s="3"/>
    </row>
    <row r="291" spans="1:32" x14ac:dyDescent="0.25">
      <c r="A291" s="20">
        <v>45947</v>
      </c>
      <c r="B291" s="3" t="s">
        <v>62</v>
      </c>
      <c r="C291" s="3">
        <f t="shared" si="8"/>
        <v>3</v>
      </c>
      <c r="D291" t="s">
        <v>70</v>
      </c>
      <c r="E291" s="14">
        <v>0.93</v>
      </c>
      <c r="F291" s="14">
        <v>0.37</v>
      </c>
      <c r="G291" s="14">
        <v>0.9</v>
      </c>
      <c r="H291" s="3">
        <v>27</v>
      </c>
      <c r="I291" s="3">
        <v>31</v>
      </c>
      <c r="J291" s="3">
        <v>4</v>
      </c>
      <c r="K291" s="3">
        <v>7</v>
      </c>
      <c r="L291" s="3">
        <v>2</v>
      </c>
      <c r="M291" s="3">
        <v>4</v>
      </c>
      <c r="N291" s="3">
        <v>4</v>
      </c>
      <c r="O291" s="3">
        <v>755</v>
      </c>
      <c r="P291" s="3">
        <v>1777</v>
      </c>
      <c r="Q291" s="3">
        <v>177</v>
      </c>
      <c r="R291" s="3">
        <v>1954</v>
      </c>
      <c r="S291" s="14">
        <v>1.1000000000000001</v>
      </c>
      <c r="T291" s="14">
        <v>0.15</v>
      </c>
      <c r="U291" s="14">
        <v>0.8</v>
      </c>
      <c r="V291" s="14">
        <v>0.08</v>
      </c>
      <c r="W291" s="14">
        <v>0.78</v>
      </c>
      <c r="X291" s="14">
        <v>0.89760000000000018</v>
      </c>
      <c r="Y291" s="14">
        <v>0.78</v>
      </c>
      <c r="Z291">
        <v>85</v>
      </c>
      <c r="AA291">
        <v>62</v>
      </c>
      <c r="AB291">
        <v>27</v>
      </c>
      <c r="AC291" s="4">
        <f t="shared" si="9"/>
        <v>0.81920000000000004</v>
      </c>
      <c r="AD291" s="25"/>
      <c r="AE291" s="3"/>
      <c r="AF291" s="3"/>
    </row>
    <row r="292" spans="1:32" x14ac:dyDescent="0.25">
      <c r="A292" s="20">
        <v>45948</v>
      </c>
      <c r="B292" s="3" t="s">
        <v>62</v>
      </c>
      <c r="C292" s="3">
        <f t="shared" si="8"/>
        <v>3</v>
      </c>
      <c r="D292" t="s">
        <v>51</v>
      </c>
      <c r="E292" s="14">
        <v>0.35</v>
      </c>
      <c r="F292" s="14">
        <v>0.36</v>
      </c>
      <c r="G292" s="14">
        <v>0.54</v>
      </c>
      <c r="H292" s="3">
        <v>30</v>
      </c>
      <c r="I292" s="3">
        <v>38</v>
      </c>
      <c r="J292" s="3">
        <v>2</v>
      </c>
      <c r="K292" s="3">
        <v>5</v>
      </c>
      <c r="L292" s="3">
        <v>2</v>
      </c>
      <c r="M292" s="3">
        <v>8</v>
      </c>
      <c r="N292" s="3">
        <v>7</v>
      </c>
      <c r="O292" s="3">
        <v>2138</v>
      </c>
      <c r="P292" s="3">
        <v>45</v>
      </c>
      <c r="Q292" s="3">
        <v>519</v>
      </c>
      <c r="R292" s="3">
        <v>3421</v>
      </c>
      <c r="S292" s="14">
        <v>1.06</v>
      </c>
      <c r="T292" s="14">
        <v>1.1299999999999999</v>
      </c>
      <c r="U292" s="14">
        <v>0.73</v>
      </c>
      <c r="V292" s="14">
        <v>0.06</v>
      </c>
      <c r="W292" s="14">
        <v>0.31950000000000001</v>
      </c>
      <c r="X292" s="14">
        <v>0.43956000000000006</v>
      </c>
      <c r="Y292" s="14">
        <v>0.22950000000000001</v>
      </c>
      <c r="Z292">
        <v>93</v>
      </c>
      <c r="AA292">
        <v>64</v>
      </c>
      <c r="AB292">
        <v>24</v>
      </c>
      <c r="AC292" s="4">
        <f t="shared" si="9"/>
        <v>0.32952000000000004</v>
      </c>
      <c r="AD292" s="25"/>
      <c r="AE292" s="3"/>
      <c r="AF292" s="3"/>
    </row>
    <row r="293" spans="1:32" x14ac:dyDescent="0.25">
      <c r="A293" s="20">
        <v>45949</v>
      </c>
      <c r="B293" s="3" t="s">
        <v>62</v>
      </c>
      <c r="C293" s="3">
        <f t="shared" si="8"/>
        <v>3</v>
      </c>
      <c r="D293" t="s">
        <v>65</v>
      </c>
      <c r="E293" s="14">
        <v>0.3</v>
      </c>
      <c r="F293" s="14">
        <v>0.54</v>
      </c>
      <c r="G293" s="14">
        <v>0.72</v>
      </c>
      <c r="H293" s="3">
        <v>13</v>
      </c>
      <c r="I293" s="3">
        <v>17</v>
      </c>
      <c r="J293" s="3">
        <v>2</v>
      </c>
      <c r="K293" s="3">
        <v>7</v>
      </c>
      <c r="L293" s="3">
        <v>8</v>
      </c>
      <c r="M293" s="3">
        <v>2</v>
      </c>
      <c r="N293" s="3">
        <v>8</v>
      </c>
      <c r="O293" s="3">
        <v>2616</v>
      </c>
      <c r="P293" s="3">
        <v>2760</v>
      </c>
      <c r="Q293" s="3">
        <v>496.5</v>
      </c>
      <c r="R293" s="3">
        <v>3036</v>
      </c>
      <c r="S293" s="14">
        <v>0.89</v>
      </c>
      <c r="T293" s="14">
        <v>0.49</v>
      </c>
      <c r="U293" s="14">
        <v>0.38</v>
      </c>
      <c r="V293" s="14">
        <v>7.0000000000000007E-2</v>
      </c>
      <c r="W293" s="14">
        <v>0.378</v>
      </c>
      <c r="X293" s="14">
        <v>0.24948000000000004</v>
      </c>
      <c r="Y293" s="14">
        <v>0.189</v>
      </c>
      <c r="Z293">
        <v>80</v>
      </c>
      <c r="AA293">
        <v>69</v>
      </c>
      <c r="AB293">
        <v>42</v>
      </c>
      <c r="AC293" s="4">
        <f t="shared" si="9"/>
        <v>0.27216000000000001</v>
      </c>
      <c r="AD293" s="25"/>
      <c r="AE293" s="3"/>
      <c r="AF293" s="3"/>
    </row>
    <row r="294" spans="1:32" x14ac:dyDescent="0.25">
      <c r="A294" s="20">
        <v>45950</v>
      </c>
      <c r="B294" s="3" t="s">
        <v>62</v>
      </c>
      <c r="C294" s="3">
        <f t="shared" si="8"/>
        <v>4</v>
      </c>
      <c r="D294" t="s">
        <v>66</v>
      </c>
      <c r="E294" s="14">
        <v>0.96</v>
      </c>
      <c r="F294" s="14">
        <v>0.56999999999999995</v>
      </c>
      <c r="G294" s="14">
        <v>0.78</v>
      </c>
      <c r="H294" s="3">
        <v>27</v>
      </c>
      <c r="I294" s="3">
        <v>23</v>
      </c>
      <c r="J294" s="3">
        <v>5</v>
      </c>
      <c r="K294" s="3">
        <v>12</v>
      </c>
      <c r="L294" s="3">
        <v>4</v>
      </c>
      <c r="M294" s="3">
        <v>11</v>
      </c>
      <c r="N294" s="3">
        <v>8</v>
      </c>
      <c r="O294" s="3">
        <v>391</v>
      </c>
      <c r="P294" s="3">
        <v>146</v>
      </c>
      <c r="Q294" s="3">
        <v>2436</v>
      </c>
      <c r="R294" s="3">
        <v>2679</v>
      </c>
      <c r="S294" s="14">
        <v>0.21</v>
      </c>
      <c r="T294" s="14">
        <v>0.94</v>
      </c>
      <c r="U294" s="14">
        <v>0.41</v>
      </c>
      <c r="V294" s="14">
        <v>0.01</v>
      </c>
      <c r="W294" s="14">
        <v>0.68</v>
      </c>
      <c r="X294" s="14">
        <v>0.62039999999999995</v>
      </c>
      <c r="Y294" s="14">
        <v>0.64</v>
      </c>
      <c r="Z294">
        <v>86</v>
      </c>
      <c r="AA294">
        <v>63</v>
      </c>
      <c r="AB294">
        <v>21</v>
      </c>
      <c r="AC294" s="4">
        <f t="shared" si="9"/>
        <v>0.64679999999999993</v>
      </c>
      <c r="AD294" s="25"/>
      <c r="AE294" s="3"/>
      <c r="AF294" s="3"/>
    </row>
    <row r="295" spans="1:32" x14ac:dyDescent="0.25">
      <c r="A295" s="20">
        <v>45951</v>
      </c>
      <c r="B295" s="3" t="s">
        <v>62</v>
      </c>
      <c r="C295" s="3">
        <f t="shared" si="8"/>
        <v>4</v>
      </c>
      <c r="D295" t="s">
        <v>67</v>
      </c>
      <c r="E295" s="14">
        <v>0.68</v>
      </c>
      <c r="F295" s="14">
        <v>0.64</v>
      </c>
      <c r="G295" s="14">
        <v>0.71</v>
      </c>
      <c r="H295" s="3">
        <v>39</v>
      </c>
      <c r="I295" s="3">
        <v>40</v>
      </c>
      <c r="J295" s="3">
        <v>7</v>
      </c>
      <c r="K295" s="3">
        <v>12</v>
      </c>
      <c r="L295" s="3">
        <v>8</v>
      </c>
      <c r="M295" s="3">
        <v>9</v>
      </c>
      <c r="N295" s="3">
        <v>6</v>
      </c>
      <c r="O295" s="3">
        <v>3174</v>
      </c>
      <c r="P295" s="3">
        <v>2574</v>
      </c>
      <c r="Q295" s="3">
        <v>1773</v>
      </c>
      <c r="R295" s="3">
        <v>3639</v>
      </c>
      <c r="S295" s="14">
        <v>0.98</v>
      </c>
      <c r="T295" s="14">
        <v>1.08</v>
      </c>
      <c r="U295" s="14">
        <v>0.2</v>
      </c>
      <c r="V295" s="14">
        <v>0.02</v>
      </c>
      <c r="W295" s="14">
        <v>0.61</v>
      </c>
      <c r="X295" s="14">
        <v>0.60720000000000007</v>
      </c>
      <c r="Y295" s="14">
        <v>0.36</v>
      </c>
      <c r="Z295">
        <v>82</v>
      </c>
      <c r="AA295">
        <v>59</v>
      </c>
      <c r="AB295">
        <v>38</v>
      </c>
      <c r="AC295" s="4">
        <f t="shared" si="9"/>
        <v>0.52573333333333327</v>
      </c>
      <c r="AD295" s="25"/>
      <c r="AE295" s="3"/>
      <c r="AF295" s="3"/>
    </row>
    <row r="296" spans="1:32" x14ac:dyDescent="0.25">
      <c r="A296" s="20">
        <v>45952</v>
      </c>
      <c r="B296" s="3" t="s">
        <v>62</v>
      </c>
      <c r="C296" s="3">
        <f t="shared" si="8"/>
        <v>4</v>
      </c>
      <c r="D296" t="s">
        <v>68</v>
      </c>
      <c r="E296" s="14">
        <v>0.62</v>
      </c>
      <c r="F296" s="14">
        <v>0.83</v>
      </c>
      <c r="G296" s="14">
        <v>0.55000000000000004</v>
      </c>
      <c r="H296" s="3">
        <v>31</v>
      </c>
      <c r="I296" s="3">
        <v>19</v>
      </c>
      <c r="J296" s="3">
        <v>11</v>
      </c>
      <c r="K296" s="3">
        <v>2</v>
      </c>
      <c r="L296" s="3">
        <v>12</v>
      </c>
      <c r="M296" s="3">
        <v>3</v>
      </c>
      <c r="N296" s="3">
        <v>9</v>
      </c>
      <c r="O296" s="3">
        <v>3141</v>
      </c>
      <c r="P296" s="3">
        <v>606</v>
      </c>
      <c r="Q296" s="3">
        <v>1261.5</v>
      </c>
      <c r="R296" s="3">
        <v>5697</v>
      </c>
      <c r="S296" s="14">
        <v>0.83</v>
      </c>
      <c r="T296" s="14">
        <v>0.19</v>
      </c>
      <c r="U296" s="14">
        <v>0.62</v>
      </c>
      <c r="V296" s="14">
        <v>0.06</v>
      </c>
      <c r="W296" s="14">
        <v>0.65</v>
      </c>
      <c r="X296" s="14">
        <v>0.96360000000000012</v>
      </c>
      <c r="Y296" s="14">
        <v>0.5</v>
      </c>
      <c r="Z296">
        <v>96</v>
      </c>
      <c r="AA296">
        <v>54</v>
      </c>
      <c r="AB296">
        <v>44</v>
      </c>
      <c r="AC296" s="4">
        <f t="shared" si="9"/>
        <v>0.70453333333333334</v>
      </c>
      <c r="AD296" s="25"/>
      <c r="AE296" s="3"/>
      <c r="AF296" s="3"/>
    </row>
    <row r="297" spans="1:32" x14ac:dyDescent="0.25">
      <c r="A297" s="20">
        <v>45953</v>
      </c>
      <c r="B297" s="3" t="s">
        <v>62</v>
      </c>
      <c r="C297" s="3">
        <f t="shared" si="8"/>
        <v>4</v>
      </c>
      <c r="D297" t="s">
        <v>69</v>
      </c>
      <c r="E297" s="14">
        <v>0.75</v>
      </c>
      <c r="F297" s="14">
        <v>0.63</v>
      </c>
      <c r="G297" s="14">
        <v>0.82</v>
      </c>
      <c r="H297" s="3">
        <v>38</v>
      </c>
      <c r="I297" s="3">
        <v>5</v>
      </c>
      <c r="J297" s="3">
        <v>3</v>
      </c>
      <c r="K297" s="3">
        <v>6</v>
      </c>
      <c r="L297" s="3">
        <v>11</v>
      </c>
      <c r="M297" s="3">
        <v>2</v>
      </c>
      <c r="N297" s="3">
        <v>1</v>
      </c>
      <c r="O297" s="3">
        <v>3047</v>
      </c>
      <c r="P297" s="3">
        <v>1181</v>
      </c>
      <c r="Q297" s="3">
        <v>2526</v>
      </c>
      <c r="R297" s="3">
        <v>4753</v>
      </c>
      <c r="S297" s="14">
        <v>0.18</v>
      </c>
      <c r="T297" s="14">
        <v>1.0900000000000001</v>
      </c>
      <c r="U297" s="14">
        <v>1.0900000000000001</v>
      </c>
      <c r="V297" s="14">
        <v>0.08</v>
      </c>
      <c r="W297" s="14">
        <v>0.83</v>
      </c>
      <c r="X297" s="14">
        <v>0.58080000000000009</v>
      </c>
      <c r="Y297" s="14">
        <v>0.59</v>
      </c>
      <c r="Z297">
        <v>99</v>
      </c>
      <c r="AA297">
        <v>66</v>
      </c>
      <c r="AB297">
        <v>25</v>
      </c>
      <c r="AC297" s="4">
        <f t="shared" si="9"/>
        <v>0.66693333333333327</v>
      </c>
      <c r="AD297" s="25"/>
      <c r="AE297" s="3"/>
      <c r="AF297" s="3"/>
    </row>
    <row r="298" spans="1:32" x14ac:dyDescent="0.25">
      <c r="A298" s="20">
        <v>45954</v>
      </c>
      <c r="B298" s="3" t="s">
        <v>62</v>
      </c>
      <c r="C298" s="3">
        <f t="shared" si="8"/>
        <v>4</v>
      </c>
      <c r="D298" t="s">
        <v>70</v>
      </c>
      <c r="E298" s="14">
        <v>0.61</v>
      </c>
      <c r="F298" s="14">
        <v>0.79</v>
      </c>
      <c r="G298" s="14">
        <v>0.56000000000000005</v>
      </c>
      <c r="H298" s="3">
        <v>24</v>
      </c>
      <c r="I298" s="3">
        <v>31</v>
      </c>
      <c r="J298" s="3">
        <v>6</v>
      </c>
      <c r="K298" s="3">
        <v>1</v>
      </c>
      <c r="L298" s="3">
        <v>7</v>
      </c>
      <c r="M298" s="3">
        <v>8</v>
      </c>
      <c r="N298" s="3">
        <v>2</v>
      </c>
      <c r="O298" s="3">
        <v>1324</v>
      </c>
      <c r="P298" s="3">
        <v>1701</v>
      </c>
      <c r="Q298" s="3">
        <v>2056.5</v>
      </c>
      <c r="R298" s="3">
        <v>2262</v>
      </c>
      <c r="S298" s="14">
        <v>0.56000000000000005</v>
      </c>
      <c r="T298" s="14">
        <v>0.39</v>
      </c>
      <c r="U298" s="14">
        <v>0.17</v>
      </c>
      <c r="V298" s="14">
        <v>0.05</v>
      </c>
      <c r="W298" s="14">
        <v>0.77</v>
      </c>
      <c r="X298" s="14">
        <v>0.91080000000000005</v>
      </c>
      <c r="Y298" s="14">
        <v>0.36</v>
      </c>
      <c r="Z298">
        <v>83</v>
      </c>
      <c r="AA298">
        <v>67</v>
      </c>
      <c r="AB298">
        <v>18</v>
      </c>
      <c r="AC298" s="4">
        <f t="shared" si="9"/>
        <v>0.68026666666666669</v>
      </c>
      <c r="AD298" s="25"/>
      <c r="AE298" s="3"/>
      <c r="AF298" s="3"/>
    </row>
    <row r="299" spans="1:32" x14ac:dyDescent="0.25">
      <c r="A299" s="20">
        <v>45955</v>
      </c>
      <c r="B299" s="3" t="s">
        <v>62</v>
      </c>
      <c r="C299" s="3">
        <f t="shared" si="8"/>
        <v>4</v>
      </c>
      <c r="D299" t="s">
        <v>51</v>
      </c>
      <c r="E299" s="14">
        <v>0.2</v>
      </c>
      <c r="F299" s="14">
        <v>0.81</v>
      </c>
      <c r="G299" s="14">
        <v>0.87</v>
      </c>
      <c r="H299" s="3">
        <v>25</v>
      </c>
      <c r="I299" s="3">
        <v>38</v>
      </c>
      <c r="J299" s="3">
        <v>4</v>
      </c>
      <c r="K299" s="3">
        <v>8</v>
      </c>
      <c r="L299" s="3">
        <v>5</v>
      </c>
      <c r="M299" s="3">
        <v>7</v>
      </c>
      <c r="N299" s="3">
        <v>2</v>
      </c>
      <c r="O299" s="3">
        <v>1211</v>
      </c>
      <c r="P299" s="3">
        <v>435</v>
      </c>
      <c r="Q299" s="3">
        <v>2322</v>
      </c>
      <c r="R299" s="3">
        <v>2554</v>
      </c>
      <c r="S299" s="14">
        <v>0.77</v>
      </c>
      <c r="T299" s="14">
        <v>0.69</v>
      </c>
      <c r="U299" s="14">
        <v>0.26</v>
      </c>
      <c r="V299" s="14">
        <v>0.09</v>
      </c>
      <c r="W299" s="14">
        <v>0.31950000000000001</v>
      </c>
      <c r="X299" s="14">
        <v>0.17820000000000003</v>
      </c>
      <c r="Y299" s="14">
        <v>0.24750000000000003</v>
      </c>
      <c r="Z299">
        <v>92</v>
      </c>
      <c r="AA299">
        <v>78</v>
      </c>
      <c r="AB299">
        <v>19</v>
      </c>
      <c r="AC299" s="4">
        <f t="shared" si="9"/>
        <v>0.24840000000000004</v>
      </c>
      <c r="AD299" s="25"/>
      <c r="AE299" s="3"/>
      <c r="AF299" s="3"/>
    </row>
    <row r="300" spans="1:32" x14ac:dyDescent="0.25">
      <c r="A300" s="20">
        <v>45956</v>
      </c>
      <c r="B300" s="3" t="s">
        <v>62</v>
      </c>
      <c r="C300" s="3">
        <f t="shared" si="8"/>
        <v>4</v>
      </c>
      <c r="D300" t="s">
        <v>65</v>
      </c>
      <c r="E300" s="14">
        <v>0.21</v>
      </c>
      <c r="F300" s="14">
        <v>0.54</v>
      </c>
      <c r="G300" s="14">
        <v>0.4</v>
      </c>
      <c r="H300" s="3">
        <v>24</v>
      </c>
      <c r="I300" s="3">
        <v>21</v>
      </c>
      <c r="J300" s="3">
        <v>7</v>
      </c>
      <c r="K300" s="3">
        <v>4</v>
      </c>
      <c r="L300" s="3">
        <v>2</v>
      </c>
      <c r="M300" s="3">
        <v>1</v>
      </c>
      <c r="N300" s="3">
        <v>4</v>
      </c>
      <c r="O300" s="3">
        <v>3144</v>
      </c>
      <c r="P300" s="3">
        <v>1921</v>
      </c>
      <c r="Q300" s="3">
        <v>1260</v>
      </c>
      <c r="R300" s="3">
        <v>4360</v>
      </c>
      <c r="S300" s="14">
        <v>0.19</v>
      </c>
      <c r="T300" s="14">
        <v>0.54</v>
      </c>
      <c r="U300" s="14">
        <v>0.74</v>
      </c>
      <c r="V300" s="14">
        <v>0.06</v>
      </c>
      <c r="W300" s="14">
        <v>0.315</v>
      </c>
      <c r="X300" s="14">
        <v>0.17820000000000003</v>
      </c>
      <c r="Y300" s="14">
        <v>0.22500000000000001</v>
      </c>
      <c r="Z300">
        <v>92</v>
      </c>
      <c r="AA300">
        <v>56</v>
      </c>
      <c r="AB300">
        <v>20</v>
      </c>
      <c r="AC300" s="4">
        <f t="shared" si="9"/>
        <v>0.23940000000000003</v>
      </c>
      <c r="AD300" s="25"/>
      <c r="AE300" s="3"/>
      <c r="AF300" s="3"/>
    </row>
    <row r="301" spans="1:32" x14ac:dyDescent="0.25">
      <c r="A301" s="20">
        <v>45957</v>
      </c>
      <c r="B301" s="3" t="s">
        <v>62</v>
      </c>
      <c r="C301" s="3">
        <f t="shared" si="8"/>
        <v>5</v>
      </c>
      <c r="D301" t="s">
        <v>66</v>
      </c>
      <c r="E301" s="14">
        <v>0.81</v>
      </c>
      <c r="F301" s="14">
        <v>0.88</v>
      </c>
      <c r="G301" s="14">
        <v>0.76</v>
      </c>
      <c r="H301" s="3">
        <v>26</v>
      </c>
      <c r="I301" s="3">
        <v>40</v>
      </c>
      <c r="J301" s="3">
        <v>2</v>
      </c>
      <c r="K301" s="3">
        <v>12</v>
      </c>
      <c r="L301" s="3">
        <v>8</v>
      </c>
      <c r="M301" s="3">
        <v>9</v>
      </c>
      <c r="N301" s="3">
        <v>2</v>
      </c>
      <c r="O301" s="3">
        <v>1803</v>
      </c>
      <c r="P301" s="3">
        <v>1264</v>
      </c>
      <c r="Q301" s="3">
        <v>1138.5</v>
      </c>
      <c r="R301" s="3">
        <v>3317</v>
      </c>
      <c r="S301" s="14">
        <v>0.67</v>
      </c>
      <c r="T301" s="14">
        <v>1.01</v>
      </c>
      <c r="U301" s="14">
        <v>0.97</v>
      </c>
      <c r="V301" s="14">
        <v>0.06</v>
      </c>
      <c r="W301" s="14">
        <v>0.79</v>
      </c>
      <c r="X301" s="14">
        <v>0.5676000000000001</v>
      </c>
      <c r="Y301" s="14">
        <v>0.38</v>
      </c>
      <c r="Z301">
        <v>89</v>
      </c>
      <c r="AA301">
        <v>70</v>
      </c>
      <c r="AB301">
        <v>42</v>
      </c>
      <c r="AC301" s="4">
        <f t="shared" si="9"/>
        <v>0.57920000000000005</v>
      </c>
      <c r="AD301" s="25"/>
      <c r="AE301" s="3"/>
      <c r="AF301" s="3"/>
    </row>
    <row r="302" spans="1:32" x14ac:dyDescent="0.25">
      <c r="A302" s="20">
        <v>45958</v>
      </c>
      <c r="B302" s="3" t="s">
        <v>62</v>
      </c>
      <c r="C302" s="3">
        <f t="shared" si="8"/>
        <v>5</v>
      </c>
      <c r="D302" t="s">
        <v>67</v>
      </c>
      <c r="E302" s="14">
        <v>0.77</v>
      </c>
      <c r="F302" s="14">
        <v>0.79</v>
      </c>
      <c r="G302" s="14">
        <v>0.41</v>
      </c>
      <c r="H302" s="3">
        <v>7</v>
      </c>
      <c r="I302" s="3">
        <v>31</v>
      </c>
      <c r="J302" s="3">
        <v>11</v>
      </c>
      <c r="K302" s="3">
        <v>11</v>
      </c>
      <c r="L302" s="3">
        <v>2</v>
      </c>
      <c r="M302" s="3">
        <v>6</v>
      </c>
      <c r="N302" s="3">
        <v>12</v>
      </c>
      <c r="O302" s="3">
        <v>1480</v>
      </c>
      <c r="P302" s="3">
        <v>779</v>
      </c>
      <c r="Q302" s="3">
        <v>2377.5</v>
      </c>
      <c r="R302" s="3">
        <v>2615</v>
      </c>
      <c r="S302" s="14">
        <v>0.56999999999999995</v>
      </c>
      <c r="T302" s="14">
        <v>0.15</v>
      </c>
      <c r="U302" s="14">
        <v>0.78</v>
      </c>
      <c r="V302" s="14">
        <v>0.03</v>
      </c>
      <c r="W302" s="14">
        <v>0.53</v>
      </c>
      <c r="X302" s="14">
        <v>0.99</v>
      </c>
      <c r="Y302" s="14">
        <v>0.53</v>
      </c>
      <c r="Z302">
        <v>94</v>
      </c>
      <c r="AA302">
        <v>71</v>
      </c>
      <c r="AB302">
        <v>33</v>
      </c>
      <c r="AC302" s="4">
        <f t="shared" si="9"/>
        <v>0.68333333333333324</v>
      </c>
      <c r="AD302" s="25"/>
      <c r="AE302" s="3"/>
      <c r="AF302" s="3"/>
    </row>
    <row r="303" spans="1:32" x14ac:dyDescent="0.25">
      <c r="A303" s="20">
        <v>45959</v>
      </c>
      <c r="B303" s="3" t="s">
        <v>62</v>
      </c>
      <c r="C303" s="3">
        <f t="shared" si="8"/>
        <v>5</v>
      </c>
      <c r="D303" t="s">
        <v>68</v>
      </c>
      <c r="E303" s="14">
        <v>0.9</v>
      </c>
      <c r="F303" s="14">
        <v>0.59</v>
      </c>
      <c r="G303" s="14">
        <v>0.64</v>
      </c>
      <c r="H303" s="3">
        <v>6</v>
      </c>
      <c r="I303" s="3">
        <v>14</v>
      </c>
      <c r="J303" s="3">
        <v>11</v>
      </c>
      <c r="K303" s="3">
        <v>12</v>
      </c>
      <c r="L303" s="3">
        <v>12</v>
      </c>
      <c r="M303" s="3">
        <v>9</v>
      </c>
      <c r="N303" s="3">
        <v>7</v>
      </c>
      <c r="O303" s="3">
        <v>2555</v>
      </c>
      <c r="P303" s="3">
        <v>2613</v>
      </c>
      <c r="Q303" s="3">
        <v>186</v>
      </c>
      <c r="R303" s="3">
        <v>4599</v>
      </c>
      <c r="S303" s="14">
        <v>0.45</v>
      </c>
      <c r="T303" s="14">
        <v>0.2</v>
      </c>
      <c r="U303" s="14">
        <v>0.77</v>
      </c>
      <c r="V303" s="14">
        <v>0.03</v>
      </c>
      <c r="W303" s="14">
        <v>0.74</v>
      </c>
      <c r="X303" s="14">
        <v>0.83160000000000012</v>
      </c>
      <c r="Y303" s="14">
        <v>0.6</v>
      </c>
      <c r="Z303">
        <v>88</v>
      </c>
      <c r="AA303">
        <v>78</v>
      </c>
      <c r="AB303">
        <v>18</v>
      </c>
      <c r="AC303" s="4">
        <f t="shared" si="9"/>
        <v>0.72386666666666677</v>
      </c>
      <c r="AD303" s="25"/>
      <c r="AE303" s="3"/>
      <c r="AF303" s="3"/>
    </row>
    <row r="304" spans="1:32" x14ac:dyDescent="0.25">
      <c r="A304" s="20">
        <v>45960</v>
      </c>
      <c r="B304" s="3" t="s">
        <v>62</v>
      </c>
      <c r="C304" s="3">
        <f t="shared" si="8"/>
        <v>5</v>
      </c>
      <c r="D304" t="s">
        <v>69</v>
      </c>
      <c r="E304" s="14">
        <v>0.65</v>
      </c>
      <c r="F304" s="14">
        <v>0.65</v>
      </c>
      <c r="G304" s="14">
        <v>0.37</v>
      </c>
      <c r="H304" s="3">
        <v>38</v>
      </c>
      <c r="I304" s="3">
        <v>33</v>
      </c>
      <c r="J304" s="3">
        <v>1</v>
      </c>
      <c r="K304" s="3">
        <v>2</v>
      </c>
      <c r="L304" s="3">
        <v>1</v>
      </c>
      <c r="M304" s="3">
        <v>11</v>
      </c>
      <c r="N304" s="3">
        <v>1</v>
      </c>
      <c r="O304" s="3">
        <v>1212</v>
      </c>
      <c r="P304" s="3">
        <v>2943</v>
      </c>
      <c r="Q304" s="3">
        <v>243</v>
      </c>
      <c r="R304" s="3">
        <v>3237</v>
      </c>
      <c r="S304" s="14">
        <v>0.42</v>
      </c>
      <c r="T304" s="14">
        <v>0.22</v>
      </c>
      <c r="U304" s="14">
        <v>0.69</v>
      </c>
      <c r="V304" s="14">
        <v>0.09</v>
      </c>
      <c r="W304" s="14">
        <v>0.79</v>
      </c>
      <c r="X304" s="14">
        <v>0.89760000000000018</v>
      </c>
      <c r="Y304" s="14">
        <v>0.66</v>
      </c>
      <c r="Z304">
        <v>93</v>
      </c>
      <c r="AA304">
        <v>60</v>
      </c>
      <c r="AB304">
        <v>35</v>
      </c>
      <c r="AC304" s="4">
        <f t="shared" si="9"/>
        <v>0.78253333333333341</v>
      </c>
      <c r="AD304" s="25"/>
      <c r="AE304" s="3"/>
      <c r="AF304" s="3"/>
    </row>
    <row r="305" spans="1:32" x14ac:dyDescent="0.25">
      <c r="A305" s="20">
        <v>45961</v>
      </c>
      <c r="B305" s="3" t="s">
        <v>62</v>
      </c>
      <c r="C305" s="3">
        <f t="shared" si="8"/>
        <v>5</v>
      </c>
      <c r="D305" t="s">
        <v>70</v>
      </c>
      <c r="E305" s="14">
        <v>0.68</v>
      </c>
      <c r="F305" s="14">
        <v>0.36</v>
      </c>
      <c r="G305" s="14">
        <v>0.69</v>
      </c>
      <c r="H305" s="3">
        <v>40</v>
      </c>
      <c r="I305" s="3">
        <v>38</v>
      </c>
      <c r="J305" s="3">
        <v>8</v>
      </c>
      <c r="K305" s="3">
        <v>2</v>
      </c>
      <c r="L305" s="3">
        <v>2</v>
      </c>
      <c r="M305" s="3">
        <v>8</v>
      </c>
      <c r="N305" s="3">
        <v>1</v>
      </c>
      <c r="O305" s="3">
        <v>98</v>
      </c>
      <c r="P305" s="3">
        <v>445</v>
      </c>
      <c r="Q305" s="3">
        <v>634.5</v>
      </c>
      <c r="R305" s="3">
        <v>697</v>
      </c>
      <c r="S305" s="14">
        <v>1.2</v>
      </c>
      <c r="T305" s="14">
        <v>0.42</v>
      </c>
      <c r="U305" s="14">
        <v>0.63</v>
      </c>
      <c r="V305" s="14">
        <v>0.06</v>
      </c>
      <c r="W305" s="14">
        <v>0.63</v>
      </c>
      <c r="X305" s="14">
        <v>0.7128000000000001</v>
      </c>
      <c r="Y305" s="14">
        <v>0.78</v>
      </c>
      <c r="Z305">
        <v>88</v>
      </c>
      <c r="AA305">
        <v>74</v>
      </c>
      <c r="AB305">
        <v>38</v>
      </c>
      <c r="AC305" s="4">
        <f t="shared" si="9"/>
        <v>0.7075999999999999</v>
      </c>
      <c r="AD305" s="25"/>
      <c r="AE305" s="3"/>
      <c r="AF305" s="3"/>
    </row>
    <row r="306" spans="1:32" x14ac:dyDescent="0.25">
      <c r="A306" s="20">
        <v>45962</v>
      </c>
      <c r="B306" s="3" t="s">
        <v>63</v>
      </c>
      <c r="C306" s="3">
        <f t="shared" si="8"/>
        <v>1</v>
      </c>
      <c r="D306" t="s">
        <v>51</v>
      </c>
      <c r="E306" s="14">
        <v>0.11</v>
      </c>
      <c r="F306" s="14">
        <v>0.77</v>
      </c>
      <c r="G306" s="14">
        <v>0.41</v>
      </c>
      <c r="H306" s="3">
        <v>23</v>
      </c>
      <c r="I306" s="3">
        <v>13</v>
      </c>
      <c r="J306" s="3">
        <v>1</v>
      </c>
      <c r="K306" s="3">
        <v>4</v>
      </c>
      <c r="L306" s="3">
        <v>5</v>
      </c>
      <c r="M306" s="3">
        <v>2</v>
      </c>
      <c r="N306" s="3">
        <v>2</v>
      </c>
      <c r="O306" s="3">
        <v>1732</v>
      </c>
      <c r="P306" s="3">
        <v>909</v>
      </c>
      <c r="Q306" s="3">
        <v>1539</v>
      </c>
      <c r="R306" s="3">
        <v>2864</v>
      </c>
      <c r="S306" s="14">
        <v>0.35</v>
      </c>
      <c r="T306" s="14">
        <v>0.65</v>
      </c>
      <c r="U306" s="14">
        <v>0.33</v>
      </c>
      <c r="V306" s="14">
        <v>0.02</v>
      </c>
      <c r="W306" s="14">
        <v>0.216</v>
      </c>
      <c r="X306" s="14">
        <v>0.34451999999999999</v>
      </c>
      <c r="Y306" s="14">
        <v>0.28800000000000003</v>
      </c>
      <c r="Z306">
        <v>78</v>
      </c>
      <c r="AA306">
        <v>80</v>
      </c>
      <c r="AB306">
        <v>36</v>
      </c>
      <c r="AC306" s="4">
        <f t="shared" si="9"/>
        <v>0.28284000000000004</v>
      </c>
      <c r="AD306" s="25"/>
      <c r="AE306" s="3"/>
      <c r="AF306" s="3"/>
    </row>
    <row r="307" spans="1:32" x14ac:dyDescent="0.25">
      <c r="A307" s="20">
        <v>45963</v>
      </c>
      <c r="B307" s="3" t="s">
        <v>63</v>
      </c>
      <c r="C307" s="3">
        <f t="shared" si="8"/>
        <v>1</v>
      </c>
      <c r="D307" t="s">
        <v>65</v>
      </c>
      <c r="E307" s="14">
        <v>0.28999999999999998</v>
      </c>
      <c r="F307" s="14">
        <v>0.37</v>
      </c>
      <c r="G307" s="14">
        <v>0.59</v>
      </c>
      <c r="H307" s="3">
        <v>35</v>
      </c>
      <c r="I307" s="3">
        <v>14</v>
      </c>
      <c r="J307" s="3">
        <v>2</v>
      </c>
      <c r="K307" s="3">
        <v>4</v>
      </c>
      <c r="L307" s="3">
        <v>4</v>
      </c>
      <c r="M307" s="3">
        <v>4</v>
      </c>
      <c r="N307" s="3">
        <v>8</v>
      </c>
      <c r="O307" s="3">
        <v>1095</v>
      </c>
      <c r="P307" s="3">
        <v>1233</v>
      </c>
      <c r="Q307" s="3">
        <v>2247</v>
      </c>
      <c r="R307" s="3">
        <v>2471</v>
      </c>
      <c r="S307" s="14">
        <v>0.19</v>
      </c>
      <c r="T307" s="14">
        <v>0.21</v>
      </c>
      <c r="U307" s="14">
        <v>0.92</v>
      </c>
      <c r="V307" s="14">
        <v>7.0000000000000007E-2</v>
      </c>
      <c r="W307" s="14">
        <v>0.25650000000000001</v>
      </c>
      <c r="X307" s="14">
        <v>0.24948000000000004</v>
      </c>
      <c r="Y307" s="14">
        <v>0.24750000000000003</v>
      </c>
      <c r="Z307">
        <v>92</v>
      </c>
      <c r="AA307">
        <v>55</v>
      </c>
      <c r="AB307">
        <v>23</v>
      </c>
      <c r="AC307" s="4">
        <f t="shared" si="9"/>
        <v>0.25116000000000005</v>
      </c>
      <c r="AD307" s="25"/>
      <c r="AE307" s="3"/>
      <c r="AF307" s="3"/>
    </row>
    <row r="308" spans="1:32" x14ac:dyDescent="0.25">
      <c r="A308" s="20">
        <v>45964</v>
      </c>
      <c r="B308" s="3" t="s">
        <v>63</v>
      </c>
      <c r="C308" s="3">
        <f t="shared" si="8"/>
        <v>2</v>
      </c>
      <c r="D308" t="s">
        <v>66</v>
      </c>
      <c r="E308" s="14">
        <v>0.84</v>
      </c>
      <c r="F308" s="14">
        <v>0.7</v>
      </c>
      <c r="G308" s="14">
        <v>0.38</v>
      </c>
      <c r="H308" s="3">
        <v>23</v>
      </c>
      <c r="I308" s="3">
        <v>12</v>
      </c>
      <c r="J308" s="3">
        <v>12</v>
      </c>
      <c r="K308" s="3">
        <v>7</v>
      </c>
      <c r="L308" s="3">
        <v>1</v>
      </c>
      <c r="M308" s="3">
        <v>7</v>
      </c>
      <c r="N308" s="3">
        <v>11</v>
      </c>
      <c r="O308" s="3">
        <v>166</v>
      </c>
      <c r="P308" s="3">
        <v>2684</v>
      </c>
      <c r="Q308" s="3">
        <v>540</v>
      </c>
      <c r="R308" s="3">
        <v>2952</v>
      </c>
      <c r="S308" s="14">
        <v>0.23</v>
      </c>
      <c r="T308" s="14">
        <v>0.26</v>
      </c>
      <c r="U308" s="14">
        <v>0.79</v>
      </c>
      <c r="V308" s="14">
        <v>0.1</v>
      </c>
      <c r="W308" s="14">
        <v>0.49</v>
      </c>
      <c r="X308" s="14">
        <v>0.40920000000000001</v>
      </c>
      <c r="Y308" s="14">
        <v>0.89</v>
      </c>
      <c r="Z308">
        <v>92</v>
      </c>
      <c r="AA308">
        <v>58</v>
      </c>
      <c r="AB308">
        <v>30</v>
      </c>
      <c r="AC308" s="4">
        <f t="shared" si="9"/>
        <v>0.59640000000000004</v>
      </c>
      <c r="AD308" s="25"/>
      <c r="AE308" s="3"/>
      <c r="AF308" s="3"/>
    </row>
    <row r="309" spans="1:32" x14ac:dyDescent="0.25">
      <c r="A309" s="20">
        <v>45965</v>
      </c>
      <c r="B309" s="3" t="s">
        <v>63</v>
      </c>
      <c r="C309" s="3">
        <f t="shared" si="8"/>
        <v>2</v>
      </c>
      <c r="D309" t="s">
        <v>67</v>
      </c>
      <c r="E309" s="14">
        <v>0.87</v>
      </c>
      <c r="F309" s="14">
        <v>0.81</v>
      </c>
      <c r="G309" s="14">
        <v>0.9</v>
      </c>
      <c r="H309" s="3">
        <v>34</v>
      </c>
      <c r="I309" s="3">
        <v>39</v>
      </c>
      <c r="J309" s="3">
        <v>9</v>
      </c>
      <c r="K309" s="3">
        <v>1</v>
      </c>
      <c r="L309" s="3">
        <v>8</v>
      </c>
      <c r="M309" s="3">
        <v>4</v>
      </c>
      <c r="N309" s="3">
        <v>11</v>
      </c>
      <c r="O309" s="3">
        <v>1455</v>
      </c>
      <c r="P309" s="3">
        <v>2500</v>
      </c>
      <c r="Q309" s="3">
        <v>2259</v>
      </c>
      <c r="R309" s="3">
        <v>2750</v>
      </c>
      <c r="S309" s="14">
        <v>0.37</v>
      </c>
      <c r="T309" s="14">
        <v>1.0900000000000001</v>
      </c>
      <c r="U309" s="14">
        <v>0.42</v>
      </c>
      <c r="V309" s="14">
        <v>7.0000000000000007E-2</v>
      </c>
      <c r="W309" s="14">
        <v>0.74</v>
      </c>
      <c r="X309" s="14">
        <v>0.73920000000000008</v>
      </c>
      <c r="Y309" s="14">
        <v>0.55000000000000004</v>
      </c>
      <c r="Z309">
        <v>88</v>
      </c>
      <c r="AA309">
        <v>51</v>
      </c>
      <c r="AB309">
        <v>34</v>
      </c>
      <c r="AC309" s="4">
        <f t="shared" si="9"/>
        <v>0.67640000000000011</v>
      </c>
      <c r="AD309" s="25"/>
      <c r="AE309" s="3"/>
      <c r="AF309" s="3"/>
    </row>
    <row r="310" spans="1:32" x14ac:dyDescent="0.25">
      <c r="A310" s="20">
        <v>45966</v>
      </c>
      <c r="B310" s="3" t="s">
        <v>63</v>
      </c>
      <c r="C310" s="3">
        <f t="shared" si="8"/>
        <v>2</v>
      </c>
      <c r="D310" t="s">
        <v>68</v>
      </c>
      <c r="E310" s="14">
        <v>0.84</v>
      </c>
      <c r="F310" s="14">
        <v>0.39</v>
      </c>
      <c r="G310" s="14">
        <v>0.9</v>
      </c>
      <c r="H310" s="3">
        <v>26</v>
      </c>
      <c r="I310" s="3">
        <v>12</v>
      </c>
      <c r="J310" s="3">
        <v>2</v>
      </c>
      <c r="K310" s="3">
        <v>4</v>
      </c>
      <c r="L310" s="3">
        <v>2</v>
      </c>
      <c r="M310" s="3">
        <v>12</v>
      </c>
      <c r="N310" s="3">
        <v>5</v>
      </c>
      <c r="O310" s="3">
        <v>1947</v>
      </c>
      <c r="P310" s="3">
        <v>828</v>
      </c>
      <c r="Q310" s="3">
        <v>1066.5</v>
      </c>
      <c r="R310" s="3">
        <v>2415</v>
      </c>
      <c r="S310" s="14">
        <v>0.18</v>
      </c>
      <c r="T310" s="14">
        <v>0.54</v>
      </c>
      <c r="U310" s="14">
        <v>0.64</v>
      </c>
      <c r="V310" s="14">
        <v>0.09</v>
      </c>
      <c r="W310" s="14">
        <v>0.77</v>
      </c>
      <c r="X310" s="14">
        <v>0.99</v>
      </c>
      <c r="Y310" s="14">
        <v>0.53</v>
      </c>
      <c r="Z310">
        <v>91</v>
      </c>
      <c r="AA310">
        <v>58</v>
      </c>
      <c r="AB310">
        <v>43</v>
      </c>
      <c r="AC310" s="4">
        <f t="shared" si="9"/>
        <v>0.76333333333333331</v>
      </c>
      <c r="AD310" s="25"/>
      <c r="AE310" s="3"/>
      <c r="AF310" s="3"/>
    </row>
    <row r="311" spans="1:32" x14ac:dyDescent="0.25">
      <c r="A311" s="20">
        <v>45967</v>
      </c>
      <c r="B311" s="3" t="s">
        <v>63</v>
      </c>
      <c r="C311" s="3">
        <f t="shared" si="8"/>
        <v>2</v>
      </c>
      <c r="D311" t="s">
        <v>69</v>
      </c>
      <c r="E311" s="14">
        <v>0.67</v>
      </c>
      <c r="F311" s="14">
        <v>0.53</v>
      </c>
      <c r="G311" s="14">
        <v>0.66</v>
      </c>
      <c r="H311" s="3">
        <v>30</v>
      </c>
      <c r="I311" s="3">
        <v>40</v>
      </c>
      <c r="J311" s="3">
        <v>1</v>
      </c>
      <c r="K311" s="3">
        <v>12</v>
      </c>
      <c r="L311" s="3">
        <v>4</v>
      </c>
      <c r="M311" s="3">
        <v>2</v>
      </c>
      <c r="N311" s="3">
        <v>12</v>
      </c>
      <c r="O311" s="3">
        <v>2799</v>
      </c>
      <c r="P311" s="3">
        <v>1589</v>
      </c>
      <c r="Q311" s="3">
        <v>888</v>
      </c>
      <c r="R311" s="3">
        <v>3546</v>
      </c>
      <c r="S311" s="14">
        <v>0.68</v>
      </c>
      <c r="T311" s="14">
        <v>1.17</v>
      </c>
      <c r="U311" s="14">
        <v>0.59</v>
      </c>
      <c r="V311" s="14">
        <v>0.05</v>
      </c>
      <c r="W311" s="14">
        <v>0.66</v>
      </c>
      <c r="X311" s="14">
        <v>0.67320000000000002</v>
      </c>
      <c r="Y311" s="14">
        <v>0.7</v>
      </c>
      <c r="Z311">
        <v>90</v>
      </c>
      <c r="AA311">
        <v>56</v>
      </c>
      <c r="AB311">
        <v>15</v>
      </c>
      <c r="AC311" s="4">
        <f t="shared" si="9"/>
        <v>0.6777333333333333</v>
      </c>
      <c r="AD311" s="25"/>
      <c r="AE311" s="3"/>
      <c r="AF311" s="3"/>
    </row>
    <row r="312" spans="1:32" x14ac:dyDescent="0.25">
      <c r="A312" s="20">
        <v>45968</v>
      </c>
      <c r="B312" s="3" t="s">
        <v>63</v>
      </c>
      <c r="C312" s="3">
        <f t="shared" si="8"/>
        <v>2</v>
      </c>
      <c r="D312" t="s">
        <v>70</v>
      </c>
      <c r="E312" s="14">
        <v>0.66</v>
      </c>
      <c r="F312" s="14">
        <v>0.87</v>
      </c>
      <c r="G312" s="14">
        <v>0.71</v>
      </c>
      <c r="H312" s="3">
        <v>25</v>
      </c>
      <c r="I312" s="3">
        <v>28</v>
      </c>
      <c r="J312" s="3">
        <v>4</v>
      </c>
      <c r="K312" s="3">
        <v>7</v>
      </c>
      <c r="L312" s="3">
        <v>7</v>
      </c>
      <c r="M312" s="3">
        <v>4</v>
      </c>
      <c r="N312" s="3">
        <v>7</v>
      </c>
      <c r="O312" s="3">
        <v>1882</v>
      </c>
      <c r="P312" s="3">
        <v>1994</v>
      </c>
      <c r="Q312" s="3">
        <v>186</v>
      </c>
      <c r="R312" s="3">
        <v>3212</v>
      </c>
      <c r="S312" s="14">
        <v>0.38</v>
      </c>
      <c r="T312" s="14">
        <v>0.6</v>
      </c>
      <c r="U312" s="14">
        <v>0.97</v>
      </c>
      <c r="V312" s="14">
        <v>0.1</v>
      </c>
      <c r="W312" s="14">
        <v>0.81</v>
      </c>
      <c r="X312" s="14">
        <v>0.96360000000000012</v>
      </c>
      <c r="Y312" s="14">
        <v>0.79</v>
      </c>
      <c r="Z312">
        <v>92</v>
      </c>
      <c r="AA312">
        <v>70</v>
      </c>
      <c r="AB312">
        <v>12</v>
      </c>
      <c r="AC312" s="4">
        <f t="shared" si="9"/>
        <v>0.85453333333333337</v>
      </c>
      <c r="AD312" s="25"/>
      <c r="AE312" s="3"/>
      <c r="AF312" s="3"/>
    </row>
    <row r="313" spans="1:32" x14ac:dyDescent="0.25">
      <c r="A313" s="20">
        <v>45969</v>
      </c>
      <c r="B313" s="3" t="s">
        <v>63</v>
      </c>
      <c r="C313" s="3">
        <f t="shared" si="8"/>
        <v>2</v>
      </c>
      <c r="D313" t="s">
        <v>51</v>
      </c>
      <c r="E313" s="14">
        <v>0.18</v>
      </c>
      <c r="F313" s="14">
        <v>0.78</v>
      </c>
      <c r="G313" s="14">
        <v>0.36</v>
      </c>
      <c r="H313" s="3">
        <v>17</v>
      </c>
      <c r="I313" s="3">
        <v>7</v>
      </c>
      <c r="J313" s="3">
        <v>1</v>
      </c>
      <c r="K313" s="3">
        <v>8</v>
      </c>
      <c r="L313" s="3">
        <v>4</v>
      </c>
      <c r="M313" s="3">
        <v>6</v>
      </c>
      <c r="N313" s="3">
        <v>3</v>
      </c>
      <c r="O313" s="3">
        <v>3475</v>
      </c>
      <c r="P313" s="3">
        <v>355</v>
      </c>
      <c r="Q313" s="3">
        <v>775.5</v>
      </c>
      <c r="R313" s="3">
        <v>4309</v>
      </c>
      <c r="S313" s="14">
        <v>0.51</v>
      </c>
      <c r="T313" s="14">
        <v>0.51</v>
      </c>
      <c r="U313" s="14">
        <v>0.6</v>
      </c>
      <c r="V313" s="14">
        <v>0.03</v>
      </c>
      <c r="W313" s="14">
        <v>0.24300000000000002</v>
      </c>
      <c r="X313" s="14">
        <v>0.26730000000000004</v>
      </c>
      <c r="Y313" s="14">
        <v>0.315</v>
      </c>
      <c r="Z313">
        <v>99</v>
      </c>
      <c r="AA313">
        <v>72</v>
      </c>
      <c r="AB313">
        <v>19</v>
      </c>
      <c r="AC313" s="4">
        <f t="shared" si="9"/>
        <v>0.27510000000000007</v>
      </c>
      <c r="AD313" s="25"/>
      <c r="AE313" s="3"/>
      <c r="AF313" s="3"/>
    </row>
    <row r="314" spans="1:32" x14ac:dyDescent="0.25">
      <c r="A314" s="20">
        <v>45970</v>
      </c>
      <c r="B314" s="3" t="s">
        <v>63</v>
      </c>
      <c r="C314" s="3">
        <f t="shared" si="8"/>
        <v>2</v>
      </c>
      <c r="D314" t="s">
        <v>65</v>
      </c>
      <c r="E314" s="14">
        <v>0.46</v>
      </c>
      <c r="F314" s="14">
        <v>0.61</v>
      </c>
      <c r="G314" s="14">
        <v>0.61</v>
      </c>
      <c r="H314" s="3">
        <v>25</v>
      </c>
      <c r="I314" s="3">
        <v>10</v>
      </c>
      <c r="J314" s="3">
        <v>5</v>
      </c>
      <c r="K314" s="3">
        <v>5</v>
      </c>
      <c r="L314" s="3">
        <v>5</v>
      </c>
      <c r="M314" s="3">
        <v>3</v>
      </c>
      <c r="N314" s="3">
        <v>6</v>
      </c>
      <c r="O314" s="3">
        <v>2219</v>
      </c>
      <c r="P314" s="3">
        <v>1137</v>
      </c>
      <c r="Q314" s="3">
        <v>1044</v>
      </c>
      <c r="R314" s="3">
        <v>3580</v>
      </c>
      <c r="S314" s="14">
        <v>0.51</v>
      </c>
      <c r="T314" s="14">
        <v>0.89</v>
      </c>
      <c r="U314" s="14">
        <v>0.21</v>
      </c>
      <c r="V314" s="14">
        <v>0.04</v>
      </c>
      <c r="W314" s="14">
        <v>0.39600000000000002</v>
      </c>
      <c r="X314" s="14">
        <v>0.44550000000000006</v>
      </c>
      <c r="Y314" s="14">
        <v>0.39600000000000002</v>
      </c>
      <c r="Z314">
        <v>91</v>
      </c>
      <c r="AA314">
        <v>60</v>
      </c>
      <c r="AB314">
        <v>22</v>
      </c>
      <c r="AC314" s="4">
        <f t="shared" si="9"/>
        <v>0.41250000000000009</v>
      </c>
      <c r="AD314" s="25"/>
      <c r="AE314" s="3"/>
      <c r="AF314" s="3"/>
    </row>
    <row r="315" spans="1:32" x14ac:dyDescent="0.25">
      <c r="A315" s="20">
        <v>45971</v>
      </c>
      <c r="B315" s="3" t="s">
        <v>63</v>
      </c>
      <c r="C315" s="3">
        <f t="shared" si="8"/>
        <v>3</v>
      </c>
      <c r="D315" t="s">
        <v>66</v>
      </c>
      <c r="E315" s="14">
        <v>0.73</v>
      </c>
      <c r="F315" s="14">
        <v>0.71</v>
      </c>
      <c r="G315" s="14">
        <v>0.44</v>
      </c>
      <c r="H315" s="3">
        <v>9</v>
      </c>
      <c r="I315" s="3">
        <v>19</v>
      </c>
      <c r="J315" s="3">
        <v>12</v>
      </c>
      <c r="K315" s="3">
        <v>4</v>
      </c>
      <c r="L315" s="3">
        <v>12</v>
      </c>
      <c r="M315" s="3">
        <v>4</v>
      </c>
      <c r="N315" s="3">
        <v>3</v>
      </c>
      <c r="O315" s="3">
        <v>1863</v>
      </c>
      <c r="P315" s="3">
        <v>2749</v>
      </c>
      <c r="Q315" s="3">
        <v>1066.5</v>
      </c>
      <c r="R315" s="3">
        <v>3023</v>
      </c>
      <c r="S315" s="14">
        <v>1.2</v>
      </c>
      <c r="T315" s="14">
        <v>0.75</v>
      </c>
      <c r="U315" s="14">
        <v>0.93</v>
      </c>
      <c r="V315" s="14">
        <v>7.0000000000000007E-2</v>
      </c>
      <c r="W315" s="14">
        <v>0.69</v>
      </c>
      <c r="X315" s="14">
        <v>0.91080000000000005</v>
      </c>
      <c r="Y315" s="14">
        <v>0.87</v>
      </c>
      <c r="Z315">
        <v>100</v>
      </c>
      <c r="AA315">
        <v>72</v>
      </c>
      <c r="AB315">
        <v>11</v>
      </c>
      <c r="AC315" s="4">
        <f t="shared" si="9"/>
        <v>0.8236</v>
      </c>
      <c r="AD315" s="25"/>
      <c r="AE315" s="3"/>
      <c r="AF315" s="3"/>
    </row>
    <row r="316" spans="1:32" x14ac:dyDescent="0.25">
      <c r="A316" s="20">
        <v>45972</v>
      </c>
      <c r="B316" s="3" t="s">
        <v>63</v>
      </c>
      <c r="C316" s="3">
        <f t="shared" si="8"/>
        <v>3</v>
      </c>
      <c r="D316" t="s">
        <v>67</v>
      </c>
      <c r="E316" s="14">
        <v>0.87</v>
      </c>
      <c r="F316" s="14">
        <v>0.83</v>
      </c>
      <c r="G316" s="14">
        <v>0.84</v>
      </c>
      <c r="H316" s="3">
        <v>10</v>
      </c>
      <c r="I316" s="3">
        <v>14</v>
      </c>
      <c r="J316" s="3">
        <v>7</v>
      </c>
      <c r="K316" s="3">
        <v>7</v>
      </c>
      <c r="L316" s="3">
        <v>1</v>
      </c>
      <c r="M316" s="3">
        <v>4</v>
      </c>
      <c r="N316" s="3">
        <v>2</v>
      </c>
      <c r="O316" s="3">
        <v>2938</v>
      </c>
      <c r="P316" s="3">
        <v>1479</v>
      </c>
      <c r="Q316" s="3">
        <v>1017</v>
      </c>
      <c r="R316" s="3">
        <v>3330</v>
      </c>
      <c r="S316" s="14">
        <v>1.1000000000000001</v>
      </c>
      <c r="T316" s="14">
        <v>1.1399999999999999</v>
      </c>
      <c r="U316" s="14">
        <v>0.31</v>
      </c>
      <c r="V316" s="14">
        <v>0.01</v>
      </c>
      <c r="W316" s="14">
        <v>0.71</v>
      </c>
      <c r="X316" s="14">
        <v>0.72600000000000009</v>
      </c>
      <c r="Y316" s="14">
        <v>0.86</v>
      </c>
      <c r="Z316">
        <v>96</v>
      </c>
      <c r="AA316">
        <v>71</v>
      </c>
      <c r="AB316">
        <v>33</v>
      </c>
      <c r="AC316" s="4">
        <f t="shared" si="9"/>
        <v>0.76533333333333331</v>
      </c>
      <c r="AD316" s="25"/>
      <c r="AE316" s="3"/>
      <c r="AF316" s="3"/>
    </row>
    <row r="317" spans="1:32" x14ac:dyDescent="0.25">
      <c r="A317" s="20">
        <v>45973</v>
      </c>
      <c r="B317" s="3" t="s">
        <v>63</v>
      </c>
      <c r="C317" s="3">
        <f t="shared" si="8"/>
        <v>3</v>
      </c>
      <c r="D317" t="s">
        <v>68</v>
      </c>
      <c r="E317" s="14">
        <v>0.79</v>
      </c>
      <c r="F317" s="14">
        <v>0.49</v>
      </c>
      <c r="G317" s="14">
        <v>0.75</v>
      </c>
      <c r="H317" s="3">
        <v>6</v>
      </c>
      <c r="I317" s="3">
        <v>16</v>
      </c>
      <c r="J317" s="3">
        <v>12</v>
      </c>
      <c r="K317" s="3">
        <v>7</v>
      </c>
      <c r="L317" s="3">
        <v>2</v>
      </c>
      <c r="M317" s="3">
        <v>8</v>
      </c>
      <c r="N317" s="3">
        <v>3</v>
      </c>
      <c r="O317" s="3">
        <v>759</v>
      </c>
      <c r="P317" s="3">
        <v>1553</v>
      </c>
      <c r="Q317" s="3">
        <v>1684.5</v>
      </c>
      <c r="R317" s="3">
        <v>1852</v>
      </c>
      <c r="S317" s="14">
        <v>0.93</v>
      </c>
      <c r="T317" s="14">
        <v>0.3</v>
      </c>
      <c r="U317" s="14">
        <v>1.02</v>
      </c>
      <c r="V317" s="14">
        <v>0.04</v>
      </c>
      <c r="W317" s="14">
        <v>0.48</v>
      </c>
      <c r="X317" s="14">
        <v>0.51480000000000004</v>
      </c>
      <c r="Y317" s="14">
        <v>0.47</v>
      </c>
      <c r="Z317">
        <v>99</v>
      </c>
      <c r="AA317">
        <v>76</v>
      </c>
      <c r="AB317">
        <v>10</v>
      </c>
      <c r="AC317" s="4">
        <f t="shared" si="9"/>
        <v>0.48826666666666663</v>
      </c>
      <c r="AD317" s="25"/>
      <c r="AE317" s="3"/>
      <c r="AF317" s="3"/>
    </row>
    <row r="318" spans="1:32" x14ac:dyDescent="0.25">
      <c r="A318" s="20">
        <v>45974</v>
      </c>
      <c r="B318" s="3" t="s">
        <v>63</v>
      </c>
      <c r="C318" s="3">
        <f t="shared" si="8"/>
        <v>3</v>
      </c>
      <c r="D318" t="s">
        <v>69</v>
      </c>
      <c r="E318" s="14">
        <v>0.97</v>
      </c>
      <c r="F318" s="14">
        <v>0.54</v>
      </c>
      <c r="G318" s="14">
        <v>0.74</v>
      </c>
      <c r="H318" s="3">
        <v>13</v>
      </c>
      <c r="I318" s="3">
        <v>36</v>
      </c>
      <c r="J318" s="3">
        <v>4</v>
      </c>
      <c r="K318" s="3">
        <v>8</v>
      </c>
      <c r="L318" s="3">
        <v>7</v>
      </c>
      <c r="M318" s="3">
        <v>9</v>
      </c>
      <c r="N318" s="3">
        <v>9</v>
      </c>
      <c r="O318" s="3">
        <v>63</v>
      </c>
      <c r="P318" s="3">
        <v>1236</v>
      </c>
      <c r="Q318" s="3">
        <v>667.5</v>
      </c>
      <c r="R318" s="3">
        <v>1359</v>
      </c>
      <c r="S318" s="14">
        <v>1.1299999999999999</v>
      </c>
      <c r="T318" s="14">
        <v>0.43</v>
      </c>
      <c r="U318" s="14">
        <v>0.95</v>
      </c>
      <c r="V318" s="14">
        <v>0.04</v>
      </c>
      <c r="W318" s="14">
        <v>0.53</v>
      </c>
      <c r="X318" s="14">
        <v>0.47520000000000001</v>
      </c>
      <c r="Y318" s="14">
        <v>0.6</v>
      </c>
      <c r="Z318">
        <v>84</v>
      </c>
      <c r="AA318">
        <v>65</v>
      </c>
      <c r="AB318">
        <v>40</v>
      </c>
      <c r="AC318" s="4">
        <f t="shared" si="9"/>
        <v>0.53506666666666669</v>
      </c>
      <c r="AD318" s="25"/>
      <c r="AE318" s="3"/>
      <c r="AF318" s="3"/>
    </row>
    <row r="319" spans="1:32" x14ac:dyDescent="0.25">
      <c r="A319" s="20">
        <v>45975</v>
      </c>
      <c r="B319" s="3" t="s">
        <v>63</v>
      </c>
      <c r="C319" s="3">
        <f t="shared" si="8"/>
        <v>3</v>
      </c>
      <c r="D319" t="s">
        <v>70</v>
      </c>
      <c r="E319" s="14">
        <v>0.62</v>
      </c>
      <c r="F319" s="14">
        <v>0.54</v>
      </c>
      <c r="G319" s="14">
        <v>0.85</v>
      </c>
      <c r="H319" s="3">
        <v>17</v>
      </c>
      <c r="I319" s="3">
        <v>36</v>
      </c>
      <c r="J319" s="3">
        <v>8</v>
      </c>
      <c r="K319" s="3">
        <v>6</v>
      </c>
      <c r="L319" s="3">
        <v>8</v>
      </c>
      <c r="M319" s="3">
        <v>2</v>
      </c>
      <c r="N319" s="3">
        <v>3</v>
      </c>
      <c r="O319" s="3">
        <v>1085</v>
      </c>
      <c r="P319" s="3">
        <v>1984</v>
      </c>
      <c r="Q319" s="3">
        <v>1503</v>
      </c>
      <c r="R319" s="3">
        <v>2182</v>
      </c>
      <c r="S319" s="14">
        <v>0.23</v>
      </c>
      <c r="T319" s="14">
        <v>0.37</v>
      </c>
      <c r="U319" s="14">
        <v>0.9</v>
      </c>
      <c r="V319" s="14">
        <v>0.1</v>
      </c>
      <c r="W319" s="14">
        <v>0.81</v>
      </c>
      <c r="X319" s="14">
        <v>0.69960000000000011</v>
      </c>
      <c r="Y319" s="14">
        <v>0.54</v>
      </c>
      <c r="Z319">
        <v>88</v>
      </c>
      <c r="AA319">
        <v>72</v>
      </c>
      <c r="AB319">
        <v>42</v>
      </c>
      <c r="AC319" s="4">
        <f t="shared" si="9"/>
        <v>0.68320000000000014</v>
      </c>
      <c r="AD319" s="25"/>
      <c r="AE319" s="3"/>
      <c r="AF319" s="3"/>
    </row>
    <row r="320" spans="1:32" x14ac:dyDescent="0.25">
      <c r="A320" s="20">
        <v>45976</v>
      </c>
      <c r="B320" s="3" t="s">
        <v>63</v>
      </c>
      <c r="C320" s="3">
        <f t="shared" si="8"/>
        <v>3</v>
      </c>
      <c r="D320" t="s">
        <v>51</v>
      </c>
      <c r="E320" s="14">
        <v>0.1</v>
      </c>
      <c r="F320" s="14">
        <v>0.74</v>
      </c>
      <c r="G320" s="14">
        <v>0.38</v>
      </c>
      <c r="H320" s="3">
        <v>14</v>
      </c>
      <c r="I320" s="3">
        <v>7</v>
      </c>
      <c r="J320" s="3">
        <v>2</v>
      </c>
      <c r="K320" s="3">
        <v>8</v>
      </c>
      <c r="L320" s="3">
        <v>6</v>
      </c>
      <c r="M320" s="3">
        <v>7</v>
      </c>
      <c r="N320" s="3">
        <v>1</v>
      </c>
      <c r="O320" s="3">
        <v>913</v>
      </c>
      <c r="P320" s="3">
        <v>3204</v>
      </c>
      <c r="Q320" s="3">
        <v>2074.5</v>
      </c>
      <c r="R320" s="3">
        <v>3524</v>
      </c>
      <c r="S320" s="14">
        <v>1.01</v>
      </c>
      <c r="T320" s="14">
        <v>0.86</v>
      </c>
      <c r="U320" s="14">
        <v>1.04</v>
      </c>
      <c r="V320" s="14">
        <v>0.08</v>
      </c>
      <c r="W320" s="14">
        <v>0.42299999999999999</v>
      </c>
      <c r="X320" s="14">
        <v>0.43362000000000001</v>
      </c>
      <c r="Y320" s="14">
        <v>0.3735</v>
      </c>
      <c r="Z320">
        <v>93</v>
      </c>
      <c r="AA320">
        <v>52</v>
      </c>
      <c r="AB320">
        <v>40</v>
      </c>
      <c r="AC320" s="4">
        <f t="shared" si="9"/>
        <v>0.41003999999999996</v>
      </c>
      <c r="AD320" s="25"/>
      <c r="AE320" s="3"/>
      <c r="AF320" s="3"/>
    </row>
    <row r="321" spans="1:32" x14ac:dyDescent="0.25">
      <c r="A321" s="20">
        <v>45977</v>
      </c>
      <c r="B321" s="3" t="s">
        <v>63</v>
      </c>
      <c r="C321" s="3">
        <f t="shared" si="8"/>
        <v>3</v>
      </c>
      <c r="D321" t="s">
        <v>65</v>
      </c>
      <c r="E321" s="14">
        <v>0.14000000000000001</v>
      </c>
      <c r="F321" s="14">
        <v>0.56999999999999995</v>
      </c>
      <c r="G321" s="14">
        <v>0.64</v>
      </c>
      <c r="H321" s="3">
        <v>11</v>
      </c>
      <c r="I321" s="3">
        <v>15</v>
      </c>
      <c r="J321" s="3">
        <v>4</v>
      </c>
      <c r="K321" s="3">
        <v>8</v>
      </c>
      <c r="L321" s="3">
        <v>2</v>
      </c>
      <c r="M321" s="3">
        <v>2</v>
      </c>
      <c r="N321" s="3">
        <v>1</v>
      </c>
      <c r="O321" s="3">
        <v>1356</v>
      </c>
      <c r="P321" s="3">
        <v>1451</v>
      </c>
      <c r="Q321" s="3">
        <v>954</v>
      </c>
      <c r="R321" s="3">
        <v>2169</v>
      </c>
      <c r="S321" s="14">
        <v>0.68</v>
      </c>
      <c r="T321" s="14">
        <v>1.06</v>
      </c>
      <c r="U321" s="14">
        <v>1.06</v>
      </c>
      <c r="V321" s="14">
        <v>7.0000000000000007E-2</v>
      </c>
      <c r="W321" s="14">
        <v>0.27</v>
      </c>
      <c r="X321" s="14">
        <v>0.25542000000000004</v>
      </c>
      <c r="Y321" s="14">
        <v>0.32850000000000001</v>
      </c>
      <c r="Z321">
        <v>81</v>
      </c>
      <c r="AA321">
        <v>66</v>
      </c>
      <c r="AB321">
        <v>10</v>
      </c>
      <c r="AC321" s="4">
        <f t="shared" si="9"/>
        <v>0.28464</v>
      </c>
      <c r="AD321" s="25"/>
      <c r="AE321" s="3"/>
      <c r="AF321" s="3"/>
    </row>
    <row r="322" spans="1:32" x14ac:dyDescent="0.25">
      <c r="A322" s="20">
        <v>45978</v>
      </c>
      <c r="B322" s="3" t="s">
        <v>63</v>
      </c>
      <c r="C322" s="3">
        <f t="shared" si="8"/>
        <v>4</v>
      </c>
      <c r="D322" t="s">
        <v>66</v>
      </c>
      <c r="E322" s="14">
        <v>0.93</v>
      </c>
      <c r="F322" s="14">
        <v>0.5</v>
      </c>
      <c r="G322" s="14">
        <v>0.57999999999999996</v>
      </c>
      <c r="H322" s="3">
        <v>11</v>
      </c>
      <c r="I322" s="3">
        <v>7</v>
      </c>
      <c r="J322" s="3">
        <v>9</v>
      </c>
      <c r="K322" s="3">
        <v>11</v>
      </c>
      <c r="L322" s="3">
        <v>11</v>
      </c>
      <c r="M322" s="3">
        <v>7</v>
      </c>
      <c r="N322" s="3">
        <v>5</v>
      </c>
      <c r="O322" s="3">
        <v>3314</v>
      </c>
      <c r="P322" s="3">
        <v>376</v>
      </c>
      <c r="Q322" s="3">
        <v>2218.5</v>
      </c>
      <c r="R322" s="3">
        <v>3358</v>
      </c>
      <c r="S322" s="14">
        <v>0.21</v>
      </c>
      <c r="T322" s="14">
        <v>1.1200000000000001</v>
      </c>
      <c r="U322" s="14">
        <v>0.76</v>
      </c>
      <c r="V322" s="14">
        <v>0.1</v>
      </c>
      <c r="W322" s="14">
        <v>0.84</v>
      </c>
      <c r="X322" s="14">
        <v>0.69960000000000011</v>
      </c>
      <c r="Y322" s="14">
        <v>0.39</v>
      </c>
      <c r="Z322">
        <v>99</v>
      </c>
      <c r="AA322">
        <v>62</v>
      </c>
      <c r="AB322">
        <v>35</v>
      </c>
      <c r="AC322" s="4">
        <f t="shared" si="9"/>
        <v>0.6432000000000001</v>
      </c>
      <c r="AD322" s="25"/>
      <c r="AE322" s="3"/>
      <c r="AF322" s="3"/>
    </row>
    <row r="323" spans="1:32" x14ac:dyDescent="0.25">
      <c r="A323" s="20">
        <v>45979</v>
      </c>
      <c r="B323" s="3" t="s">
        <v>63</v>
      </c>
      <c r="C323" s="3">
        <f t="shared" ref="C323:C366" si="10">WEEKNUM(A323, 2)-WEEKNUM(DATE(YEAR(A323),MONTH(A323),1),2) +1</f>
        <v>4</v>
      </c>
      <c r="D323" t="s">
        <v>67</v>
      </c>
      <c r="E323" s="14">
        <v>0.78</v>
      </c>
      <c r="F323" s="14">
        <v>0.78</v>
      </c>
      <c r="G323" s="14">
        <v>0.85</v>
      </c>
      <c r="H323" s="3">
        <v>31</v>
      </c>
      <c r="I323" s="3">
        <v>9</v>
      </c>
      <c r="J323" s="3">
        <v>9</v>
      </c>
      <c r="K323" s="3">
        <v>9</v>
      </c>
      <c r="L323" s="3">
        <v>7</v>
      </c>
      <c r="M323" s="3">
        <v>1</v>
      </c>
      <c r="N323" s="3">
        <v>11</v>
      </c>
      <c r="O323" s="3">
        <v>2034</v>
      </c>
      <c r="P323" s="3">
        <v>1190</v>
      </c>
      <c r="Q323" s="3">
        <v>2679</v>
      </c>
      <c r="R323" s="3">
        <v>2946</v>
      </c>
      <c r="S323" s="14">
        <v>0.37</v>
      </c>
      <c r="T323" s="14">
        <v>0.49</v>
      </c>
      <c r="U323" s="14">
        <v>0.16</v>
      </c>
      <c r="V323" s="14">
        <v>0.09</v>
      </c>
      <c r="W323" s="14">
        <v>0.91</v>
      </c>
      <c r="X323" s="14">
        <v>0.97680000000000011</v>
      </c>
      <c r="Y323" s="14">
        <v>0.43</v>
      </c>
      <c r="Z323">
        <v>94</v>
      </c>
      <c r="AA323">
        <v>64</v>
      </c>
      <c r="AB323">
        <v>14</v>
      </c>
      <c r="AC323" s="4">
        <f t="shared" ref="AC323:AC366" si="11">AVERAGE(W323:Y323)</f>
        <v>0.77226666666666677</v>
      </c>
      <c r="AD323" s="25"/>
      <c r="AE323" s="3"/>
      <c r="AF323" s="3"/>
    </row>
    <row r="324" spans="1:32" x14ac:dyDescent="0.25">
      <c r="A324" s="20">
        <v>45980</v>
      </c>
      <c r="B324" s="3" t="s">
        <v>63</v>
      </c>
      <c r="C324" s="3">
        <f t="shared" si="10"/>
        <v>4</v>
      </c>
      <c r="D324" t="s">
        <v>68</v>
      </c>
      <c r="E324" s="14">
        <v>0.88</v>
      </c>
      <c r="F324" s="14">
        <v>0.46</v>
      </c>
      <c r="G324" s="14">
        <v>0.56000000000000005</v>
      </c>
      <c r="H324" s="3">
        <v>6</v>
      </c>
      <c r="I324" s="3">
        <v>29</v>
      </c>
      <c r="J324" s="3">
        <v>7</v>
      </c>
      <c r="K324" s="3">
        <v>6</v>
      </c>
      <c r="L324" s="3">
        <v>9</v>
      </c>
      <c r="M324" s="3">
        <v>11</v>
      </c>
      <c r="N324" s="3">
        <v>9</v>
      </c>
      <c r="O324" s="3">
        <v>2859</v>
      </c>
      <c r="P324" s="3">
        <v>3361</v>
      </c>
      <c r="Q324" s="3">
        <v>1374</v>
      </c>
      <c r="R324" s="3">
        <v>4765</v>
      </c>
      <c r="S324" s="14">
        <v>0.39</v>
      </c>
      <c r="T324" s="14">
        <v>0.9</v>
      </c>
      <c r="U324" s="14">
        <v>0.46</v>
      </c>
      <c r="V324" s="14">
        <v>0.04</v>
      </c>
      <c r="W324" s="14">
        <v>0.89</v>
      </c>
      <c r="X324" s="14">
        <v>0.87120000000000009</v>
      </c>
      <c r="Y324" s="14">
        <v>0.72</v>
      </c>
      <c r="Z324">
        <v>78</v>
      </c>
      <c r="AA324">
        <v>66</v>
      </c>
      <c r="AB324">
        <v>37</v>
      </c>
      <c r="AC324" s="4">
        <f t="shared" si="11"/>
        <v>0.82706666666666673</v>
      </c>
      <c r="AD324" s="25"/>
      <c r="AE324" s="3"/>
      <c r="AF324" s="3"/>
    </row>
    <row r="325" spans="1:32" x14ac:dyDescent="0.25">
      <c r="A325" s="20">
        <v>45981</v>
      </c>
      <c r="B325" s="3" t="s">
        <v>63</v>
      </c>
      <c r="C325" s="3">
        <f t="shared" si="10"/>
        <v>4</v>
      </c>
      <c r="D325" t="s">
        <v>69</v>
      </c>
      <c r="E325" s="14">
        <v>0.71</v>
      </c>
      <c r="F325" s="14">
        <v>0.53</v>
      </c>
      <c r="G325" s="14">
        <v>0.47</v>
      </c>
      <c r="H325" s="3">
        <v>14</v>
      </c>
      <c r="I325" s="3">
        <v>38</v>
      </c>
      <c r="J325" s="3">
        <v>3</v>
      </c>
      <c r="K325" s="3">
        <v>8</v>
      </c>
      <c r="L325" s="3">
        <v>11</v>
      </c>
      <c r="M325" s="3">
        <v>8</v>
      </c>
      <c r="N325" s="3">
        <v>1</v>
      </c>
      <c r="O325" s="3">
        <v>1846</v>
      </c>
      <c r="P325" s="3">
        <v>3375</v>
      </c>
      <c r="Q325" s="3">
        <v>918</v>
      </c>
      <c r="R325" s="3">
        <v>3712</v>
      </c>
      <c r="S325" s="14">
        <v>0.85</v>
      </c>
      <c r="T325" s="14">
        <v>0.57999999999999996</v>
      </c>
      <c r="U325" s="14">
        <v>0.23</v>
      </c>
      <c r="V325" s="14">
        <v>0.06</v>
      </c>
      <c r="W325" s="14">
        <v>0.87</v>
      </c>
      <c r="X325" s="14">
        <v>0.67320000000000002</v>
      </c>
      <c r="Y325" s="14">
        <v>0.87</v>
      </c>
      <c r="Z325">
        <v>80</v>
      </c>
      <c r="AA325">
        <v>63</v>
      </c>
      <c r="AB325">
        <v>35</v>
      </c>
      <c r="AC325" s="4">
        <f t="shared" si="11"/>
        <v>0.80440000000000011</v>
      </c>
      <c r="AD325" s="25"/>
      <c r="AE325" s="3"/>
      <c r="AF325" s="3"/>
    </row>
    <row r="326" spans="1:32" x14ac:dyDescent="0.25">
      <c r="A326" s="20">
        <v>45982</v>
      </c>
      <c r="B326" s="3" t="s">
        <v>63</v>
      </c>
      <c r="C326" s="3">
        <f t="shared" si="10"/>
        <v>4</v>
      </c>
      <c r="D326" t="s">
        <v>70</v>
      </c>
      <c r="E326" s="14">
        <v>0.88</v>
      </c>
      <c r="F326" s="14">
        <v>0.38</v>
      </c>
      <c r="G326" s="14">
        <v>0.42</v>
      </c>
      <c r="H326" s="3">
        <v>33</v>
      </c>
      <c r="I326" s="3">
        <v>6</v>
      </c>
      <c r="J326" s="3">
        <v>7</v>
      </c>
      <c r="K326" s="3">
        <v>2</v>
      </c>
      <c r="L326" s="3">
        <v>4</v>
      </c>
      <c r="M326" s="3">
        <v>6</v>
      </c>
      <c r="N326" s="3">
        <v>7</v>
      </c>
      <c r="O326" s="3">
        <v>1716</v>
      </c>
      <c r="P326" s="3">
        <v>1766</v>
      </c>
      <c r="Q326" s="3">
        <v>283.5</v>
      </c>
      <c r="R326" s="3">
        <v>2356</v>
      </c>
      <c r="S326" s="14">
        <v>0.85</v>
      </c>
      <c r="T326" s="14">
        <v>1.2</v>
      </c>
      <c r="U326" s="14">
        <v>1.1200000000000001</v>
      </c>
      <c r="V326" s="14">
        <v>0.06</v>
      </c>
      <c r="W326" s="14">
        <v>0.79</v>
      </c>
      <c r="X326" s="14">
        <v>0.59400000000000008</v>
      </c>
      <c r="Y326" s="14">
        <v>0.8</v>
      </c>
      <c r="Z326">
        <v>87</v>
      </c>
      <c r="AA326">
        <v>52</v>
      </c>
      <c r="AB326">
        <v>19</v>
      </c>
      <c r="AC326" s="4">
        <f t="shared" si="11"/>
        <v>0.72800000000000009</v>
      </c>
      <c r="AD326" s="25"/>
      <c r="AE326" s="3"/>
      <c r="AF326" s="3"/>
    </row>
    <row r="327" spans="1:32" x14ac:dyDescent="0.25">
      <c r="A327" s="20">
        <v>45983</v>
      </c>
      <c r="B327" s="3" t="s">
        <v>63</v>
      </c>
      <c r="C327" s="3">
        <f t="shared" si="10"/>
        <v>4</v>
      </c>
      <c r="D327" t="s">
        <v>51</v>
      </c>
      <c r="E327" s="14">
        <v>0.2</v>
      </c>
      <c r="F327" s="14">
        <v>0.73</v>
      </c>
      <c r="G327" s="14">
        <v>0.72</v>
      </c>
      <c r="H327" s="3">
        <v>28</v>
      </c>
      <c r="I327" s="3">
        <v>19</v>
      </c>
      <c r="J327" s="3">
        <v>2</v>
      </c>
      <c r="K327" s="3">
        <v>2</v>
      </c>
      <c r="L327" s="3">
        <v>6</v>
      </c>
      <c r="M327" s="3">
        <v>2</v>
      </c>
      <c r="N327" s="3">
        <v>4</v>
      </c>
      <c r="O327" s="3">
        <v>3198</v>
      </c>
      <c r="P327" s="3">
        <v>345</v>
      </c>
      <c r="Q327" s="3">
        <v>63</v>
      </c>
      <c r="R327" s="3">
        <v>5075</v>
      </c>
      <c r="S327" s="14">
        <v>0.4</v>
      </c>
      <c r="T327" s="14">
        <v>0.68</v>
      </c>
      <c r="U327" s="14">
        <v>0.83</v>
      </c>
      <c r="V327" s="14">
        <v>0.1</v>
      </c>
      <c r="W327" s="14">
        <v>0.34200000000000003</v>
      </c>
      <c r="X327" s="14">
        <v>0.22572000000000003</v>
      </c>
      <c r="Y327" s="14">
        <v>0.32850000000000001</v>
      </c>
      <c r="Z327">
        <v>97</v>
      </c>
      <c r="AA327">
        <v>51</v>
      </c>
      <c r="AB327">
        <v>33</v>
      </c>
      <c r="AC327" s="4">
        <f t="shared" si="11"/>
        <v>0.29874000000000001</v>
      </c>
      <c r="AD327" s="25"/>
      <c r="AE327" s="3"/>
      <c r="AF327" s="3"/>
    </row>
    <row r="328" spans="1:32" x14ac:dyDescent="0.25">
      <c r="A328" s="20">
        <v>45984</v>
      </c>
      <c r="B328" s="3" t="s">
        <v>63</v>
      </c>
      <c r="C328" s="3">
        <f t="shared" si="10"/>
        <v>4</v>
      </c>
      <c r="D328" t="s">
        <v>65</v>
      </c>
      <c r="E328" s="14">
        <v>0.41</v>
      </c>
      <c r="F328" s="14">
        <v>0.55000000000000004</v>
      </c>
      <c r="G328" s="14">
        <v>0.39</v>
      </c>
      <c r="H328" s="3">
        <v>40</v>
      </c>
      <c r="I328" s="3">
        <v>36</v>
      </c>
      <c r="J328" s="3">
        <v>8</v>
      </c>
      <c r="K328" s="3">
        <v>3</v>
      </c>
      <c r="L328" s="3">
        <v>8</v>
      </c>
      <c r="M328" s="3">
        <v>1</v>
      </c>
      <c r="N328" s="3">
        <v>5</v>
      </c>
      <c r="O328" s="3">
        <v>3699</v>
      </c>
      <c r="P328" s="3">
        <v>1299</v>
      </c>
      <c r="Q328" s="3">
        <v>1876.5</v>
      </c>
      <c r="R328" s="3">
        <v>6067</v>
      </c>
      <c r="S328" s="14">
        <v>0.32</v>
      </c>
      <c r="T328" s="14">
        <v>0.87</v>
      </c>
      <c r="U328" s="14">
        <v>0.36</v>
      </c>
      <c r="V328" s="14">
        <v>0.03</v>
      </c>
      <c r="W328" s="14">
        <v>0.42299999999999999</v>
      </c>
      <c r="X328" s="14">
        <v>0.19008000000000003</v>
      </c>
      <c r="Y328" s="14">
        <v>0.35550000000000004</v>
      </c>
      <c r="Z328">
        <v>96</v>
      </c>
      <c r="AA328">
        <v>73</v>
      </c>
      <c r="AB328">
        <v>42</v>
      </c>
      <c r="AC328" s="4">
        <f t="shared" si="11"/>
        <v>0.32286000000000004</v>
      </c>
      <c r="AD328" s="25"/>
      <c r="AE328" s="3"/>
      <c r="AF328" s="3"/>
    </row>
    <row r="329" spans="1:32" x14ac:dyDescent="0.25">
      <c r="A329" s="20">
        <v>45985</v>
      </c>
      <c r="B329" s="3" t="s">
        <v>63</v>
      </c>
      <c r="C329" s="3">
        <f t="shared" si="10"/>
        <v>5</v>
      </c>
      <c r="D329" t="s">
        <v>66</v>
      </c>
      <c r="E329" s="14">
        <v>0.85</v>
      </c>
      <c r="F329" s="14">
        <v>0.7</v>
      </c>
      <c r="G329" s="14">
        <v>0.72</v>
      </c>
      <c r="H329" s="3">
        <v>25</v>
      </c>
      <c r="I329" s="3">
        <v>11</v>
      </c>
      <c r="J329" s="3">
        <v>12</v>
      </c>
      <c r="K329" s="3">
        <v>2</v>
      </c>
      <c r="L329" s="3">
        <v>2</v>
      </c>
      <c r="M329" s="3">
        <v>12</v>
      </c>
      <c r="N329" s="3">
        <v>5</v>
      </c>
      <c r="O329" s="3">
        <v>1569</v>
      </c>
      <c r="P329" s="3">
        <v>3366</v>
      </c>
      <c r="Q329" s="3">
        <v>2578.5</v>
      </c>
      <c r="R329" s="3">
        <v>3702</v>
      </c>
      <c r="S329" s="14">
        <v>0.82</v>
      </c>
      <c r="T329" s="14">
        <v>0.64</v>
      </c>
      <c r="U329" s="14">
        <v>1.0900000000000001</v>
      </c>
      <c r="V329" s="14">
        <v>0.06</v>
      </c>
      <c r="W329" s="14">
        <v>0.74</v>
      </c>
      <c r="X329" s="14">
        <v>0.75239999999999996</v>
      </c>
      <c r="Y329" s="14">
        <v>0.75</v>
      </c>
      <c r="Z329">
        <v>93</v>
      </c>
      <c r="AA329">
        <v>78</v>
      </c>
      <c r="AB329">
        <v>23</v>
      </c>
      <c r="AC329" s="4">
        <f t="shared" si="11"/>
        <v>0.74746666666666661</v>
      </c>
      <c r="AD329" s="25"/>
      <c r="AE329" s="3"/>
      <c r="AF329" s="3"/>
    </row>
    <row r="330" spans="1:32" x14ac:dyDescent="0.25">
      <c r="A330" s="20">
        <v>45986</v>
      </c>
      <c r="B330" s="3" t="s">
        <v>63</v>
      </c>
      <c r="C330" s="3">
        <f t="shared" si="10"/>
        <v>5</v>
      </c>
      <c r="D330" t="s">
        <v>67</v>
      </c>
      <c r="E330" s="14">
        <v>0.66</v>
      </c>
      <c r="F330" s="14">
        <v>0.72</v>
      </c>
      <c r="G330" s="14">
        <v>0.87</v>
      </c>
      <c r="H330" s="3">
        <v>6</v>
      </c>
      <c r="I330" s="3">
        <v>16</v>
      </c>
      <c r="J330" s="3">
        <v>2</v>
      </c>
      <c r="K330" s="3">
        <v>11</v>
      </c>
      <c r="L330" s="3">
        <v>9</v>
      </c>
      <c r="M330" s="3">
        <v>6</v>
      </c>
      <c r="N330" s="3">
        <v>12</v>
      </c>
      <c r="O330" s="3">
        <v>2357</v>
      </c>
      <c r="P330" s="3">
        <v>2124</v>
      </c>
      <c r="Q330" s="3">
        <v>85.5</v>
      </c>
      <c r="R330" s="3">
        <v>3174</v>
      </c>
      <c r="S330" s="14">
        <v>0.76</v>
      </c>
      <c r="T330" s="14">
        <v>0.49</v>
      </c>
      <c r="U330" s="14">
        <v>0.74</v>
      </c>
      <c r="V330" s="14">
        <v>0.08</v>
      </c>
      <c r="W330" s="14">
        <v>0.55000000000000004</v>
      </c>
      <c r="X330" s="14">
        <v>0.68640000000000001</v>
      </c>
      <c r="Y330" s="14">
        <v>0.88</v>
      </c>
      <c r="Z330">
        <v>97</v>
      </c>
      <c r="AA330">
        <v>75</v>
      </c>
      <c r="AB330">
        <v>44</v>
      </c>
      <c r="AC330" s="4">
        <f t="shared" si="11"/>
        <v>0.70546666666666669</v>
      </c>
      <c r="AD330" s="25"/>
      <c r="AE330" s="3"/>
      <c r="AF330" s="3"/>
    </row>
    <row r="331" spans="1:32" x14ac:dyDescent="0.25">
      <c r="A331" s="20">
        <v>45987</v>
      </c>
      <c r="B331" s="3" t="s">
        <v>63</v>
      </c>
      <c r="C331" s="3">
        <f t="shared" si="10"/>
        <v>5</v>
      </c>
      <c r="D331" t="s">
        <v>68</v>
      </c>
      <c r="E331" s="14">
        <v>0.74</v>
      </c>
      <c r="F331" s="14">
        <v>0.81</v>
      </c>
      <c r="G331" s="14">
        <v>0.76</v>
      </c>
      <c r="H331" s="3">
        <v>28</v>
      </c>
      <c r="I331" s="3">
        <v>25</v>
      </c>
      <c r="J331" s="3">
        <v>9</v>
      </c>
      <c r="K331" s="3">
        <v>12</v>
      </c>
      <c r="L331" s="3">
        <v>4</v>
      </c>
      <c r="M331" s="3">
        <v>5</v>
      </c>
      <c r="N331" s="3">
        <v>4</v>
      </c>
      <c r="O331" s="3">
        <v>957</v>
      </c>
      <c r="P331" s="3">
        <v>1359</v>
      </c>
      <c r="Q331" s="3">
        <v>1482</v>
      </c>
      <c r="R331" s="3">
        <v>1630</v>
      </c>
      <c r="S331" s="14">
        <v>1.21</v>
      </c>
      <c r="T331" s="14">
        <v>0.55000000000000004</v>
      </c>
      <c r="U331" s="14">
        <v>1.0900000000000001</v>
      </c>
      <c r="V331" s="14">
        <v>0.02</v>
      </c>
      <c r="W331" s="14">
        <v>0.5</v>
      </c>
      <c r="X331" s="14">
        <v>0.51480000000000004</v>
      </c>
      <c r="Y331" s="14">
        <v>0.88</v>
      </c>
      <c r="Z331">
        <v>85</v>
      </c>
      <c r="AA331">
        <v>77</v>
      </c>
      <c r="AB331">
        <v>35</v>
      </c>
      <c r="AC331" s="4">
        <f t="shared" si="11"/>
        <v>0.63160000000000005</v>
      </c>
      <c r="AD331" s="25"/>
      <c r="AE331" s="3"/>
      <c r="AF331" s="3"/>
    </row>
    <row r="332" spans="1:32" x14ac:dyDescent="0.25">
      <c r="A332" s="20">
        <v>45988</v>
      </c>
      <c r="B332" s="3" t="s">
        <v>63</v>
      </c>
      <c r="C332" s="3">
        <f t="shared" si="10"/>
        <v>5</v>
      </c>
      <c r="D332" t="s">
        <v>69</v>
      </c>
      <c r="E332" s="14">
        <v>0.84</v>
      </c>
      <c r="F332" s="14">
        <v>0.72</v>
      </c>
      <c r="G332" s="14">
        <v>0.67</v>
      </c>
      <c r="H332" s="3">
        <v>33</v>
      </c>
      <c r="I332" s="3">
        <v>24</v>
      </c>
      <c r="J332" s="3">
        <v>5</v>
      </c>
      <c r="K332" s="3">
        <v>4</v>
      </c>
      <c r="L332" s="3">
        <v>12</v>
      </c>
      <c r="M332" s="3">
        <v>11</v>
      </c>
      <c r="N332" s="3">
        <v>12</v>
      </c>
      <c r="O332" s="3">
        <v>1143</v>
      </c>
      <c r="P332" s="3">
        <v>2148</v>
      </c>
      <c r="Q332" s="3">
        <v>132</v>
      </c>
      <c r="R332" s="3">
        <v>2362</v>
      </c>
      <c r="S332" s="14">
        <v>0.19</v>
      </c>
      <c r="T332" s="14">
        <v>0.25</v>
      </c>
      <c r="U332" s="14">
        <v>0.84</v>
      </c>
      <c r="V332" s="14">
        <v>0.05</v>
      </c>
      <c r="W332" s="14">
        <v>0.45</v>
      </c>
      <c r="X332" s="14">
        <v>0.96360000000000012</v>
      </c>
      <c r="Y332" s="14">
        <v>0.59</v>
      </c>
      <c r="Z332">
        <v>78</v>
      </c>
      <c r="AA332">
        <v>58</v>
      </c>
      <c r="AB332">
        <v>22</v>
      </c>
      <c r="AC332" s="4">
        <f t="shared" si="11"/>
        <v>0.66786666666666672</v>
      </c>
      <c r="AD332" s="25"/>
      <c r="AE332" s="3"/>
      <c r="AF332" s="3"/>
    </row>
    <row r="333" spans="1:32" x14ac:dyDescent="0.25">
      <c r="A333" s="20">
        <v>45989</v>
      </c>
      <c r="B333" s="3" t="s">
        <v>63</v>
      </c>
      <c r="C333" s="3">
        <f t="shared" si="10"/>
        <v>5</v>
      </c>
      <c r="D333" t="s">
        <v>70</v>
      </c>
      <c r="E333" s="14">
        <v>0.87</v>
      </c>
      <c r="F333" s="14">
        <v>0.67</v>
      </c>
      <c r="G333" s="14">
        <v>0.4</v>
      </c>
      <c r="H333" s="3">
        <v>8</v>
      </c>
      <c r="I333" s="3">
        <v>14</v>
      </c>
      <c r="J333" s="3">
        <v>2</v>
      </c>
      <c r="K333" s="3">
        <v>2</v>
      </c>
      <c r="L333" s="3">
        <v>2</v>
      </c>
      <c r="M333" s="3">
        <v>6</v>
      </c>
      <c r="N333" s="3">
        <v>2</v>
      </c>
      <c r="O333" s="3">
        <v>3672</v>
      </c>
      <c r="P333" s="3">
        <v>999</v>
      </c>
      <c r="Q333" s="3">
        <v>330</v>
      </c>
      <c r="R333" s="3">
        <v>5925</v>
      </c>
      <c r="S333" s="14">
        <v>0.65</v>
      </c>
      <c r="T333" s="14">
        <v>0.45</v>
      </c>
      <c r="U333" s="14">
        <v>0.28999999999999998</v>
      </c>
      <c r="V333" s="14">
        <v>0.05</v>
      </c>
      <c r="W333" s="14">
        <v>0.61</v>
      </c>
      <c r="X333" s="14">
        <v>0.5544</v>
      </c>
      <c r="Y333" s="14">
        <v>0.86</v>
      </c>
      <c r="Z333">
        <v>100</v>
      </c>
      <c r="AA333">
        <v>53</v>
      </c>
      <c r="AB333">
        <v>22</v>
      </c>
      <c r="AC333" s="4">
        <f t="shared" si="11"/>
        <v>0.67479999999999996</v>
      </c>
      <c r="AD333" s="25"/>
      <c r="AE333" s="3"/>
      <c r="AF333" s="3"/>
    </row>
    <row r="334" spans="1:32" x14ac:dyDescent="0.25">
      <c r="A334" s="20">
        <v>45990</v>
      </c>
      <c r="B334" s="3" t="s">
        <v>63</v>
      </c>
      <c r="C334" s="3">
        <f t="shared" si="10"/>
        <v>5</v>
      </c>
      <c r="D334" t="s">
        <v>51</v>
      </c>
      <c r="E334" s="14">
        <v>0.28000000000000003</v>
      </c>
      <c r="F334" s="14">
        <v>0.74</v>
      </c>
      <c r="G334" s="14">
        <v>0.35</v>
      </c>
      <c r="H334" s="3">
        <v>9</v>
      </c>
      <c r="I334" s="3">
        <v>36</v>
      </c>
      <c r="J334" s="3">
        <v>8</v>
      </c>
      <c r="K334" s="3">
        <v>4</v>
      </c>
      <c r="L334" s="3">
        <v>7</v>
      </c>
      <c r="M334" s="3">
        <v>2</v>
      </c>
      <c r="N334" s="3">
        <v>2</v>
      </c>
      <c r="O334" s="3">
        <v>276</v>
      </c>
      <c r="P334" s="3">
        <v>1714</v>
      </c>
      <c r="Q334" s="3">
        <v>46.5</v>
      </c>
      <c r="R334" s="3">
        <v>1885</v>
      </c>
      <c r="S334" s="14">
        <v>0.42</v>
      </c>
      <c r="T334" s="14">
        <v>0.75</v>
      </c>
      <c r="U334" s="14">
        <v>0.28999999999999998</v>
      </c>
      <c r="V334" s="14">
        <v>0.04</v>
      </c>
      <c r="W334" s="14">
        <v>0.40500000000000003</v>
      </c>
      <c r="X334" s="14">
        <v>0.32670000000000005</v>
      </c>
      <c r="Y334" s="14">
        <v>0.216</v>
      </c>
      <c r="Z334">
        <v>94</v>
      </c>
      <c r="AA334">
        <v>67</v>
      </c>
      <c r="AB334">
        <v>37</v>
      </c>
      <c r="AC334" s="4">
        <f t="shared" si="11"/>
        <v>0.31590000000000001</v>
      </c>
      <c r="AD334" s="25"/>
      <c r="AE334" s="3"/>
      <c r="AF334" s="3"/>
    </row>
    <row r="335" spans="1:32" x14ac:dyDescent="0.25">
      <c r="A335" s="20">
        <v>45991</v>
      </c>
      <c r="B335" s="3" t="s">
        <v>63</v>
      </c>
      <c r="C335" s="3">
        <f t="shared" si="10"/>
        <v>5</v>
      </c>
      <c r="D335" t="s">
        <v>65</v>
      </c>
      <c r="E335" s="14">
        <v>0.47</v>
      </c>
      <c r="F335" s="14">
        <v>0.46</v>
      </c>
      <c r="G335" s="14">
        <v>0.41</v>
      </c>
      <c r="H335" s="3">
        <v>10</v>
      </c>
      <c r="I335" s="3">
        <v>36</v>
      </c>
      <c r="J335" s="3">
        <v>7</v>
      </c>
      <c r="K335" s="3">
        <v>2</v>
      </c>
      <c r="L335" s="3">
        <v>1</v>
      </c>
      <c r="M335" s="3">
        <v>7</v>
      </c>
      <c r="N335" s="3">
        <v>4</v>
      </c>
      <c r="O335" s="3">
        <v>2515</v>
      </c>
      <c r="P335" s="3">
        <v>529</v>
      </c>
      <c r="Q335" s="3">
        <v>1576.5</v>
      </c>
      <c r="R335" s="3">
        <v>2850</v>
      </c>
      <c r="S335" s="14">
        <v>0.6</v>
      </c>
      <c r="T335" s="14">
        <v>0.16</v>
      </c>
      <c r="U335" s="14">
        <v>0.34</v>
      </c>
      <c r="V335" s="14">
        <v>0.08</v>
      </c>
      <c r="W335" s="14">
        <v>0.23850000000000002</v>
      </c>
      <c r="X335" s="14">
        <v>0.42768</v>
      </c>
      <c r="Y335" s="14">
        <v>0.22500000000000001</v>
      </c>
      <c r="Z335">
        <v>84</v>
      </c>
      <c r="AA335">
        <v>69</v>
      </c>
      <c r="AB335">
        <v>17</v>
      </c>
      <c r="AC335" s="4">
        <f t="shared" si="11"/>
        <v>0.29705999999999999</v>
      </c>
      <c r="AD335" s="25"/>
      <c r="AE335" s="3"/>
      <c r="AF335" s="3"/>
    </row>
    <row r="336" spans="1:32" x14ac:dyDescent="0.25">
      <c r="A336" s="20">
        <v>45992</v>
      </c>
      <c r="B336" s="3" t="s">
        <v>64</v>
      </c>
      <c r="C336" s="3">
        <f t="shared" si="10"/>
        <v>1</v>
      </c>
      <c r="D336" t="s">
        <v>66</v>
      </c>
      <c r="E336" s="14">
        <v>0.84</v>
      </c>
      <c r="F336" s="14">
        <v>0.66</v>
      </c>
      <c r="G336" s="14">
        <v>0.88</v>
      </c>
      <c r="H336" s="3">
        <v>7</v>
      </c>
      <c r="I336" s="3">
        <v>31</v>
      </c>
      <c r="J336" s="3">
        <v>2</v>
      </c>
      <c r="K336" s="3">
        <v>12</v>
      </c>
      <c r="L336" s="3">
        <v>12</v>
      </c>
      <c r="M336" s="3">
        <v>12</v>
      </c>
      <c r="N336" s="3">
        <v>1</v>
      </c>
      <c r="O336" s="3">
        <v>513</v>
      </c>
      <c r="P336" s="3">
        <v>1284</v>
      </c>
      <c r="Q336" s="3">
        <v>603</v>
      </c>
      <c r="R336" s="3">
        <v>1412</v>
      </c>
      <c r="S336" s="14">
        <v>0.66</v>
      </c>
      <c r="T336" s="14">
        <v>0.55000000000000004</v>
      </c>
      <c r="U336" s="14">
        <v>1.04</v>
      </c>
      <c r="V336" s="14">
        <v>0.03</v>
      </c>
      <c r="W336" s="14">
        <v>0.67</v>
      </c>
      <c r="X336" s="14">
        <v>0.99</v>
      </c>
      <c r="Y336" s="14">
        <v>0.57999999999999996</v>
      </c>
      <c r="Z336">
        <v>81</v>
      </c>
      <c r="AA336">
        <v>50</v>
      </c>
      <c r="AB336">
        <v>30</v>
      </c>
      <c r="AC336" s="4">
        <f t="shared" si="11"/>
        <v>0.7466666666666667</v>
      </c>
      <c r="AD336" s="25"/>
      <c r="AE336" s="3"/>
      <c r="AF336" s="3"/>
    </row>
    <row r="337" spans="1:32" x14ac:dyDescent="0.25">
      <c r="A337" s="20">
        <v>45993</v>
      </c>
      <c r="B337" s="3" t="s">
        <v>64</v>
      </c>
      <c r="C337" s="3">
        <f t="shared" si="10"/>
        <v>1</v>
      </c>
      <c r="D337" t="s">
        <v>67</v>
      </c>
      <c r="E337" s="14">
        <v>0.84</v>
      </c>
      <c r="F337" s="14">
        <v>0.6</v>
      </c>
      <c r="G337" s="14">
        <v>0.78</v>
      </c>
      <c r="H337" s="3">
        <v>29</v>
      </c>
      <c r="I337" s="3">
        <v>17</v>
      </c>
      <c r="J337" s="3">
        <v>9</v>
      </c>
      <c r="K337" s="3">
        <v>2</v>
      </c>
      <c r="L337" s="3">
        <v>3</v>
      </c>
      <c r="M337" s="3">
        <v>7</v>
      </c>
      <c r="N337" s="3">
        <v>12</v>
      </c>
      <c r="O337" s="3">
        <v>126</v>
      </c>
      <c r="P337" s="3">
        <v>1867</v>
      </c>
      <c r="Q337" s="3">
        <v>1243.5</v>
      </c>
      <c r="R337" s="3">
        <v>2053</v>
      </c>
      <c r="S337" s="14">
        <v>0.64</v>
      </c>
      <c r="T337" s="14">
        <v>0.31</v>
      </c>
      <c r="U337" s="14">
        <v>0.95</v>
      </c>
      <c r="V337" s="14">
        <v>0.03</v>
      </c>
      <c r="W337" s="14">
        <v>0.54</v>
      </c>
      <c r="X337" s="14">
        <v>0.80520000000000003</v>
      </c>
      <c r="Y337" s="14">
        <v>0.36</v>
      </c>
      <c r="Z337">
        <v>84</v>
      </c>
      <c r="AA337">
        <v>80</v>
      </c>
      <c r="AB337">
        <v>27</v>
      </c>
      <c r="AC337" s="4">
        <f t="shared" si="11"/>
        <v>0.56840000000000002</v>
      </c>
      <c r="AD337" s="25"/>
      <c r="AE337" s="3"/>
      <c r="AF337" s="3"/>
    </row>
    <row r="338" spans="1:32" x14ac:dyDescent="0.25">
      <c r="A338" s="20">
        <v>45994</v>
      </c>
      <c r="B338" s="3" t="s">
        <v>64</v>
      </c>
      <c r="C338" s="3">
        <f t="shared" si="10"/>
        <v>1</v>
      </c>
      <c r="D338" t="s">
        <v>68</v>
      </c>
      <c r="E338" s="14">
        <v>0.74</v>
      </c>
      <c r="F338" s="14">
        <v>0.82</v>
      </c>
      <c r="G338" s="14">
        <v>0.69</v>
      </c>
      <c r="H338" s="3">
        <v>19</v>
      </c>
      <c r="I338" s="3">
        <v>8</v>
      </c>
      <c r="J338" s="3">
        <v>5</v>
      </c>
      <c r="K338" s="3">
        <v>9</v>
      </c>
      <c r="L338" s="3">
        <v>4</v>
      </c>
      <c r="M338" s="3">
        <v>5</v>
      </c>
      <c r="N338" s="3">
        <v>9</v>
      </c>
      <c r="O338" s="3">
        <v>1349</v>
      </c>
      <c r="P338" s="3">
        <v>1359</v>
      </c>
      <c r="Q338" s="3">
        <v>2350.5</v>
      </c>
      <c r="R338" s="3">
        <v>2585</v>
      </c>
      <c r="S338" s="14">
        <v>0.5</v>
      </c>
      <c r="T338" s="14">
        <v>0.56000000000000005</v>
      </c>
      <c r="U338" s="14">
        <v>0.19</v>
      </c>
      <c r="V338" s="14">
        <v>0.08</v>
      </c>
      <c r="W338" s="14">
        <v>0.87</v>
      </c>
      <c r="X338" s="14">
        <v>0.46200000000000002</v>
      </c>
      <c r="Y338" s="14">
        <v>0.81</v>
      </c>
      <c r="Z338">
        <v>95</v>
      </c>
      <c r="AA338">
        <v>74</v>
      </c>
      <c r="AB338">
        <v>13</v>
      </c>
      <c r="AC338" s="4">
        <f t="shared" si="11"/>
        <v>0.71400000000000008</v>
      </c>
      <c r="AD338" s="25"/>
      <c r="AE338" s="3"/>
      <c r="AF338" s="3"/>
    </row>
    <row r="339" spans="1:32" x14ac:dyDescent="0.25">
      <c r="A339" s="20">
        <v>45995</v>
      </c>
      <c r="B339" s="3" t="s">
        <v>64</v>
      </c>
      <c r="C339" s="3">
        <f t="shared" si="10"/>
        <v>1</v>
      </c>
      <c r="D339" t="s">
        <v>69</v>
      </c>
      <c r="E339" s="14">
        <v>0.72</v>
      </c>
      <c r="F339" s="14">
        <v>0.74</v>
      </c>
      <c r="G339" s="14">
        <v>0.65</v>
      </c>
      <c r="H339" s="3">
        <v>13</v>
      </c>
      <c r="I339" s="3">
        <v>7</v>
      </c>
      <c r="J339" s="3">
        <v>11</v>
      </c>
      <c r="K339" s="3">
        <v>3</v>
      </c>
      <c r="L339" s="3">
        <v>12</v>
      </c>
      <c r="M339" s="3">
        <v>11</v>
      </c>
      <c r="N339" s="3">
        <v>9</v>
      </c>
      <c r="O339" s="3">
        <v>3606</v>
      </c>
      <c r="P339" s="3">
        <v>340</v>
      </c>
      <c r="Q339" s="3">
        <v>1383</v>
      </c>
      <c r="R339" s="3">
        <v>3751</v>
      </c>
      <c r="S339" s="14">
        <v>0.27</v>
      </c>
      <c r="T339" s="14">
        <v>1.1000000000000001</v>
      </c>
      <c r="U339" s="14">
        <v>0.56999999999999995</v>
      </c>
      <c r="V339" s="14">
        <v>0.06</v>
      </c>
      <c r="W339" s="14">
        <v>0.63</v>
      </c>
      <c r="X339" s="14">
        <v>0.72600000000000009</v>
      </c>
      <c r="Y339" s="14">
        <v>0.87</v>
      </c>
      <c r="Z339">
        <v>81</v>
      </c>
      <c r="AA339">
        <v>73</v>
      </c>
      <c r="AB339">
        <v>27</v>
      </c>
      <c r="AC339" s="4">
        <f t="shared" si="11"/>
        <v>0.74199999999999999</v>
      </c>
      <c r="AD339" s="25"/>
      <c r="AE339" s="3"/>
      <c r="AF339" s="3"/>
    </row>
    <row r="340" spans="1:32" x14ac:dyDescent="0.25">
      <c r="A340" s="20">
        <v>45996</v>
      </c>
      <c r="B340" s="3" t="s">
        <v>64</v>
      </c>
      <c r="C340" s="3">
        <f t="shared" si="10"/>
        <v>1</v>
      </c>
      <c r="D340" t="s">
        <v>70</v>
      </c>
      <c r="E340" s="14">
        <v>0.75</v>
      </c>
      <c r="F340" s="14">
        <v>0.81</v>
      </c>
      <c r="G340" s="14">
        <v>0.47</v>
      </c>
      <c r="H340" s="3">
        <v>37</v>
      </c>
      <c r="I340" s="3">
        <v>27</v>
      </c>
      <c r="J340" s="3">
        <v>6</v>
      </c>
      <c r="K340" s="3">
        <v>8</v>
      </c>
      <c r="L340" s="3">
        <v>2</v>
      </c>
      <c r="M340" s="3">
        <v>3</v>
      </c>
      <c r="N340" s="3">
        <v>4</v>
      </c>
      <c r="O340" s="3">
        <v>861</v>
      </c>
      <c r="P340" s="3">
        <v>207</v>
      </c>
      <c r="Q340" s="3">
        <v>1806</v>
      </c>
      <c r="R340" s="3">
        <v>1986</v>
      </c>
      <c r="S340" s="14">
        <v>0.61</v>
      </c>
      <c r="T340" s="14">
        <v>0.28999999999999998</v>
      </c>
      <c r="U340" s="14">
        <v>0.69</v>
      </c>
      <c r="V340" s="14">
        <v>7.0000000000000007E-2</v>
      </c>
      <c r="W340" s="14">
        <v>0.55000000000000004</v>
      </c>
      <c r="X340" s="14">
        <v>0.72600000000000009</v>
      </c>
      <c r="Y340" s="14">
        <v>0.71</v>
      </c>
      <c r="Z340">
        <v>97</v>
      </c>
      <c r="AA340">
        <v>50</v>
      </c>
      <c r="AB340">
        <v>12</v>
      </c>
      <c r="AC340" s="4">
        <f t="shared" si="11"/>
        <v>0.66200000000000003</v>
      </c>
      <c r="AD340" s="25"/>
      <c r="AE340" s="3"/>
      <c r="AF340" s="3"/>
    </row>
    <row r="341" spans="1:32" x14ac:dyDescent="0.25">
      <c r="A341" s="20">
        <v>45997</v>
      </c>
      <c r="B341" s="3" t="s">
        <v>64</v>
      </c>
      <c r="C341" s="3">
        <f t="shared" si="10"/>
        <v>1</v>
      </c>
      <c r="D341" t="s">
        <v>51</v>
      </c>
      <c r="E341" s="14">
        <v>0.36</v>
      </c>
      <c r="F341" s="14">
        <v>0.71</v>
      </c>
      <c r="G341" s="14">
        <v>0.79</v>
      </c>
      <c r="H341" s="3">
        <v>5</v>
      </c>
      <c r="I341" s="3">
        <v>13</v>
      </c>
      <c r="J341" s="3">
        <v>2</v>
      </c>
      <c r="K341" s="3">
        <v>2</v>
      </c>
      <c r="L341" s="3">
        <v>2</v>
      </c>
      <c r="M341" s="3">
        <v>4</v>
      </c>
      <c r="N341" s="3">
        <v>8</v>
      </c>
      <c r="O341" s="3">
        <v>585</v>
      </c>
      <c r="P341" s="3">
        <v>2830</v>
      </c>
      <c r="Q341" s="3">
        <v>2017.5</v>
      </c>
      <c r="R341" s="3">
        <v>3113</v>
      </c>
      <c r="S341" s="14">
        <v>1.1100000000000001</v>
      </c>
      <c r="T341" s="14">
        <v>0.34</v>
      </c>
      <c r="U341" s="14">
        <v>0.76</v>
      </c>
      <c r="V341" s="14">
        <v>0.05</v>
      </c>
      <c r="W341" s="14">
        <v>0.35100000000000003</v>
      </c>
      <c r="X341" s="14">
        <v>0.41580000000000006</v>
      </c>
      <c r="Y341" s="14">
        <v>0.26550000000000001</v>
      </c>
      <c r="Z341">
        <v>93</v>
      </c>
      <c r="AA341">
        <v>69</v>
      </c>
      <c r="AB341">
        <v>13</v>
      </c>
      <c r="AC341" s="4">
        <f t="shared" si="11"/>
        <v>0.34410000000000007</v>
      </c>
      <c r="AD341" s="25"/>
      <c r="AE341" s="3"/>
      <c r="AF341" s="3"/>
    </row>
    <row r="342" spans="1:32" x14ac:dyDescent="0.25">
      <c r="A342" s="20">
        <v>45998</v>
      </c>
      <c r="B342" s="3" t="s">
        <v>64</v>
      </c>
      <c r="C342" s="3">
        <f t="shared" si="10"/>
        <v>1</v>
      </c>
      <c r="D342" t="s">
        <v>65</v>
      </c>
      <c r="E342" s="14">
        <v>0.37</v>
      </c>
      <c r="F342" s="14">
        <v>0.36</v>
      </c>
      <c r="G342" s="14">
        <v>0.88</v>
      </c>
      <c r="H342" s="3">
        <v>15</v>
      </c>
      <c r="I342" s="3">
        <v>15</v>
      </c>
      <c r="J342" s="3">
        <v>6</v>
      </c>
      <c r="K342" s="3">
        <v>2</v>
      </c>
      <c r="L342" s="3">
        <v>4</v>
      </c>
      <c r="M342" s="3">
        <v>5</v>
      </c>
      <c r="N342" s="3">
        <v>4</v>
      </c>
      <c r="O342" s="3">
        <v>114</v>
      </c>
      <c r="P342" s="3">
        <v>2988</v>
      </c>
      <c r="Q342" s="3">
        <v>2386.5</v>
      </c>
      <c r="R342" s="3">
        <v>3286</v>
      </c>
      <c r="S342" s="14">
        <v>0.16</v>
      </c>
      <c r="T342" s="14">
        <v>0.31</v>
      </c>
      <c r="U342" s="14">
        <v>0.25</v>
      </c>
      <c r="V342" s="14">
        <v>0.01</v>
      </c>
      <c r="W342" s="14">
        <v>0.26100000000000001</v>
      </c>
      <c r="X342" s="14">
        <v>0.35640000000000005</v>
      </c>
      <c r="Y342" s="14">
        <v>0.30600000000000005</v>
      </c>
      <c r="Z342">
        <v>85</v>
      </c>
      <c r="AA342">
        <v>62</v>
      </c>
      <c r="AB342">
        <v>45</v>
      </c>
      <c r="AC342" s="4">
        <f t="shared" si="11"/>
        <v>0.30780000000000002</v>
      </c>
      <c r="AD342" s="25"/>
      <c r="AE342" s="3"/>
      <c r="AF342" s="3"/>
    </row>
    <row r="343" spans="1:32" x14ac:dyDescent="0.25">
      <c r="A343" s="20">
        <v>45999</v>
      </c>
      <c r="B343" s="3" t="s">
        <v>64</v>
      </c>
      <c r="C343" s="3">
        <f t="shared" si="10"/>
        <v>2</v>
      </c>
      <c r="D343" t="s">
        <v>66</v>
      </c>
      <c r="E343" s="14">
        <v>0.72</v>
      </c>
      <c r="F343" s="14">
        <v>0.64</v>
      </c>
      <c r="G343" s="14">
        <v>0.38</v>
      </c>
      <c r="H343" s="3">
        <v>25</v>
      </c>
      <c r="I343" s="3">
        <v>38</v>
      </c>
      <c r="J343" s="3">
        <v>9</v>
      </c>
      <c r="K343" s="3">
        <v>5</v>
      </c>
      <c r="L343" s="3">
        <v>8</v>
      </c>
      <c r="M343" s="3">
        <v>12</v>
      </c>
      <c r="N343" s="3">
        <v>6</v>
      </c>
      <c r="O343" s="3">
        <v>1433</v>
      </c>
      <c r="P343" s="3">
        <v>708</v>
      </c>
      <c r="Q343" s="3">
        <v>1770</v>
      </c>
      <c r="R343" s="3">
        <v>1947</v>
      </c>
      <c r="S343" s="14">
        <v>0.86</v>
      </c>
      <c r="T343" s="14">
        <v>0.92</v>
      </c>
      <c r="U343" s="14">
        <v>0.59</v>
      </c>
      <c r="V343" s="14">
        <v>0.03</v>
      </c>
      <c r="W343" s="14">
        <v>0.79</v>
      </c>
      <c r="X343" s="14">
        <v>0.66</v>
      </c>
      <c r="Y343" s="14">
        <v>0.5</v>
      </c>
      <c r="Z343">
        <v>93</v>
      </c>
      <c r="AA343">
        <v>68</v>
      </c>
      <c r="AB343">
        <v>36</v>
      </c>
      <c r="AC343" s="4">
        <f t="shared" si="11"/>
        <v>0.65</v>
      </c>
      <c r="AD343" s="25"/>
      <c r="AE343" s="3"/>
      <c r="AF343" s="3"/>
    </row>
    <row r="344" spans="1:32" x14ac:dyDescent="0.25">
      <c r="A344" s="20">
        <v>46000</v>
      </c>
      <c r="B344" s="3" t="s">
        <v>64</v>
      </c>
      <c r="C344" s="3">
        <f t="shared" si="10"/>
        <v>2</v>
      </c>
      <c r="D344" t="s">
        <v>67</v>
      </c>
      <c r="E344" s="14">
        <v>0.86</v>
      </c>
      <c r="F344" s="14">
        <v>0.82</v>
      </c>
      <c r="G344" s="14">
        <v>0.55000000000000004</v>
      </c>
      <c r="H344" s="3">
        <v>24</v>
      </c>
      <c r="I344" s="3">
        <v>23</v>
      </c>
      <c r="J344" s="3">
        <v>9</v>
      </c>
      <c r="K344" s="3">
        <v>2</v>
      </c>
      <c r="L344" s="3">
        <v>8</v>
      </c>
      <c r="M344" s="3">
        <v>2</v>
      </c>
      <c r="N344" s="3">
        <v>6</v>
      </c>
      <c r="O344" s="3">
        <v>1838</v>
      </c>
      <c r="P344" s="3">
        <v>1647</v>
      </c>
      <c r="Q344" s="3">
        <v>2079</v>
      </c>
      <c r="R344" s="3">
        <v>2598</v>
      </c>
      <c r="S344" s="14">
        <v>1.05</v>
      </c>
      <c r="T344" s="14">
        <v>0.8</v>
      </c>
      <c r="U344" s="14">
        <v>0.18</v>
      </c>
      <c r="V344" s="14">
        <v>0.08</v>
      </c>
      <c r="W344" s="14">
        <v>0.9</v>
      </c>
      <c r="X344" s="14">
        <v>0.58080000000000009</v>
      </c>
      <c r="Y344" s="14">
        <v>0.7</v>
      </c>
      <c r="Z344">
        <v>100</v>
      </c>
      <c r="AA344">
        <v>63</v>
      </c>
      <c r="AB344">
        <v>45</v>
      </c>
      <c r="AC344" s="4">
        <f t="shared" si="11"/>
        <v>0.72693333333333332</v>
      </c>
      <c r="AD344" s="25"/>
      <c r="AE344" s="3"/>
      <c r="AF344" s="3"/>
    </row>
    <row r="345" spans="1:32" x14ac:dyDescent="0.25">
      <c r="A345" s="20">
        <v>46001</v>
      </c>
      <c r="B345" s="3" t="s">
        <v>64</v>
      </c>
      <c r="C345" s="3">
        <f t="shared" si="10"/>
        <v>2</v>
      </c>
      <c r="D345" t="s">
        <v>68</v>
      </c>
      <c r="E345" s="14">
        <v>0.97</v>
      </c>
      <c r="F345" s="14">
        <v>0.79</v>
      </c>
      <c r="G345" s="14">
        <v>0.66</v>
      </c>
      <c r="H345" s="3">
        <v>22</v>
      </c>
      <c r="I345" s="3">
        <v>9</v>
      </c>
      <c r="J345" s="3">
        <v>11</v>
      </c>
      <c r="K345" s="3">
        <v>2</v>
      </c>
      <c r="L345" s="3">
        <v>8</v>
      </c>
      <c r="M345" s="3">
        <v>8</v>
      </c>
      <c r="N345" s="3">
        <v>8</v>
      </c>
      <c r="O345" s="3">
        <v>1722</v>
      </c>
      <c r="P345" s="3">
        <v>1030</v>
      </c>
      <c r="Q345" s="3">
        <v>573</v>
      </c>
      <c r="R345" s="3">
        <v>2274</v>
      </c>
      <c r="S345" s="14">
        <v>1.22</v>
      </c>
      <c r="T345" s="14">
        <v>1.1100000000000001</v>
      </c>
      <c r="U345" s="14">
        <v>0.4</v>
      </c>
      <c r="V345" s="14">
        <v>7.0000000000000007E-2</v>
      </c>
      <c r="W345" s="14">
        <v>0.55000000000000004</v>
      </c>
      <c r="X345" s="14">
        <v>0.91080000000000005</v>
      </c>
      <c r="Y345" s="14">
        <v>0.64</v>
      </c>
      <c r="Z345">
        <v>100</v>
      </c>
      <c r="AA345">
        <v>71</v>
      </c>
      <c r="AB345">
        <v>22</v>
      </c>
      <c r="AC345" s="4">
        <f t="shared" si="11"/>
        <v>0.7002666666666667</v>
      </c>
      <c r="AD345" s="25"/>
      <c r="AE345" s="3"/>
      <c r="AF345" s="3"/>
    </row>
    <row r="346" spans="1:32" x14ac:dyDescent="0.25">
      <c r="A346" s="20">
        <v>46002</v>
      </c>
      <c r="B346" s="3" t="s">
        <v>64</v>
      </c>
      <c r="C346" s="3">
        <f t="shared" si="10"/>
        <v>2</v>
      </c>
      <c r="D346" t="s">
        <v>69</v>
      </c>
      <c r="E346" s="14">
        <v>0.76</v>
      </c>
      <c r="F346" s="14">
        <v>0.77</v>
      </c>
      <c r="G346" s="14">
        <v>0.63</v>
      </c>
      <c r="H346" s="3">
        <v>24</v>
      </c>
      <c r="I346" s="3">
        <v>14</v>
      </c>
      <c r="J346" s="3">
        <v>7</v>
      </c>
      <c r="K346" s="3">
        <v>2</v>
      </c>
      <c r="L346" s="3">
        <v>1</v>
      </c>
      <c r="M346" s="3">
        <v>1</v>
      </c>
      <c r="N346" s="3">
        <v>7</v>
      </c>
      <c r="O346" s="3">
        <v>90</v>
      </c>
      <c r="P346" s="3">
        <v>2412</v>
      </c>
      <c r="Q346" s="3">
        <v>1089</v>
      </c>
      <c r="R346" s="3">
        <v>2653</v>
      </c>
      <c r="S346" s="14">
        <v>0.91</v>
      </c>
      <c r="T346" s="14">
        <v>0.49</v>
      </c>
      <c r="U346" s="14">
        <v>0.55000000000000004</v>
      </c>
      <c r="V346" s="14">
        <v>0.02</v>
      </c>
      <c r="W346" s="14">
        <v>0.68</v>
      </c>
      <c r="X346" s="14">
        <v>0.73920000000000008</v>
      </c>
      <c r="Y346" s="14">
        <v>0.69</v>
      </c>
      <c r="Z346">
        <v>95</v>
      </c>
      <c r="AA346">
        <v>61</v>
      </c>
      <c r="AB346">
        <v>26</v>
      </c>
      <c r="AC346" s="4">
        <f t="shared" si="11"/>
        <v>0.70306666666666662</v>
      </c>
      <c r="AD346" s="25"/>
      <c r="AE346" s="3"/>
      <c r="AF346" s="3"/>
    </row>
    <row r="347" spans="1:32" x14ac:dyDescent="0.25">
      <c r="A347" s="20">
        <v>46003</v>
      </c>
      <c r="B347" s="3" t="s">
        <v>64</v>
      </c>
      <c r="C347" s="3">
        <f t="shared" si="10"/>
        <v>2</v>
      </c>
      <c r="D347" t="s">
        <v>70</v>
      </c>
      <c r="E347" s="14">
        <v>0.69</v>
      </c>
      <c r="F347" s="14">
        <v>0.54</v>
      </c>
      <c r="G347" s="14">
        <v>0.76</v>
      </c>
      <c r="H347" s="3">
        <v>26</v>
      </c>
      <c r="I347" s="3">
        <v>26</v>
      </c>
      <c r="J347" s="3">
        <v>7</v>
      </c>
      <c r="K347" s="3">
        <v>3</v>
      </c>
      <c r="L347" s="3">
        <v>2</v>
      </c>
      <c r="M347" s="3">
        <v>2</v>
      </c>
      <c r="N347" s="3">
        <v>6</v>
      </c>
      <c r="O347" s="3">
        <v>957</v>
      </c>
      <c r="P347" s="3">
        <v>2469</v>
      </c>
      <c r="Q347" s="3">
        <v>850.5</v>
      </c>
      <c r="R347" s="3">
        <v>2715</v>
      </c>
      <c r="S347" s="14">
        <v>0.22</v>
      </c>
      <c r="T347" s="14">
        <v>1</v>
      </c>
      <c r="U347" s="14">
        <v>0.21</v>
      </c>
      <c r="V347" s="14">
        <v>0.08</v>
      </c>
      <c r="W347" s="14">
        <v>0.88</v>
      </c>
      <c r="X347" s="14">
        <v>0.50160000000000005</v>
      </c>
      <c r="Y347" s="14">
        <v>0.87</v>
      </c>
      <c r="Z347">
        <v>91</v>
      </c>
      <c r="AA347">
        <v>65</v>
      </c>
      <c r="AB347">
        <v>38</v>
      </c>
      <c r="AC347" s="4">
        <f t="shared" si="11"/>
        <v>0.75053333333333339</v>
      </c>
      <c r="AD347" s="25"/>
      <c r="AE347" s="3"/>
      <c r="AF347" s="3"/>
    </row>
    <row r="348" spans="1:32" x14ac:dyDescent="0.25">
      <c r="A348" s="20">
        <v>46004</v>
      </c>
      <c r="B348" s="3" t="s">
        <v>64</v>
      </c>
      <c r="C348" s="3">
        <f t="shared" si="10"/>
        <v>2</v>
      </c>
      <c r="D348" t="s">
        <v>51</v>
      </c>
      <c r="E348" s="14">
        <v>0.12</v>
      </c>
      <c r="F348" s="14">
        <v>0.52</v>
      </c>
      <c r="G348" s="14">
        <v>0.77</v>
      </c>
      <c r="H348" s="3">
        <v>29</v>
      </c>
      <c r="I348" s="3">
        <v>27</v>
      </c>
      <c r="J348" s="3">
        <v>4</v>
      </c>
      <c r="K348" s="3">
        <v>3</v>
      </c>
      <c r="L348" s="3">
        <v>7</v>
      </c>
      <c r="M348" s="3">
        <v>5</v>
      </c>
      <c r="N348" s="3">
        <v>7</v>
      </c>
      <c r="O348" s="3">
        <v>2451</v>
      </c>
      <c r="P348" s="3">
        <v>2320</v>
      </c>
      <c r="Q348" s="3">
        <v>2641.5</v>
      </c>
      <c r="R348" s="3">
        <v>3497</v>
      </c>
      <c r="S348" s="14">
        <v>0.48</v>
      </c>
      <c r="T348" s="14">
        <v>1.01</v>
      </c>
      <c r="U348" s="14">
        <v>0.38</v>
      </c>
      <c r="V348" s="14">
        <v>0.05</v>
      </c>
      <c r="W348" s="14">
        <v>0.41400000000000003</v>
      </c>
      <c r="X348" s="14">
        <v>0.26730000000000004</v>
      </c>
      <c r="Y348" s="14">
        <v>0.29700000000000004</v>
      </c>
      <c r="Z348">
        <v>100</v>
      </c>
      <c r="AA348">
        <v>73</v>
      </c>
      <c r="AB348">
        <v>15</v>
      </c>
      <c r="AC348" s="4">
        <f t="shared" si="11"/>
        <v>0.3261</v>
      </c>
      <c r="AD348" s="25"/>
      <c r="AE348" s="3"/>
      <c r="AF348" s="3"/>
    </row>
    <row r="349" spans="1:32" x14ac:dyDescent="0.25">
      <c r="A349" s="20">
        <v>46005</v>
      </c>
      <c r="B349" s="3" t="s">
        <v>64</v>
      </c>
      <c r="C349" s="3">
        <f t="shared" si="10"/>
        <v>2</v>
      </c>
      <c r="D349" t="s">
        <v>65</v>
      </c>
      <c r="E349" s="14">
        <v>0.13</v>
      </c>
      <c r="F349" s="14">
        <v>0.8</v>
      </c>
      <c r="G349" s="14">
        <v>0.78</v>
      </c>
      <c r="H349" s="3">
        <v>27</v>
      </c>
      <c r="I349" s="3">
        <v>38</v>
      </c>
      <c r="J349" s="3">
        <v>6</v>
      </c>
      <c r="K349" s="3">
        <v>2</v>
      </c>
      <c r="L349" s="3">
        <v>2</v>
      </c>
      <c r="M349" s="3">
        <v>2</v>
      </c>
      <c r="N349" s="3">
        <v>4</v>
      </c>
      <c r="O349" s="3">
        <v>1713</v>
      </c>
      <c r="P349" s="3">
        <v>1204</v>
      </c>
      <c r="Q349" s="3">
        <v>1102.5</v>
      </c>
      <c r="R349" s="3">
        <v>2398</v>
      </c>
      <c r="S349" s="14">
        <v>0.56999999999999995</v>
      </c>
      <c r="T349" s="14">
        <v>0.42</v>
      </c>
      <c r="U349" s="14">
        <v>0.92</v>
      </c>
      <c r="V349" s="14">
        <v>0.06</v>
      </c>
      <c r="W349" s="14">
        <v>0.22500000000000001</v>
      </c>
      <c r="X349" s="14">
        <v>0.28511999999999998</v>
      </c>
      <c r="Y349" s="14">
        <v>0.16200000000000001</v>
      </c>
      <c r="Z349">
        <v>90</v>
      </c>
      <c r="AA349">
        <v>75</v>
      </c>
      <c r="AB349">
        <v>21</v>
      </c>
      <c r="AC349" s="4">
        <f t="shared" si="11"/>
        <v>0.22404000000000002</v>
      </c>
      <c r="AD349" s="25"/>
      <c r="AE349" s="3"/>
      <c r="AF349" s="3"/>
    </row>
    <row r="350" spans="1:32" x14ac:dyDescent="0.25">
      <c r="A350" s="20">
        <v>46006</v>
      </c>
      <c r="B350" s="3" t="s">
        <v>64</v>
      </c>
      <c r="C350" s="3">
        <f t="shared" si="10"/>
        <v>3</v>
      </c>
      <c r="D350" t="s">
        <v>66</v>
      </c>
      <c r="E350" s="14">
        <v>0.82</v>
      </c>
      <c r="F350" s="14">
        <v>0.64</v>
      </c>
      <c r="G350" s="14">
        <v>0.54</v>
      </c>
      <c r="H350" s="3">
        <v>5</v>
      </c>
      <c r="I350" s="3">
        <v>26</v>
      </c>
      <c r="J350" s="3">
        <v>7</v>
      </c>
      <c r="K350" s="3">
        <v>9</v>
      </c>
      <c r="L350" s="3">
        <v>12</v>
      </c>
      <c r="M350" s="3">
        <v>3</v>
      </c>
      <c r="N350" s="3">
        <v>12</v>
      </c>
      <c r="O350" s="3">
        <v>361</v>
      </c>
      <c r="P350" s="3">
        <v>1941</v>
      </c>
      <c r="Q350" s="3">
        <v>2413.5</v>
      </c>
      <c r="R350" s="3">
        <v>2654</v>
      </c>
      <c r="S350" s="14">
        <v>0.63</v>
      </c>
      <c r="T350" s="14">
        <v>0.6</v>
      </c>
      <c r="U350" s="14">
        <v>1.07</v>
      </c>
      <c r="V350" s="14">
        <v>0.03</v>
      </c>
      <c r="W350" s="14">
        <v>0.93</v>
      </c>
      <c r="X350" s="14">
        <v>0.64680000000000004</v>
      </c>
      <c r="Y350" s="14">
        <v>0.55000000000000004</v>
      </c>
      <c r="Z350">
        <v>82</v>
      </c>
      <c r="AA350">
        <v>54</v>
      </c>
      <c r="AB350">
        <v>40</v>
      </c>
      <c r="AC350" s="4">
        <f t="shared" si="11"/>
        <v>0.70893333333333342</v>
      </c>
      <c r="AD350" s="25"/>
      <c r="AE350" s="3"/>
      <c r="AF350" s="3"/>
    </row>
    <row r="351" spans="1:32" x14ac:dyDescent="0.25">
      <c r="A351" s="20">
        <v>46007</v>
      </c>
      <c r="B351" s="3" t="s">
        <v>64</v>
      </c>
      <c r="C351" s="3">
        <f t="shared" si="10"/>
        <v>3</v>
      </c>
      <c r="D351" t="s">
        <v>67</v>
      </c>
      <c r="E351" s="14">
        <v>0.83</v>
      </c>
      <c r="F351" s="14">
        <v>0.79</v>
      </c>
      <c r="G351" s="14">
        <v>0.37</v>
      </c>
      <c r="H351" s="3">
        <v>15</v>
      </c>
      <c r="I351" s="3">
        <v>35</v>
      </c>
      <c r="J351" s="3">
        <v>2</v>
      </c>
      <c r="K351" s="3">
        <v>2</v>
      </c>
      <c r="L351" s="3">
        <v>5</v>
      </c>
      <c r="M351" s="3">
        <v>2</v>
      </c>
      <c r="N351" s="3">
        <v>2</v>
      </c>
      <c r="O351" s="3">
        <v>1290</v>
      </c>
      <c r="P351" s="3">
        <v>869</v>
      </c>
      <c r="Q351" s="3">
        <v>2503.5</v>
      </c>
      <c r="R351" s="3">
        <v>2753</v>
      </c>
      <c r="S351" s="14">
        <v>0.55000000000000004</v>
      </c>
      <c r="T351" s="14">
        <v>0.65</v>
      </c>
      <c r="U351" s="14">
        <v>0.23</v>
      </c>
      <c r="V351" s="14">
        <v>0.01</v>
      </c>
      <c r="W351" s="14">
        <v>0.91</v>
      </c>
      <c r="X351" s="14">
        <v>0.76560000000000006</v>
      </c>
      <c r="Y351" s="14">
        <v>0.54</v>
      </c>
      <c r="Z351">
        <v>88</v>
      </c>
      <c r="AA351">
        <v>54</v>
      </c>
      <c r="AB351">
        <v>16</v>
      </c>
      <c r="AC351" s="4">
        <f t="shared" si="11"/>
        <v>0.73853333333333337</v>
      </c>
      <c r="AD351" s="25"/>
      <c r="AE351" s="3"/>
      <c r="AF351" s="3"/>
    </row>
    <row r="352" spans="1:32" x14ac:dyDescent="0.25">
      <c r="A352" s="20">
        <v>46008</v>
      </c>
      <c r="B352" s="3" t="s">
        <v>64</v>
      </c>
      <c r="C352" s="3">
        <f t="shared" si="10"/>
        <v>3</v>
      </c>
      <c r="D352" t="s">
        <v>68</v>
      </c>
      <c r="E352" s="14">
        <v>0.71</v>
      </c>
      <c r="F352" s="14">
        <v>0.77</v>
      </c>
      <c r="G352" s="14">
        <v>0.43</v>
      </c>
      <c r="H352" s="3">
        <v>31</v>
      </c>
      <c r="I352" s="3">
        <v>32</v>
      </c>
      <c r="J352" s="3">
        <v>11</v>
      </c>
      <c r="K352" s="3">
        <v>11</v>
      </c>
      <c r="L352" s="3">
        <v>12</v>
      </c>
      <c r="M352" s="3">
        <v>2</v>
      </c>
      <c r="N352" s="3">
        <v>4</v>
      </c>
      <c r="O352" s="3">
        <v>568</v>
      </c>
      <c r="P352" s="3">
        <v>876</v>
      </c>
      <c r="Q352" s="3">
        <v>328.5</v>
      </c>
      <c r="R352" s="3">
        <v>963</v>
      </c>
      <c r="S352" s="14">
        <v>0.22</v>
      </c>
      <c r="T352" s="14">
        <v>0.6</v>
      </c>
      <c r="U352" s="14">
        <v>0.76</v>
      </c>
      <c r="V352" s="14">
        <v>0.06</v>
      </c>
      <c r="W352" s="14">
        <v>0.86</v>
      </c>
      <c r="X352" s="14">
        <v>0.40920000000000001</v>
      </c>
      <c r="Y352" s="14">
        <v>0.5</v>
      </c>
      <c r="Z352">
        <v>98</v>
      </c>
      <c r="AA352">
        <v>66</v>
      </c>
      <c r="AB352">
        <v>18</v>
      </c>
      <c r="AC352" s="4">
        <f t="shared" si="11"/>
        <v>0.58973333333333333</v>
      </c>
      <c r="AD352" s="25"/>
      <c r="AE352" s="3"/>
      <c r="AF352" s="3"/>
    </row>
    <row r="353" spans="1:32" x14ac:dyDescent="0.25">
      <c r="A353" s="20">
        <v>46009</v>
      </c>
      <c r="B353" s="3" t="s">
        <v>64</v>
      </c>
      <c r="C353" s="3">
        <f t="shared" si="10"/>
        <v>3</v>
      </c>
      <c r="D353" t="s">
        <v>69</v>
      </c>
      <c r="E353" s="14">
        <v>0.7</v>
      </c>
      <c r="F353" s="14">
        <v>0.57999999999999996</v>
      </c>
      <c r="G353" s="14">
        <v>0.63</v>
      </c>
      <c r="H353" s="3">
        <v>33</v>
      </c>
      <c r="I353" s="3">
        <v>12</v>
      </c>
      <c r="J353" s="3">
        <v>2</v>
      </c>
      <c r="K353" s="3">
        <v>3</v>
      </c>
      <c r="L353" s="3">
        <v>3</v>
      </c>
      <c r="M353" s="3">
        <v>2</v>
      </c>
      <c r="N353" s="3">
        <v>12</v>
      </c>
      <c r="O353" s="3">
        <v>453</v>
      </c>
      <c r="P353" s="3">
        <v>1051</v>
      </c>
      <c r="Q353" s="3">
        <v>481.5</v>
      </c>
      <c r="R353" s="3">
        <v>1156</v>
      </c>
      <c r="S353" s="14">
        <v>1.21</v>
      </c>
      <c r="T353" s="14">
        <v>0.77</v>
      </c>
      <c r="U353" s="14">
        <v>0.86</v>
      </c>
      <c r="V353" s="14">
        <v>0.03</v>
      </c>
      <c r="W353" s="14">
        <v>0.88</v>
      </c>
      <c r="X353" s="14">
        <v>0.88440000000000007</v>
      </c>
      <c r="Y353" s="14">
        <v>0.9</v>
      </c>
      <c r="Z353">
        <v>79</v>
      </c>
      <c r="AA353">
        <v>54</v>
      </c>
      <c r="AB353">
        <v>22</v>
      </c>
      <c r="AC353" s="4">
        <f t="shared" si="11"/>
        <v>0.88813333333333333</v>
      </c>
      <c r="AD353" s="25"/>
      <c r="AE353" s="3"/>
      <c r="AF353" s="3"/>
    </row>
    <row r="354" spans="1:32" x14ac:dyDescent="0.25">
      <c r="A354" s="20">
        <v>46010</v>
      </c>
      <c r="B354" s="3" t="s">
        <v>64</v>
      </c>
      <c r="C354" s="3">
        <f t="shared" si="10"/>
        <v>3</v>
      </c>
      <c r="D354" t="s">
        <v>70</v>
      </c>
      <c r="E354" s="14">
        <v>0.82</v>
      </c>
      <c r="F354" s="14">
        <v>0.71</v>
      </c>
      <c r="G354" s="14">
        <v>0.39</v>
      </c>
      <c r="H354" s="3">
        <v>5</v>
      </c>
      <c r="I354" s="3">
        <v>33</v>
      </c>
      <c r="J354" s="3">
        <v>2</v>
      </c>
      <c r="K354" s="3">
        <v>1</v>
      </c>
      <c r="L354" s="3">
        <v>4</v>
      </c>
      <c r="M354" s="3">
        <v>5</v>
      </c>
      <c r="N354" s="3">
        <v>8</v>
      </c>
      <c r="O354" s="3">
        <v>3018</v>
      </c>
      <c r="P354" s="3">
        <v>2300</v>
      </c>
      <c r="Q354" s="3">
        <v>496.5</v>
      </c>
      <c r="R354" s="3">
        <v>4587</v>
      </c>
      <c r="S354" s="14">
        <v>1.04</v>
      </c>
      <c r="T354" s="14">
        <v>0.81</v>
      </c>
      <c r="U354" s="14">
        <v>0.47</v>
      </c>
      <c r="V354" s="14">
        <v>7.0000000000000007E-2</v>
      </c>
      <c r="W354" s="14">
        <v>0.7</v>
      </c>
      <c r="X354" s="14">
        <v>0.96360000000000012</v>
      </c>
      <c r="Y354" s="14">
        <v>0.47</v>
      </c>
      <c r="Z354">
        <v>93</v>
      </c>
      <c r="AA354">
        <v>56</v>
      </c>
      <c r="AB354">
        <v>32</v>
      </c>
      <c r="AC354" s="4">
        <f t="shared" si="11"/>
        <v>0.71120000000000017</v>
      </c>
      <c r="AD354" s="25"/>
      <c r="AE354" s="3"/>
      <c r="AF354" s="3"/>
    </row>
    <row r="355" spans="1:32" x14ac:dyDescent="0.25">
      <c r="A355" s="20">
        <v>46011</v>
      </c>
      <c r="B355" s="3" t="s">
        <v>64</v>
      </c>
      <c r="C355" s="3">
        <f t="shared" si="10"/>
        <v>3</v>
      </c>
      <c r="D355" t="s">
        <v>51</v>
      </c>
      <c r="E355" s="14">
        <v>0.13</v>
      </c>
      <c r="F355" s="14">
        <v>0.68</v>
      </c>
      <c r="G355" s="14">
        <v>0.87</v>
      </c>
      <c r="H355" s="3">
        <v>38</v>
      </c>
      <c r="I355" s="3">
        <v>5</v>
      </c>
      <c r="J355" s="3">
        <v>4</v>
      </c>
      <c r="K355" s="3">
        <v>2</v>
      </c>
      <c r="L355" s="3">
        <v>2</v>
      </c>
      <c r="M355" s="3">
        <v>7</v>
      </c>
      <c r="N355" s="3">
        <v>2</v>
      </c>
      <c r="O355" s="3">
        <v>3440</v>
      </c>
      <c r="P355" s="3">
        <v>198</v>
      </c>
      <c r="Q355" s="3">
        <v>478.5</v>
      </c>
      <c r="R355" s="3">
        <v>6421</v>
      </c>
      <c r="S355" s="14">
        <v>0.63</v>
      </c>
      <c r="T355" s="14">
        <v>0.56999999999999995</v>
      </c>
      <c r="U355" s="14">
        <v>0.7</v>
      </c>
      <c r="V355" s="14">
        <v>0.04</v>
      </c>
      <c r="W355" s="14">
        <v>0.26550000000000001</v>
      </c>
      <c r="X355" s="14">
        <v>0.29700000000000004</v>
      </c>
      <c r="Y355" s="14">
        <v>0.26100000000000001</v>
      </c>
      <c r="Z355">
        <v>92</v>
      </c>
      <c r="AA355">
        <v>58</v>
      </c>
      <c r="AB355">
        <v>32</v>
      </c>
      <c r="AC355" s="4">
        <f t="shared" si="11"/>
        <v>0.27450000000000002</v>
      </c>
      <c r="AD355" s="25"/>
      <c r="AE355" s="3"/>
      <c r="AF355" s="3"/>
    </row>
    <row r="356" spans="1:32" x14ac:dyDescent="0.25">
      <c r="A356" s="20">
        <v>46012</v>
      </c>
      <c r="B356" s="3" t="s">
        <v>64</v>
      </c>
      <c r="C356" s="3">
        <f t="shared" si="10"/>
        <v>3</v>
      </c>
      <c r="D356" t="s">
        <v>65</v>
      </c>
      <c r="E356" s="14">
        <v>0.26</v>
      </c>
      <c r="F356" s="14">
        <v>0.74</v>
      </c>
      <c r="G356" s="14">
        <v>0.79</v>
      </c>
      <c r="H356" s="3">
        <v>13</v>
      </c>
      <c r="I356" s="3">
        <v>31</v>
      </c>
      <c r="J356" s="3">
        <v>2</v>
      </c>
      <c r="K356" s="3">
        <v>6</v>
      </c>
      <c r="L356" s="3">
        <v>8</v>
      </c>
      <c r="M356" s="3">
        <v>2</v>
      </c>
      <c r="N356" s="3">
        <v>2</v>
      </c>
      <c r="O356" s="3">
        <v>874</v>
      </c>
      <c r="P356" s="3">
        <v>2577</v>
      </c>
      <c r="Q356" s="3">
        <v>1908</v>
      </c>
      <c r="R356" s="3">
        <v>2834</v>
      </c>
      <c r="S356" s="14">
        <v>1.1599999999999999</v>
      </c>
      <c r="T356" s="14">
        <v>0.19</v>
      </c>
      <c r="U356" s="14">
        <v>1.1399999999999999</v>
      </c>
      <c r="V356" s="14">
        <v>0.1</v>
      </c>
      <c r="W356" s="14">
        <v>0.27450000000000002</v>
      </c>
      <c r="X356" s="14">
        <v>0.34451999999999999</v>
      </c>
      <c r="Y356" s="14">
        <v>0.20700000000000002</v>
      </c>
      <c r="Z356">
        <v>98</v>
      </c>
      <c r="AA356">
        <v>70</v>
      </c>
      <c r="AB356">
        <v>33</v>
      </c>
      <c r="AC356" s="4">
        <f t="shared" si="11"/>
        <v>0.27533999999999997</v>
      </c>
      <c r="AD356" s="25"/>
      <c r="AE356" s="3"/>
      <c r="AF356" s="3"/>
    </row>
    <row r="357" spans="1:32" x14ac:dyDescent="0.25">
      <c r="A357" s="20">
        <v>46013</v>
      </c>
      <c r="B357" s="3" t="s">
        <v>64</v>
      </c>
      <c r="C357" s="3">
        <f t="shared" si="10"/>
        <v>4</v>
      </c>
      <c r="D357" t="s">
        <v>66</v>
      </c>
      <c r="E357" s="14">
        <v>0.87</v>
      </c>
      <c r="F357" s="14">
        <v>0.61</v>
      </c>
      <c r="G357" s="14">
        <v>0.73</v>
      </c>
      <c r="H357" s="3">
        <v>39</v>
      </c>
      <c r="I357" s="3">
        <v>15</v>
      </c>
      <c r="J357" s="3">
        <v>8</v>
      </c>
      <c r="K357" s="3">
        <v>12</v>
      </c>
      <c r="L357" s="3">
        <v>2</v>
      </c>
      <c r="M357" s="3">
        <v>2</v>
      </c>
      <c r="N357" s="3">
        <v>8</v>
      </c>
      <c r="O357" s="3">
        <v>2127</v>
      </c>
      <c r="P357" s="3">
        <v>3209</v>
      </c>
      <c r="Q357" s="3">
        <v>474</v>
      </c>
      <c r="R357" s="3">
        <v>3529</v>
      </c>
      <c r="S357" s="14">
        <v>1.25</v>
      </c>
      <c r="T357" s="14">
        <v>1.06</v>
      </c>
      <c r="U357" s="14">
        <v>1.1000000000000001</v>
      </c>
      <c r="V357" s="14">
        <v>0.1</v>
      </c>
      <c r="W357" s="14">
        <v>0.49</v>
      </c>
      <c r="X357" s="14">
        <v>0.79200000000000004</v>
      </c>
      <c r="Y357" s="14">
        <v>0.41</v>
      </c>
      <c r="Z357">
        <v>91</v>
      </c>
      <c r="AA357">
        <v>63</v>
      </c>
      <c r="AB357">
        <v>17</v>
      </c>
      <c r="AC357" s="4">
        <f t="shared" si="11"/>
        <v>0.56399999999999995</v>
      </c>
      <c r="AD357" s="25"/>
      <c r="AE357" s="3"/>
      <c r="AF357" s="3"/>
    </row>
    <row r="358" spans="1:32" x14ac:dyDescent="0.25">
      <c r="A358" s="20">
        <v>46014</v>
      </c>
      <c r="B358" s="3" t="s">
        <v>64</v>
      </c>
      <c r="C358" s="3">
        <f t="shared" si="10"/>
        <v>4</v>
      </c>
      <c r="D358" t="s">
        <v>67</v>
      </c>
      <c r="E358" s="14">
        <v>0.75</v>
      </c>
      <c r="F358" s="14">
        <v>0.45</v>
      </c>
      <c r="G358" s="14">
        <v>0.88</v>
      </c>
      <c r="H358" s="3">
        <v>7</v>
      </c>
      <c r="I358" s="3">
        <v>18</v>
      </c>
      <c r="J358" s="3">
        <v>2</v>
      </c>
      <c r="K358" s="3">
        <v>9</v>
      </c>
      <c r="L358" s="3">
        <v>3</v>
      </c>
      <c r="M358" s="3">
        <v>8</v>
      </c>
      <c r="N358" s="3">
        <v>5</v>
      </c>
      <c r="O358" s="3">
        <v>102</v>
      </c>
      <c r="P358" s="3">
        <v>1560</v>
      </c>
      <c r="Q358" s="3">
        <v>1107</v>
      </c>
      <c r="R358" s="3">
        <v>1716</v>
      </c>
      <c r="S358" s="14">
        <v>0.44</v>
      </c>
      <c r="T358" s="14">
        <v>0.42</v>
      </c>
      <c r="U358" s="14">
        <v>0.25</v>
      </c>
      <c r="V358" s="14">
        <v>0.09</v>
      </c>
      <c r="W358" s="14">
        <v>0.53</v>
      </c>
      <c r="X358" s="14">
        <v>0.62039999999999995</v>
      </c>
      <c r="Y358" s="14">
        <v>0.39</v>
      </c>
      <c r="Z358">
        <v>83</v>
      </c>
      <c r="AA358">
        <v>57</v>
      </c>
      <c r="AB358">
        <v>27</v>
      </c>
      <c r="AC358" s="4">
        <f t="shared" si="11"/>
        <v>0.51346666666666663</v>
      </c>
      <c r="AD358" s="25"/>
      <c r="AE358" s="3"/>
      <c r="AF358" s="3"/>
    </row>
    <row r="359" spans="1:32" x14ac:dyDescent="0.25">
      <c r="A359" s="20">
        <v>46015</v>
      </c>
      <c r="B359" s="3" t="s">
        <v>64</v>
      </c>
      <c r="C359" s="3">
        <f t="shared" si="10"/>
        <v>4</v>
      </c>
      <c r="D359" t="s">
        <v>68</v>
      </c>
      <c r="E359" s="14">
        <v>0.63</v>
      </c>
      <c r="F359" s="14">
        <v>0.41</v>
      </c>
      <c r="G359" s="14">
        <v>0.39</v>
      </c>
      <c r="H359" s="3">
        <v>7</v>
      </c>
      <c r="I359" s="3">
        <v>33</v>
      </c>
      <c r="J359" s="3">
        <v>9</v>
      </c>
      <c r="K359" s="3">
        <v>2</v>
      </c>
      <c r="L359" s="3">
        <v>2</v>
      </c>
      <c r="M359" s="3">
        <v>1</v>
      </c>
      <c r="N359" s="3">
        <v>6</v>
      </c>
      <c r="O359" s="3">
        <v>473</v>
      </c>
      <c r="P359" s="3">
        <v>1929</v>
      </c>
      <c r="Q359" s="3">
        <v>775.5</v>
      </c>
      <c r="R359" s="3">
        <v>2121</v>
      </c>
      <c r="S359" s="14">
        <v>0.98</v>
      </c>
      <c r="T359" s="14">
        <v>0.76</v>
      </c>
      <c r="U359" s="14">
        <v>0.97</v>
      </c>
      <c r="V359" s="14">
        <v>0.06</v>
      </c>
      <c r="W359" s="14">
        <v>0.7</v>
      </c>
      <c r="X359" s="14">
        <v>0.77880000000000005</v>
      </c>
      <c r="Y359" s="14">
        <v>0.73</v>
      </c>
      <c r="Z359">
        <v>90</v>
      </c>
      <c r="AA359">
        <v>55</v>
      </c>
      <c r="AB359">
        <v>25</v>
      </c>
      <c r="AC359" s="4">
        <f t="shared" si="11"/>
        <v>0.73626666666666674</v>
      </c>
      <c r="AD359" s="25"/>
      <c r="AE359" s="3"/>
      <c r="AF359" s="3"/>
    </row>
    <row r="360" spans="1:32" x14ac:dyDescent="0.25">
      <c r="A360" s="20">
        <v>46016</v>
      </c>
      <c r="B360" s="3" t="s">
        <v>64</v>
      </c>
      <c r="C360" s="3">
        <f t="shared" si="10"/>
        <v>4</v>
      </c>
      <c r="D360" t="s">
        <v>69</v>
      </c>
      <c r="E360" s="14">
        <v>0.61</v>
      </c>
      <c r="F360" s="14">
        <v>0.59</v>
      </c>
      <c r="G360" s="14">
        <v>0.49</v>
      </c>
      <c r="H360" s="3">
        <v>39</v>
      </c>
      <c r="I360" s="3">
        <v>21</v>
      </c>
      <c r="J360" s="3">
        <v>1</v>
      </c>
      <c r="K360" s="3">
        <v>3</v>
      </c>
      <c r="L360" s="3">
        <v>9</v>
      </c>
      <c r="M360" s="3">
        <v>1</v>
      </c>
      <c r="N360" s="3">
        <v>9</v>
      </c>
      <c r="O360" s="3">
        <v>509</v>
      </c>
      <c r="P360" s="3">
        <v>288</v>
      </c>
      <c r="Q360" s="3">
        <v>1287</v>
      </c>
      <c r="R360" s="3">
        <v>1415</v>
      </c>
      <c r="S360" s="14">
        <v>1.1599999999999999</v>
      </c>
      <c r="T360" s="14">
        <v>0.7</v>
      </c>
      <c r="U360" s="14">
        <v>0.65</v>
      </c>
      <c r="V360" s="14">
        <v>0.08</v>
      </c>
      <c r="W360" s="14">
        <v>0.82</v>
      </c>
      <c r="X360" s="14">
        <v>0.67320000000000002</v>
      </c>
      <c r="Y360" s="14">
        <v>0.49</v>
      </c>
      <c r="Z360">
        <v>97</v>
      </c>
      <c r="AA360">
        <v>55</v>
      </c>
      <c r="AB360">
        <v>21</v>
      </c>
      <c r="AC360" s="4">
        <f t="shared" si="11"/>
        <v>0.66106666666666658</v>
      </c>
      <c r="AD360" s="25"/>
      <c r="AE360" s="3"/>
      <c r="AF360" s="3"/>
    </row>
    <row r="361" spans="1:32" x14ac:dyDescent="0.25">
      <c r="A361" s="20">
        <v>46017</v>
      </c>
      <c r="B361" s="3" t="s">
        <v>64</v>
      </c>
      <c r="C361" s="3">
        <f t="shared" si="10"/>
        <v>4</v>
      </c>
      <c r="D361" t="s">
        <v>70</v>
      </c>
      <c r="E361" s="14">
        <v>0.79</v>
      </c>
      <c r="F361" s="14">
        <v>0.72</v>
      </c>
      <c r="G361" s="14">
        <v>0.48</v>
      </c>
      <c r="H361" s="3">
        <v>32</v>
      </c>
      <c r="I361" s="3">
        <v>29</v>
      </c>
      <c r="J361" s="3">
        <v>2</v>
      </c>
      <c r="K361" s="3">
        <v>7</v>
      </c>
      <c r="L361" s="3">
        <v>8</v>
      </c>
      <c r="M361" s="3">
        <v>2</v>
      </c>
      <c r="N361" s="3">
        <v>7</v>
      </c>
      <c r="O361" s="3">
        <v>2823</v>
      </c>
      <c r="P361" s="3">
        <v>3183</v>
      </c>
      <c r="Q361" s="3">
        <v>946.5</v>
      </c>
      <c r="R361" s="3">
        <v>3274</v>
      </c>
      <c r="S361" s="14">
        <v>0.24</v>
      </c>
      <c r="T361" s="14">
        <v>1.17</v>
      </c>
      <c r="U361" s="14">
        <v>1.1299999999999999</v>
      </c>
      <c r="V361" s="14">
        <v>0.01</v>
      </c>
      <c r="W361" s="14">
        <v>0.91</v>
      </c>
      <c r="X361" s="14">
        <v>0.87120000000000009</v>
      </c>
      <c r="Y361" s="14">
        <v>0.71</v>
      </c>
      <c r="Z361">
        <v>97</v>
      </c>
      <c r="AA361">
        <v>51</v>
      </c>
      <c r="AB361">
        <v>27</v>
      </c>
      <c r="AC361" s="4">
        <f t="shared" si="11"/>
        <v>0.83040000000000003</v>
      </c>
      <c r="AD361" s="25"/>
      <c r="AE361" s="3"/>
      <c r="AF361" s="3"/>
    </row>
    <row r="362" spans="1:32" x14ac:dyDescent="0.25">
      <c r="A362" s="20">
        <v>46018</v>
      </c>
      <c r="B362" s="3" t="s">
        <v>64</v>
      </c>
      <c r="C362" s="3">
        <f t="shared" si="10"/>
        <v>4</v>
      </c>
      <c r="D362" t="s">
        <v>51</v>
      </c>
      <c r="E362" s="14">
        <v>0.13</v>
      </c>
      <c r="F362" s="14">
        <v>0.61</v>
      </c>
      <c r="G362" s="14">
        <v>0.55000000000000004</v>
      </c>
      <c r="H362" s="3">
        <v>5</v>
      </c>
      <c r="I362" s="3">
        <v>5</v>
      </c>
      <c r="J362" s="3">
        <v>8</v>
      </c>
      <c r="K362" s="3">
        <v>1</v>
      </c>
      <c r="L362" s="3">
        <v>3</v>
      </c>
      <c r="M362" s="3">
        <v>4</v>
      </c>
      <c r="N362" s="3">
        <v>2</v>
      </c>
      <c r="O362" s="3">
        <v>2490</v>
      </c>
      <c r="P362" s="3">
        <v>1614</v>
      </c>
      <c r="Q362" s="3">
        <v>1489.5</v>
      </c>
      <c r="R362" s="3">
        <v>3387</v>
      </c>
      <c r="S362" s="14">
        <v>0.56999999999999995</v>
      </c>
      <c r="T362" s="14">
        <v>0.61</v>
      </c>
      <c r="U362" s="14">
        <v>1.02</v>
      </c>
      <c r="V362" s="14">
        <v>0.02</v>
      </c>
      <c r="W362" s="14">
        <v>0.27450000000000002</v>
      </c>
      <c r="X362" s="14">
        <v>0.30888000000000004</v>
      </c>
      <c r="Y362" s="14">
        <v>0.40500000000000003</v>
      </c>
      <c r="Z362">
        <v>99</v>
      </c>
      <c r="AA362">
        <v>52</v>
      </c>
      <c r="AB362">
        <v>39</v>
      </c>
      <c r="AC362" s="4">
        <f t="shared" si="11"/>
        <v>0.32946000000000003</v>
      </c>
      <c r="AD362" s="25"/>
      <c r="AE362" s="3"/>
      <c r="AF362" s="3"/>
    </row>
    <row r="363" spans="1:32" x14ac:dyDescent="0.25">
      <c r="A363" s="20">
        <v>46019</v>
      </c>
      <c r="B363" s="3" t="s">
        <v>64</v>
      </c>
      <c r="C363" s="3">
        <f t="shared" si="10"/>
        <v>4</v>
      </c>
      <c r="D363" t="s">
        <v>65</v>
      </c>
      <c r="E363" s="14">
        <v>0.23</v>
      </c>
      <c r="F363" s="14">
        <v>0.78</v>
      </c>
      <c r="G363" s="14">
        <v>0.83</v>
      </c>
      <c r="H363" s="3">
        <v>26</v>
      </c>
      <c r="I363" s="3">
        <v>19</v>
      </c>
      <c r="J363" s="3">
        <v>4</v>
      </c>
      <c r="K363" s="3">
        <v>5</v>
      </c>
      <c r="L363" s="3">
        <v>7</v>
      </c>
      <c r="M363" s="3">
        <v>1</v>
      </c>
      <c r="N363" s="3">
        <v>2</v>
      </c>
      <c r="O363" s="3">
        <v>313</v>
      </c>
      <c r="P363" s="3">
        <v>569</v>
      </c>
      <c r="Q363" s="3">
        <v>108</v>
      </c>
      <c r="R363" s="3">
        <v>625</v>
      </c>
      <c r="S363" s="14">
        <v>0.56000000000000005</v>
      </c>
      <c r="T363" s="14">
        <v>0.84</v>
      </c>
      <c r="U363" s="14">
        <v>0.88</v>
      </c>
      <c r="V363" s="14">
        <v>0.03</v>
      </c>
      <c r="W363" s="14">
        <v>0.26550000000000001</v>
      </c>
      <c r="X363" s="14">
        <v>0.39798000000000011</v>
      </c>
      <c r="Y363" s="14">
        <v>0.26550000000000001</v>
      </c>
      <c r="Z363">
        <v>94</v>
      </c>
      <c r="AA363">
        <v>67</v>
      </c>
      <c r="AB363">
        <v>20</v>
      </c>
      <c r="AC363" s="4">
        <f t="shared" si="11"/>
        <v>0.30966000000000005</v>
      </c>
      <c r="AD363" s="25"/>
      <c r="AE363" s="3"/>
      <c r="AF363" s="3"/>
    </row>
    <row r="364" spans="1:32" x14ac:dyDescent="0.25">
      <c r="A364" s="20">
        <v>46020</v>
      </c>
      <c r="B364" s="3" t="s">
        <v>64</v>
      </c>
      <c r="C364" s="3">
        <f t="shared" si="10"/>
        <v>5</v>
      </c>
      <c r="D364" t="s">
        <v>66</v>
      </c>
      <c r="E364" s="14">
        <v>0.89</v>
      </c>
      <c r="F364" s="14">
        <v>0.56000000000000005</v>
      </c>
      <c r="G364" s="14">
        <v>0.79</v>
      </c>
      <c r="H364" s="3">
        <v>11</v>
      </c>
      <c r="I364" s="3">
        <v>40</v>
      </c>
      <c r="J364" s="3">
        <v>12</v>
      </c>
      <c r="K364" s="3">
        <v>12</v>
      </c>
      <c r="L364" s="3">
        <v>2</v>
      </c>
      <c r="M364" s="3">
        <v>4</v>
      </c>
      <c r="N364" s="3">
        <v>9</v>
      </c>
      <c r="O364" s="3">
        <v>2901</v>
      </c>
      <c r="P364" s="3">
        <v>1244</v>
      </c>
      <c r="Q364" s="3">
        <v>1858.5</v>
      </c>
      <c r="R364" s="3">
        <v>3559</v>
      </c>
      <c r="S364" s="14">
        <v>0.63</v>
      </c>
      <c r="T364" s="14">
        <v>0.3</v>
      </c>
      <c r="U364" s="14">
        <v>0.44</v>
      </c>
      <c r="V364" s="14">
        <v>0.1</v>
      </c>
      <c r="W364" s="14">
        <v>0.95</v>
      </c>
      <c r="X364" s="14">
        <v>0.64680000000000004</v>
      </c>
      <c r="Y364" s="14">
        <v>0.64</v>
      </c>
      <c r="Z364">
        <v>90</v>
      </c>
      <c r="AA364">
        <v>56</v>
      </c>
      <c r="AB364">
        <v>38</v>
      </c>
      <c r="AC364" s="4">
        <f t="shared" si="11"/>
        <v>0.74560000000000004</v>
      </c>
      <c r="AD364" s="25"/>
      <c r="AE364" s="3"/>
      <c r="AF364" s="3"/>
    </row>
    <row r="365" spans="1:32" x14ac:dyDescent="0.25">
      <c r="A365" s="20">
        <v>46021</v>
      </c>
      <c r="B365" s="3" t="s">
        <v>64</v>
      </c>
      <c r="C365" s="3">
        <f t="shared" si="10"/>
        <v>5</v>
      </c>
      <c r="D365" t="s">
        <v>67</v>
      </c>
      <c r="E365" s="14">
        <v>0.62</v>
      </c>
      <c r="F365" s="14">
        <v>0.52</v>
      </c>
      <c r="G365" s="14">
        <v>0.78</v>
      </c>
      <c r="H365" s="3">
        <v>16</v>
      </c>
      <c r="I365" s="3">
        <v>13</v>
      </c>
      <c r="J365" s="3">
        <v>11</v>
      </c>
      <c r="K365" s="3">
        <v>8</v>
      </c>
      <c r="L365" s="3">
        <v>6</v>
      </c>
      <c r="M365" s="3">
        <v>5</v>
      </c>
      <c r="N365" s="3">
        <v>1</v>
      </c>
      <c r="O365" s="3">
        <v>2141</v>
      </c>
      <c r="P365" s="3">
        <v>1784</v>
      </c>
      <c r="Q365" s="3">
        <v>1935</v>
      </c>
      <c r="R365" s="3">
        <v>3026</v>
      </c>
      <c r="S365" s="14">
        <v>0.59</v>
      </c>
      <c r="T365" s="14">
        <v>0.76</v>
      </c>
      <c r="U365" s="14">
        <v>0.62</v>
      </c>
      <c r="V365" s="14">
        <v>0.1</v>
      </c>
      <c r="W365" s="14">
        <v>0.8</v>
      </c>
      <c r="X365" s="14">
        <v>0.87120000000000009</v>
      </c>
      <c r="Y365" s="14">
        <v>0.42</v>
      </c>
      <c r="Z365">
        <v>97</v>
      </c>
      <c r="AA365">
        <v>70</v>
      </c>
      <c r="AB365">
        <v>41</v>
      </c>
      <c r="AC365" s="4">
        <f t="shared" si="11"/>
        <v>0.69706666666666672</v>
      </c>
      <c r="AD365" s="25"/>
      <c r="AE365" s="3"/>
      <c r="AF365" s="3"/>
    </row>
    <row r="366" spans="1:32" x14ac:dyDescent="0.25">
      <c r="A366" s="20">
        <v>46022</v>
      </c>
      <c r="B366" s="3" t="s">
        <v>64</v>
      </c>
      <c r="C366" s="3">
        <f t="shared" si="10"/>
        <v>5</v>
      </c>
      <c r="D366" t="s">
        <v>68</v>
      </c>
      <c r="E366" s="14">
        <v>0.86</v>
      </c>
      <c r="F366" s="14">
        <v>0.55000000000000004</v>
      </c>
      <c r="G366" s="14">
        <v>0.82</v>
      </c>
      <c r="H366" s="3">
        <v>33</v>
      </c>
      <c r="I366" s="3">
        <v>13</v>
      </c>
      <c r="J366" s="3">
        <v>12</v>
      </c>
      <c r="K366" s="3">
        <v>5</v>
      </c>
      <c r="L366" s="3">
        <v>2</v>
      </c>
      <c r="M366" s="3">
        <v>2</v>
      </c>
      <c r="N366" s="3">
        <v>11</v>
      </c>
      <c r="O366" s="3">
        <v>642</v>
      </c>
      <c r="P366" s="3">
        <v>304</v>
      </c>
      <c r="Q366" s="3">
        <v>1887</v>
      </c>
      <c r="R366" s="3">
        <v>2075</v>
      </c>
      <c r="S366" s="14">
        <v>1.1100000000000001</v>
      </c>
      <c r="T366" s="14">
        <v>0.6</v>
      </c>
      <c r="U366" s="14">
        <v>0.54</v>
      </c>
      <c r="V366" s="14">
        <v>7.0000000000000007E-2</v>
      </c>
      <c r="W366" s="14">
        <v>0.51</v>
      </c>
      <c r="X366" s="14">
        <v>0.5676000000000001</v>
      </c>
      <c r="Y366" s="14">
        <v>0.6</v>
      </c>
      <c r="Z366">
        <v>90</v>
      </c>
      <c r="AA366">
        <v>57</v>
      </c>
      <c r="AB366">
        <v>39</v>
      </c>
      <c r="AC366" s="4">
        <f t="shared" si="11"/>
        <v>0.55920000000000003</v>
      </c>
      <c r="AD366" s="25"/>
      <c r="AE366" s="3"/>
      <c r="AF366" s="3"/>
    </row>
    <row r="367" spans="1:32" x14ac:dyDescent="0.25">
      <c r="E367" s="14"/>
    </row>
  </sheetData>
  <phoneticPr fontId="2" type="noConversion"/>
  <pageMargins left="0.7" right="0.7" top="0.75" bottom="0.75" header="0.3" footer="0.3"/>
  <ignoredErrors>
    <ignoredError sqref="AC2:AC366"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363C-28A2-4C2D-B591-62E8B7D8F8C4}">
  <dimension ref="A1"/>
  <sheetViews>
    <sheetView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Processing</vt:lpstr>
      <vt:lpstr>Control</vt:lpstr>
      <vt:lpstr>Data</vt:lpstr>
      <vt:lpstr>Resources</vt:lpstr>
      <vt:lpstr>mydata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Serhii Ivanyk</dc:creator>
  <cp:lastModifiedBy>User</cp:lastModifiedBy>
  <dcterms:created xsi:type="dcterms:W3CDTF">2024-06-20T14:50:01Z</dcterms:created>
  <dcterms:modified xsi:type="dcterms:W3CDTF">2026-09-18T10:33:55Z</dcterms:modified>
</cp:coreProperties>
</file>