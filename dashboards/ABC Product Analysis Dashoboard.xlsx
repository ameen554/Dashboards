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c6e5fe5563ab6cfd/Desktop/Dashboard Projects/Dashboard/"/>
    </mc:Choice>
  </mc:AlternateContent>
  <xr:revisionPtr revIDLastSave="1" documentId="13_ncr:1_{D9C200D1-C9B5-486E-AA89-2BE5BE1D1529}" xr6:coauthVersionLast="47" xr6:coauthVersionMax="47" xr10:uidLastSave="{633B14B7-C5C4-43A3-8316-79407073B433}"/>
  <bookViews>
    <workbookView xWindow="-120" yWindow="-120" windowWidth="20730" windowHeight="11310" tabRatio="800" activeTab="1" xr2:uid="{CD3E5A66-4C71-41F9-B0E6-945B2833ABC5}"/>
  </bookViews>
  <sheets>
    <sheet name="DASHBOARD" sheetId="1" r:id="rId1"/>
    <sheet name="Point Of Sales" sheetId="6" r:id="rId2"/>
    <sheet name="Targeting" sheetId="7" r:id="rId3"/>
    <sheet name="Sales Dynamics" sheetId="8" r:id="rId4"/>
    <sheet name="Coverage" sheetId="9" r:id="rId5"/>
    <sheet name="Processing" sheetId="2" r:id="rId6"/>
    <sheet name="Control" sheetId="4" r:id="rId7"/>
    <sheet name="Data" sheetId="3" r:id="rId8"/>
    <sheet name="Resources" sheetId="10" r:id="rId9"/>
  </sheets>
  <definedNames>
    <definedName name="Slicer_Month">#N/A</definedName>
    <definedName name="Slicer_Point_Of_Sales">#N/A</definedName>
    <definedName name="Slicer_Product">#N/A</definedName>
    <definedName name="Slicer_Year">#N/A</definedName>
  </definedNames>
  <calcPr calcId="191029"/>
  <pivotCaches>
    <pivotCache cacheId="7" r:id="rId10"/>
    <pivotCache cacheId="8"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A3" i="2" l="1"/>
  <c r="A5" i="2"/>
  <c r="B5" i="2" s="1"/>
  <c r="A4" i="2"/>
  <c r="B4" i="2" s="1"/>
  <c r="B3" i="2"/>
  <c r="P19" i="2" l="1"/>
  <c r="S19" i="2" s="1" a="1"/>
  <c r="P20" i="2"/>
  <c r="S20" i="2" s="1" a="1"/>
  <c r="P18" i="2"/>
  <c r="S18" i="2" s="1" a="1"/>
  <c r="F22" i="2"/>
  <c r="H22" i="2"/>
  <c r="J22" i="2"/>
  <c r="F14" i="2"/>
  <c r="H14" i="2"/>
  <c r="J14" i="2"/>
  <c r="N2" i="2" a="1"/>
  <c r="O11" i="2" a="1"/>
  <c r="O4" i="2" a="1"/>
  <c r="N7" i="2" a="1"/>
  <c r="O12" i="2" a="1"/>
  <c r="O5" i="2" a="1"/>
  <c r="P9" i="2" a="1"/>
  <c r="P8" i="2" a="1"/>
  <c r="N13" i="2" a="1"/>
  <c r="N6" i="2" a="1"/>
  <c r="O3" i="2" a="1"/>
  <c r="P7" i="2" a="1"/>
  <c r="N12" i="2" a="1"/>
  <c r="N5" i="2" a="1"/>
  <c r="O10" i="2" a="1"/>
  <c r="P2" i="2" a="1"/>
  <c r="N11" i="2" a="1"/>
  <c r="N4" i="2" a="1"/>
  <c r="O9" i="2" a="1"/>
  <c r="P13" i="2" a="1"/>
  <c r="P6" i="2" a="1"/>
  <c r="N10" i="2" a="1"/>
  <c r="N3" i="2" a="1"/>
  <c r="O8" i="2" a="1"/>
  <c r="P12" i="2" a="1"/>
  <c r="P5" i="2" a="1"/>
  <c r="N9" i="2" a="1"/>
  <c r="O2" i="2" a="1"/>
  <c r="O7" i="2" a="1"/>
  <c r="P11" i="2" a="1"/>
  <c r="P4" i="2" a="1"/>
  <c r="N8" i="2" a="1"/>
  <c r="O13" i="2" a="1"/>
  <c r="O6" i="2" a="1"/>
  <c r="P10" i="2" a="1"/>
  <c r="P3" i="2" a="1"/>
  <c r="N1" i="2"/>
  <c r="O1" i="2"/>
  <c r="P1" i="2"/>
  <c r="G20" i="2"/>
  <c r="E4" i="2"/>
  <c r="G21" i="2"/>
  <c r="E3" i="2"/>
  <c r="F17" i="2"/>
  <c r="K16" i="2"/>
  <c r="G7" i="2"/>
  <c r="J20" i="2"/>
  <c r="B8" i="2"/>
  <c r="B11" i="2"/>
  <c r="F8" i="2"/>
  <c r="I17" i="2"/>
  <c r="G6" i="2"/>
  <c r="G8" i="2"/>
  <c r="H16" i="2"/>
  <c r="K18" i="2"/>
  <c r="H15" i="2"/>
  <c r="I18" i="2"/>
  <c r="B10" i="2"/>
  <c r="F21" i="2"/>
  <c r="G4" i="2"/>
  <c r="F20" i="2"/>
  <c r="J16" i="2"/>
  <c r="F4" i="2"/>
  <c r="F19" i="2"/>
  <c r="K19" i="2"/>
  <c r="G18" i="2"/>
  <c r="K15" i="2"/>
  <c r="I15" i="2"/>
  <c r="E8" i="2"/>
  <c r="F6" i="2"/>
  <c r="I16" i="2"/>
  <c r="F5" i="2"/>
  <c r="F18" i="2"/>
  <c r="H21" i="2"/>
  <c r="K21" i="2"/>
  <c r="I19" i="2"/>
  <c r="G17" i="2"/>
  <c r="J19" i="2"/>
  <c r="E7" i="2"/>
  <c r="G3" i="2"/>
  <c r="E5" i="2"/>
  <c r="B9" i="2"/>
  <c r="H18" i="2"/>
  <c r="I20" i="2"/>
  <c r="E6" i="2"/>
  <c r="F3" i="2"/>
  <c r="F16" i="2"/>
  <c r="G5" i="2"/>
  <c r="G19" i="2"/>
  <c r="J18" i="2"/>
  <c r="H20" i="2"/>
  <c r="K17" i="2"/>
  <c r="J17" i="2"/>
  <c r="H19" i="2"/>
  <c r="F7" i="2"/>
  <c r="H17" i="2"/>
  <c r="G15" i="2"/>
  <c r="J21" i="2"/>
  <c r="G16" i="2"/>
  <c r="J15" i="2"/>
  <c r="F15" i="2"/>
  <c r="I21" i="2"/>
  <c r="K20" i="2"/>
  <c r="F9" i="2" l="1"/>
  <c r="H6" i="2"/>
  <c r="H5" i="2"/>
  <c r="G9" i="2"/>
  <c r="H7" i="2"/>
  <c r="H8" i="2"/>
  <c r="H3" i="2"/>
  <c r="E9" i="2"/>
  <c r="H4" i="2"/>
  <c r="C15" i="2"/>
  <c r="Q11" i="2"/>
  <c r="R11" i="2" s="1"/>
  <c r="Q8" i="2"/>
  <c r="S8" i="2" s="1"/>
  <c r="Q7" i="2"/>
  <c r="R7" i="2" s="1"/>
  <c r="Q5" i="2"/>
  <c r="S5" i="2" s="1"/>
  <c r="Q4" i="2"/>
  <c r="R4" i="2" s="1"/>
  <c r="Q13" i="2"/>
  <c r="S13" i="2" s="1"/>
  <c r="Q12" i="2"/>
  <c r="S12" i="2" s="1"/>
  <c r="Q9" i="2"/>
  <c r="S9" i="2" s="1"/>
  <c r="Q10" i="2"/>
  <c r="R10" i="2" s="1"/>
  <c r="Q6" i="2"/>
  <c r="R6" i="2" s="1"/>
  <c r="Q3" i="2"/>
  <c r="T3" i="2" s="1"/>
  <c r="Q2" i="2"/>
  <c r="S2" i="2" s="1"/>
  <c r="C4" i="2"/>
  <c r="C5" i="2"/>
  <c r="C3" i="2"/>
  <c r="E10" i="2" l="1"/>
  <c r="S6" i="2"/>
  <c r="T6" i="2"/>
  <c r="S10" i="2"/>
  <c r="T10" i="2"/>
  <c r="T11" i="2"/>
  <c r="S11" i="2"/>
  <c r="B20" i="2"/>
  <c r="D20" i="2" s="1"/>
  <c r="B18" i="2"/>
  <c r="D18" i="2" s="1"/>
  <c r="B21" i="2"/>
  <c r="D21" i="2" s="1"/>
  <c r="B16" i="2"/>
  <c r="D16" i="2" s="1"/>
  <c r="C18" i="2"/>
  <c r="B19" i="2"/>
  <c r="D19" i="2" s="1"/>
  <c r="C19" i="2"/>
  <c r="C21" i="2"/>
  <c r="C20" i="2"/>
  <c r="C16" i="2"/>
  <c r="B15" i="2"/>
  <c r="D15" i="2" s="1"/>
  <c r="E15" i="2" s="1"/>
  <c r="T8" i="2"/>
  <c r="R8" i="2"/>
  <c r="R3" i="2"/>
  <c r="S3" i="2"/>
  <c r="T7" i="2"/>
  <c r="T4" i="2"/>
  <c r="S4" i="2"/>
  <c r="S7" i="2"/>
  <c r="T9" i="2"/>
  <c r="R9" i="2"/>
  <c r="T13" i="2"/>
  <c r="T2" i="2"/>
  <c r="R12" i="2"/>
  <c r="Q14" i="2"/>
  <c r="R2" i="2"/>
  <c r="R13" i="2"/>
  <c r="T12" i="2"/>
  <c r="R5" i="2"/>
  <c r="T5" i="2"/>
  <c r="E20" i="2" l="1"/>
  <c r="E18" i="2"/>
  <c r="E19" i="2"/>
  <c r="E16" i="2"/>
  <c r="E21" i="2"/>
  <c r="S14" i="2"/>
  <c r="S15" i="2" s="1"/>
  <c r="T14" i="2"/>
  <c r="T15" i="2" s="1"/>
  <c r="R14" i="2"/>
  <c r="R15" i="2" s="1"/>
  <c r="C17" i="2"/>
  <c r="B17" i="2"/>
  <c r="B12" i="2" s="1"/>
  <c r="C12" i="2" s="1"/>
  <c r="D17" i="2" l="1"/>
  <c r="E17" i="2" s="1"/>
  <c r="E22" i="2" s="1"/>
  <c r="E23" i="2" s="1"/>
  <c r="D22" i="2" l="1"/>
  <c r="D23" i="2" s="1"/>
  <c r="F24" i="2"/>
  <c r="F25" i="2" s="1"/>
  <c r="J24" i="2"/>
  <c r="J25" i="2" s="1"/>
  <c r="K24" i="2"/>
  <c r="K25" i="2" s="1"/>
  <c r="I24" i="2"/>
  <c r="I25" i="2" s="1"/>
  <c r="H24" i="2"/>
  <c r="H25" i="2" s="1"/>
  <c r="G24" i="2"/>
  <c r="G25" i="2" s="1"/>
  <c r="E2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<sst xmlns="http://schemas.openxmlformats.org/spreadsheetml/2006/main" count="444" uniqueCount="132">
  <si>
    <t>X</t>
  </si>
  <si>
    <t>Y</t>
  </si>
  <si>
    <t>JAN</t>
  </si>
  <si>
    <t>FEB</t>
  </si>
  <si>
    <t>MAR</t>
  </si>
  <si>
    <t>APR</t>
  </si>
  <si>
    <t>MAY</t>
  </si>
  <si>
    <t>JUN</t>
  </si>
  <si>
    <t>JUL</t>
  </si>
  <si>
    <t>AUG</t>
  </si>
  <si>
    <t>SEP</t>
  </si>
  <si>
    <t>OCT</t>
  </si>
  <si>
    <t>NOV</t>
  </si>
  <si>
    <t>DEC</t>
  </si>
  <si>
    <t>Year</t>
  </si>
  <si>
    <t>Month</t>
  </si>
  <si>
    <t>Result</t>
  </si>
  <si>
    <t>Cross</t>
  </si>
  <si>
    <t>Sales</t>
  </si>
  <si>
    <t>POS Sales 1</t>
  </si>
  <si>
    <t>POS Sales 2</t>
  </si>
  <si>
    <t>POS Sales 3</t>
  </si>
  <si>
    <t>POS Sales 4</t>
  </si>
  <si>
    <t>POS Sales 5</t>
  </si>
  <si>
    <t>POS Sales 6</t>
  </si>
  <si>
    <t>POS Sales 7</t>
  </si>
  <si>
    <t>POS Plan 1</t>
  </si>
  <si>
    <t>POS Plan 2</t>
  </si>
  <si>
    <t>POS Plan 3</t>
  </si>
  <si>
    <t>POS Plan 4</t>
  </si>
  <si>
    <t>POS Plan 5</t>
  </si>
  <si>
    <t>POS Plan 6</t>
  </si>
  <si>
    <t>POS Plan 7</t>
  </si>
  <si>
    <t>Product</t>
  </si>
  <si>
    <t>A</t>
  </si>
  <si>
    <t>C</t>
  </si>
  <si>
    <t>B</t>
  </si>
  <si>
    <t>Region 1</t>
  </si>
  <si>
    <t>Region 2</t>
  </si>
  <si>
    <t>Region 3</t>
  </si>
  <si>
    <t>Region 4</t>
  </si>
  <si>
    <t>Region 5</t>
  </si>
  <si>
    <t>Region 6</t>
  </si>
  <si>
    <t>Regular sales</t>
  </si>
  <si>
    <t>Upselling</t>
  </si>
  <si>
    <t>Online sales</t>
  </si>
  <si>
    <t>Other</t>
  </si>
  <si>
    <t>ABC Product Analysis</t>
  </si>
  <si>
    <t>Row Labels</t>
  </si>
  <si>
    <t>Grand Total</t>
  </si>
  <si>
    <t>Sum of POS Sales 1</t>
  </si>
  <si>
    <t>Sum of POS Sales 2</t>
  </si>
  <si>
    <t>Sum of POS Sales 3</t>
  </si>
  <si>
    <t>Sum of POS Sales 4</t>
  </si>
  <si>
    <t>Sum of POS Sales 5</t>
  </si>
  <si>
    <t>Sum of POS Sales 6</t>
  </si>
  <si>
    <t>Sum of POS Sales 7</t>
  </si>
  <si>
    <t>Sum of POS Plan 1</t>
  </si>
  <si>
    <t>Sum of POS Plan 2</t>
  </si>
  <si>
    <t>Sum of POS Plan 3</t>
  </si>
  <si>
    <t>Sum of POS Plan 4</t>
  </si>
  <si>
    <t>Sum of POS Plan 5</t>
  </si>
  <si>
    <t>Sum of POS Plan 6</t>
  </si>
  <si>
    <t>Sum of POS Plan 7</t>
  </si>
  <si>
    <t>Average of Online sales</t>
  </si>
  <si>
    <t>Average of Regular sales</t>
  </si>
  <si>
    <t>Average of Upselling</t>
  </si>
  <si>
    <t>Average of Other</t>
  </si>
  <si>
    <t>SALES</t>
  </si>
  <si>
    <t>Label</t>
  </si>
  <si>
    <t>POS Sales</t>
  </si>
  <si>
    <t>POS Plan</t>
  </si>
  <si>
    <t>POS 1</t>
  </si>
  <si>
    <t>POS 2</t>
  </si>
  <si>
    <t>POS 3</t>
  </si>
  <si>
    <t>POS 4</t>
  </si>
  <si>
    <t>POS 5</t>
  </si>
  <si>
    <t>POS 6</t>
  </si>
  <si>
    <t>POS 7</t>
  </si>
  <si>
    <t>Point Of Sales</t>
  </si>
  <si>
    <t>Sales Dynamics</t>
  </si>
  <si>
    <t>Target Audience Intersection</t>
  </si>
  <si>
    <t>Coverage of Regions</t>
  </si>
  <si>
    <t>Select</t>
  </si>
  <si>
    <t>Cursor</t>
  </si>
  <si>
    <t>Average of Region 1</t>
  </si>
  <si>
    <t>Average of Region 2</t>
  </si>
  <si>
    <t>Average of Region 3</t>
  </si>
  <si>
    <t>Average of Region 4</t>
  </si>
  <si>
    <t>Average of Region 5</t>
  </si>
  <si>
    <t>Average of Region 6</t>
  </si>
  <si>
    <t>Sales Plan</t>
  </si>
  <si>
    <t>Done</t>
  </si>
  <si>
    <t>Total</t>
  </si>
  <si>
    <t>Plan</t>
  </si>
  <si>
    <t>Date</t>
  </si>
  <si>
    <t>JANUARY</t>
  </si>
  <si>
    <t>FEBRUARY</t>
  </si>
  <si>
    <t>MARCH</t>
  </si>
  <si>
    <t>APRIL</t>
  </si>
  <si>
    <t>JUNE</t>
  </si>
  <si>
    <t>JULY</t>
  </si>
  <si>
    <t>AUGUST</t>
  </si>
  <si>
    <t>SEPTEMBER</t>
  </si>
  <si>
    <t>OCTOBER</t>
  </si>
  <si>
    <t>NOVEMBER</t>
  </si>
  <si>
    <t>DECEMBER</t>
  </si>
  <si>
    <t>Total Coverage</t>
  </si>
  <si>
    <t>Max</t>
  </si>
  <si>
    <t>0C89CE</t>
  </si>
  <si>
    <t>05294B</t>
  </si>
  <si>
    <t>06A9E2</t>
  </si>
  <si>
    <t>0075AA</t>
  </si>
  <si>
    <t>CBF7FF</t>
  </si>
  <si>
    <t>0865A0</t>
  </si>
  <si>
    <t>A3BACA</t>
  </si>
  <si>
    <t>065A7C</t>
  </si>
  <si>
    <t>E5ECF0</t>
  </si>
  <si>
    <t>18C1E7</t>
  </si>
  <si>
    <t>3EA8F3</t>
  </si>
  <si>
    <t>0E81D8</t>
  </si>
  <si>
    <t>EC7B49</t>
  </si>
  <si>
    <t>DA0F03</t>
  </si>
  <si>
    <t>BF0601</t>
  </si>
  <si>
    <t>00EDE3</t>
  </si>
  <si>
    <t>00A9A1</t>
  </si>
  <si>
    <t>00706B</t>
  </si>
  <si>
    <t>C923A1</t>
  </si>
  <si>
    <t>77037E</t>
  </si>
  <si>
    <t>7B007A</t>
  </si>
  <si>
    <t>Average of Result</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</si>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</sst>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5"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s>
  <fills count="2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05294B"/>
        <bgColor indexed="64"/>
      </patternFill>
    </fill>
    <fill>
      <patternFill patternType="solid">
        <fgColor rgb="FF06A9E2"/>
        <bgColor indexed="64"/>
      </patternFill>
    </fill>
    <fill>
      <patternFill patternType="solid">
        <fgColor rgb="FF0075AA"/>
        <bgColor indexed="64"/>
      </patternFill>
    </fill>
    <fill>
      <patternFill patternType="solid">
        <fgColor rgb="FFCBF7FF"/>
        <bgColor indexed="64"/>
      </patternFill>
    </fill>
    <fill>
      <patternFill patternType="solid">
        <fgColor rgb="FF0C89CE"/>
        <bgColor indexed="64"/>
      </patternFill>
    </fill>
    <fill>
      <patternFill patternType="solid">
        <fgColor rgb="FF0865A0"/>
        <bgColor indexed="64"/>
      </patternFill>
    </fill>
    <fill>
      <patternFill patternType="solid">
        <fgColor rgb="FFA3BACA"/>
        <bgColor indexed="64"/>
      </patternFill>
    </fill>
    <fill>
      <patternFill patternType="solid">
        <fgColor rgb="FF065A7C"/>
        <bgColor indexed="64"/>
      </patternFill>
    </fill>
    <fill>
      <patternFill patternType="solid">
        <fgColor rgb="FFE5ECF0"/>
        <bgColor indexed="64"/>
      </patternFill>
    </fill>
    <fill>
      <patternFill patternType="solid">
        <fgColor rgb="FF18C1E7"/>
        <bgColor indexed="64"/>
      </patternFill>
    </fill>
    <fill>
      <patternFill patternType="solid">
        <fgColor rgb="FF3EA8F3"/>
        <bgColor indexed="64"/>
      </patternFill>
    </fill>
    <fill>
      <patternFill patternType="solid">
        <fgColor rgb="FF0E81D8"/>
        <bgColor indexed="64"/>
      </patternFill>
    </fill>
    <fill>
      <patternFill patternType="solid">
        <fgColor rgb="FFEC7B49"/>
        <bgColor indexed="64"/>
      </patternFill>
    </fill>
    <fill>
      <patternFill patternType="solid">
        <fgColor rgb="FFDA0F03"/>
        <bgColor indexed="64"/>
      </patternFill>
    </fill>
    <fill>
      <patternFill patternType="solid">
        <fgColor rgb="FFBF0601"/>
        <bgColor indexed="64"/>
      </patternFill>
    </fill>
    <fill>
      <patternFill patternType="solid">
        <fgColor rgb="FF00EDE3"/>
        <bgColor indexed="64"/>
      </patternFill>
    </fill>
    <fill>
      <patternFill patternType="solid">
        <fgColor rgb="FF00A9A1"/>
        <bgColor indexed="64"/>
      </patternFill>
    </fill>
    <fill>
      <patternFill patternType="solid">
        <fgColor rgb="FF00706B"/>
        <bgColor indexed="64"/>
      </patternFill>
    </fill>
    <fill>
      <patternFill patternType="solid">
        <fgColor rgb="FFC923A1"/>
        <bgColor indexed="64"/>
      </patternFill>
    </fill>
    <fill>
      <patternFill patternType="solid">
        <fgColor rgb="FF77037E"/>
        <bgColor indexed="64"/>
      </patternFill>
    </fill>
    <fill>
      <patternFill patternType="solid">
        <fgColor rgb="FF4D007A"/>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45">
    <xf numFmtId="0" fontId="0" fillId="0" borderId="0" xfId="0"/>
    <xf numFmtId="0" fontId="0" fillId="2" borderId="0" xfId="0" applyFill="1"/>
    <xf numFmtId="9" fontId="0" fillId="0" borderId="0" xfId="0" applyNumberFormat="1"/>
    <xf numFmtId="9" fontId="0" fillId="0" borderId="0" xfId="1" applyFon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0" fontId="0" fillId="0" borderId="0" xfId="0" applyAlignment="1">
      <alignment horizontal="left"/>
    </xf>
    <xf numFmtId="9" fontId="0" fillId="0" borderId="0" xfId="0" applyNumberFormat="1" applyAlignment="1">
      <alignment horizontal="center"/>
    </xf>
    <xf numFmtId="0" fontId="0" fillId="0" borderId="0" xfId="1" applyNumberFormat="1" applyFont="1" applyAlignment="1">
      <alignment horizontal="center"/>
    </xf>
    <xf numFmtId="0" fontId="0" fillId="0" borderId="0" xfId="0" pivotButton="1"/>
    <xf numFmtId="9" fontId="0" fillId="3" borderId="1" xfId="0" applyNumberFormat="1" applyFill="1" applyBorder="1" applyAlignment="1">
      <alignment horizontal="center"/>
    </xf>
    <xf numFmtId="9" fontId="0" fillId="0" borderId="1" xfId="1" applyFont="1" applyBorder="1" applyAlignment="1">
      <alignment horizontal="center"/>
    </xf>
    <xf numFmtId="9" fontId="0" fillId="3" borderId="1" xfId="1" applyFont="1" applyFill="1" applyBorder="1" applyAlignment="1">
      <alignment horizontal="center"/>
    </xf>
    <xf numFmtId="164" fontId="0" fillId="0" borderId="0" xfId="2" applyNumberFormat="1" applyFont="1"/>
    <xf numFmtId="0" fontId="0" fillId="0" borderId="0" xfId="0" applyAlignment="1">
      <alignment horizontal="right"/>
    </xf>
    <xf numFmtId="9" fontId="0" fillId="0" borderId="0" xfId="1" applyFont="1"/>
    <xf numFmtId="165" fontId="0" fillId="0" borderId="0" xfId="0" applyNumberFormat="1"/>
    <xf numFmtId="9" fontId="3" fillId="0" borderId="0" xfId="0" applyNumberFormat="1" applyFont="1" applyAlignment="1">
      <alignment horizontal="center"/>
    </xf>
    <xf numFmtId="0" fontId="3" fillId="0" borderId="0" xfId="0" applyFont="1" applyAlignment="1">
      <alignment horizontal="right"/>
    </xf>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4" fillId="2" borderId="0" xfId="3" applyFill="1"/>
    <xf numFmtId="0" fontId="0" fillId="2" borderId="0" xfId="0" applyFill="1"/>
    <xf numFmtId="0" fontId="0" fillId="0" borderId="0" xfId="0" applyAlignment="1">
      <alignment horizontal="center"/>
    </xf>
    <xf numFmtId="0" fontId="0" fillId="0" borderId="0" xfId="0" applyNumberFormat="1"/>
  </cellXfs>
  <cellStyles count="4">
    <cellStyle name="Currency" xfId="2" builtinId="4"/>
    <cellStyle name="Hyperlink" xfId="3" builtinId="8"/>
    <cellStyle name="Normal" xfId="0" builtinId="0"/>
    <cellStyle name="Percent" xfId="1" builtinId="5"/>
  </cellStyles>
  <dxfs count="97">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3" formatCode="0%"/>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rgb="FF05294B"/>
        </patternFill>
      </fill>
      <border diagonalUp="0" diagonalDown="0">
        <left/>
        <right/>
        <top/>
        <bottom/>
        <vertical/>
        <horizontal/>
      </border>
    </dxf>
  </dxfs>
  <tableStyles count="2" defaultTableStyle="TableStyleMedium2" defaultPivotStyle="PivotStyleLight16">
    <tableStyle name="SlicerStyleLight1 2" pivot="0" table="0" count="10" xr9:uid="{0683BB10-1596-4CFC-8126-2779519A230B}">
      <tableStyleElement type="wholeTable" dxfId="96"/>
      <tableStyleElement type="headerRow" dxfId="95"/>
    </tableStyle>
    <tableStyle name="SlicerStyleLight1 3" pivot="0" table="0" count="10" xr9:uid="{DCBBC5DD-8A0D-465B-896B-25E28C5380DA}">
      <tableStyleElement type="wholeTable" dxfId="94"/>
      <tableStyleElement type="headerRow" dxfId="93"/>
    </tableStyle>
  </tableStyles>
  <colors>
    <mruColors>
      <color rgb="FF0E81D8"/>
      <color rgb="FFBF0601"/>
      <color rgb="FF4D007A"/>
      <color rgb="FF7B007A"/>
      <color rgb="FF77037E"/>
      <color rgb="FFC923A1"/>
      <color rgb="FF00706B"/>
      <color rgb="FF00A9A1"/>
      <color rgb="FF00EDE3"/>
      <color rgb="FFDA0F0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3" tint="0.24994659260841701"/>
          </font>
          <fill>
            <patternFill patternType="solid">
              <fgColor theme="4" tint="0.59999389629810485"/>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24994659260841701"/>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patternFill patternType="solid">
              <fgColor theme="4" tint="0.59999389629810485"/>
              <bgColor rgb="FF06A9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rgb="FFFFFFFF"/>
              <bgColor rgb="FF05294B"/>
            </patternFill>
          </fill>
          <border>
            <left style="thin">
              <color rgb="FF0075AA"/>
            </left>
            <right style="thin">
              <color rgb="FF0075AA"/>
            </right>
            <top style="thin">
              <color rgb="FF0075AA"/>
            </top>
            <bottom style="thin">
              <color rgb="FF0075AA"/>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C8CA"/>
            </a:solidFill>
            <a:ln>
              <a:noFill/>
            </a:ln>
          </c:spPr>
          <c:dPt>
            <c:idx val="0"/>
            <c:bubble3D val="0"/>
            <c:spPr>
              <a:solidFill>
                <a:srgbClr val="CBF7F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E9D3-442A-A103-C601DA0753CC}"/>
              </c:ext>
            </c:extLst>
          </c:dPt>
          <c:dPt>
            <c:idx val="1"/>
            <c:bubble3D val="0"/>
            <c:spPr>
              <a:noFill/>
              <a:ln w="19050">
                <a:noFill/>
              </a:ln>
              <a:effectLst/>
            </c:spPr>
            <c:extLst>
              <c:ext xmlns:c16="http://schemas.microsoft.com/office/drawing/2014/chart" uri="{C3380CC4-5D6E-409C-BE32-E72D297353CC}">
                <c16:uniqueId val="{00000003-E9D3-442A-A103-C601DA0753CC}"/>
              </c:ext>
            </c:extLst>
          </c:dPt>
          <c:val>
            <c:numRef>
              <c:f>Processing!$B$3:$C$3</c:f>
              <c:numCache>
                <c:formatCode>0%</c:formatCode>
                <c:ptCount val="2"/>
                <c:pt idx="0">
                  <c:v>0.44</c:v>
                </c:pt>
                <c:pt idx="1">
                  <c:v>0.56000000000000005</c:v>
                </c:pt>
              </c:numCache>
            </c:numRef>
          </c:val>
          <c:extLst>
            <c:ext xmlns:c16="http://schemas.microsoft.com/office/drawing/2014/chart" uri="{C3380CC4-5D6E-409C-BE32-E72D297353CC}">
              <c16:uniqueId val="{00000004-E9D3-442A-A103-C601DA0753CC}"/>
            </c:ext>
          </c:extLst>
        </c:ser>
        <c:ser>
          <c:idx val="1"/>
          <c:order val="1"/>
          <c:spPr>
            <a:ln>
              <a:noFill/>
            </a:ln>
          </c:spPr>
          <c:dPt>
            <c:idx val="0"/>
            <c:bubble3D val="0"/>
            <c:spPr>
              <a:solidFill>
                <a:srgbClr val="0075A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E9D3-442A-A103-C601DA0753CC}"/>
              </c:ext>
            </c:extLst>
          </c:dPt>
          <c:dPt>
            <c:idx val="1"/>
            <c:bubble3D val="0"/>
            <c:spPr>
              <a:noFill/>
              <a:ln w="19050">
                <a:noFill/>
              </a:ln>
              <a:effectLst/>
            </c:spPr>
            <c:extLst>
              <c:ext xmlns:c16="http://schemas.microsoft.com/office/drawing/2014/chart" uri="{C3380CC4-5D6E-409C-BE32-E72D297353CC}">
                <c16:uniqueId val="{00000008-E9D3-442A-A103-C601DA0753CC}"/>
              </c:ext>
            </c:extLst>
          </c:dPt>
          <c:val>
            <c:numRef>
              <c:f>Processing!$B$4:$C$4</c:f>
              <c:numCache>
                <c:formatCode>0%</c:formatCode>
                <c:ptCount val="2"/>
                <c:pt idx="0">
                  <c:v>0.31</c:v>
                </c:pt>
                <c:pt idx="1">
                  <c:v>0.69</c:v>
                </c:pt>
              </c:numCache>
            </c:numRef>
          </c:val>
          <c:extLst>
            <c:ext xmlns:c16="http://schemas.microsoft.com/office/drawing/2014/chart" uri="{C3380CC4-5D6E-409C-BE32-E72D297353CC}">
              <c16:uniqueId val="{00000009-E9D3-442A-A103-C601DA0753CC}"/>
            </c:ext>
          </c:extLst>
        </c:ser>
        <c:ser>
          <c:idx val="2"/>
          <c:order val="2"/>
          <c:spPr>
            <a:ln>
              <a:noFill/>
            </a:ln>
          </c:spPr>
          <c:dPt>
            <c:idx val="0"/>
            <c:bubble3D val="0"/>
            <c:spPr>
              <a:solidFill>
                <a:srgbClr val="06A9E2"/>
              </a:soli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E9D3-442A-A103-C601DA0753CC}"/>
              </c:ext>
            </c:extLst>
          </c:dPt>
          <c:dPt>
            <c:idx val="1"/>
            <c:bubble3D val="0"/>
            <c:spPr>
              <a:noFill/>
              <a:ln w="19050">
                <a:noFill/>
              </a:ln>
              <a:effectLst/>
            </c:spPr>
            <c:extLst>
              <c:ext xmlns:c16="http://schemas.microsoft.com/office/drawing/2014/chart" uri="{C3380CC4-5D6E-409C-BE32-E72D297353CC}">
                <c16:uniqueId val="{0000000D-E9D3-442A-A103-C601DA0753CC}"/>
              </c:ext>
            </c:extLst>
          </c:dPt>
          <c:val>
            <c:numRef>
              <c:f>Processing!$B$5:$C$5</c:f>
              <c:numCache>
                <c:formatCode>0%</c:formatCode>
                <c:ptCount val="2"/>
                <c:pt idx="0">
                  <c:v>0.64</c:v>
                </c:pt>
                <c:pt idx="1">
                  <c:v>0.36</c:v>
                </c:pt>
              </c:numCache>
            </c:numRef>
          </c:val>
          <c:extLst>
            <c:ext xmlns:c16="http://schemas.microsoft.com/office/drawing/2014/chart" uri="{C3380CC4-5D6E-409C-BE32-E72D297353CC}">
              <c16:uniqueId val="{0000000E-E9D3-442A-A103-C601DA0753CC}"/>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CBF7FF"/>
              </a:solidFill>
              <a:ln w="19050">
                <a:noFill/>
              </a:ln>
              <a:effectLst/>
            </c:spPr>
            <c:extLst>
              <c:ext xmlns:c16="http://schemas.microsoft.com/office/drawing/2014/chart" uri="{C3380CC4-5D6E-409C-BE32-E72D297353CC}">
                <c16:uniqueId val="{00000001-0278-474E-B9FB-C71C6ECE9B3B}"/>
              </c:ext>
            </c:extLst>
          </c:dPt>
          <c:dPt>
            <c:idx val="1"/>
            <c:bubble3D val="0"/>
            <c:spPr>
              <a:solidFill>
                <a:srgbClr val="0865A0"/>
              </a:solidFill>
              <a:ln w="19050">
                <a:noFill/>
              </a:ln>
              <a:effectLst/>
            </c:spPr>
            <c:extLst>
              <c:ext xmlns:c16="http://schemas.microsoft.com/office/drawing/2014/chart" uri="{C3380CC4-5D6E-409C-BE32-E72D297353CC}">
                <c16:uniqueId val="{00000003-0278-474E-B9FB-C71C6ECE9B3B}"/>
              </c:ext>
            </c:extLst>
          </c:dPt>
          <c:dPt>
            <c:idx val="2"/>
            <c:bubble3D val="0"/>
            <c:spPr>
              <a:solidFill>
                <a:srgbClr val="A3BACA"/>
              </a:solidFill>
              <a:ln w="19050">
                <a:noFill/>
              </a:ln>
              <a:effectLst/>
            </c:spPr>
            <c:extLst>
              <c:ext xmlns:c16="http://schemas.microsoft.com/office/drawing/2014/chart" uri="{C3380CC4-5D6E-409C-BE32-E72D297353CC}">
                <c16:uniqueId val="{00000005-0278-474E-B9FB-C71C6ECE9B3B}"/>
              </c:ext>
            </c:extLst>
          </c:dPt>
          <c:dPt>
            <c:idx val="3"/>
            <c:bubble3D val="0"/>
            <c:spPr>
              <a:solidFill>
                <a:srgbClr val="065A7C"/>
              </a:solidFill>
              <a:ln w="19050">
                <a:noFill/>
              </a:ln>
              <a:effectLst/>
            </c:spPr>
            <c:extLst>
              <c:ext xmlns:c16="http://schemas.microsoft.com/office/drawing/2014/chart" uri="{C3380CC4-5D6E-409C-BE32-E72D297353CC}">
                <c16:uniqueId val="{00000007-0278-474E-B9FB-C71C6ECE9B3B}"/>
              </c:ext>
            </c:extLst>
          </c:dPt>
          <c:cat>
            <c:strRef>
              <c:f>Processing!$A$8:$A$11</c:f>
              <c:strCache>
                <c:ptCount val="4"/>
                <c:pt idx="0">
                  <c:v>Online sales</c:v>
                </c:pt>
                <c:pt idx="1">
                  <c:v>Regular sales</c:v>
                </c:pt>
                <c:pt idx="2">
                  <c:v>Upselling</c:v>
                </c:pt>
                <c:pt idx="3">
                  <c:v>Other</c:v>
                </c:pt>
              </c:strCache>
            </c:strRef>
          </c:cat>
          <c:val>
            <c:numRef>
              <c:f>Processing!$B$8:$B$11</c:f>
              <c:numCache>
                <c:formatCode>0%</c:formatCode>
                <c:ptCount val="4"/>
                <c:pt idx="0">
                  <c:v>0.29000000000000004</c:v>
                </c:pt>
                <c:pt idx="1">
                  <c:v>0.3066666666666667</c:v>
                </c:pt>
                <c:pt idx="2">
                  <c:v>0.25</c:v>
                </c:pt>
                <c:pt idx="3">
                  <c:v>0.15333333333333335</c:v>
                </c:pt>
              </c:numCache>
            </c:numRef>
          </c:val>
          <c:extLst>
            <c:ext xmlns:c16="http://schemas.microsoft.com/office/drawing/2014/chart" uri="{C3380CC4-5D6E-409C-BE32-E72D297353CC}">
              <c16:uniqueId val="{00000008-0278-474E-B9FB-C71C6ECE9B3B}"/>
            </c:ext>
          </c:extLst>
        </c:ser>
        <c:dLbls>
          <c:showLegendKey val="0"/>
          <c:showVal val="0"/>
          <c:showCatName val="0"/>
          <c:showSerName val="0"/>
          <c:showPercent val="0"/>
          <c:showBubbleSize val="0"/>
          <c:showLeaderLines val="1"/>
        </c:dLbls>
        <c:firstSliceAng val="30"/>
      </c:pieChart>
      <c:spPr>
        <a:noFill/>
        <a:ln>
          <a:noFill/>
        </a:ln>
        <a:effectLst/>
      </c:spPr>
    </c:plotArea>
    <c:legend>
      <c:legendPos val="l"/>
      <c:layout>
        <c:manualLayout>
          <c:xMode val="edge"/>
          <c:yMode val="edge"/>
          <c:x val="0"/>
          <c:y val="0.42744414410885206"/>
          <c:w val="0.28677298311444654"/>
          <c:h val="0.5597054099580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Processing!$A$14</c:f>
          <c:strCache>
            <c:ptCount val="1"/>
            <c:pt idx="0">
              <c:v>Point Of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ru-RU"/>
        </a:p>
      </c:txPr>
    </c:title>
    <c:autoTitleDeleted val="0"/>
    <c:plotArea>
      <c:layout>
        <c:manualLayout>
          <c:layoutTarget val="inner"/>
          <c:xMode val="edge"/>
          <c:yMode val="edge"/>
          <c:x val="3.1554790590935168E-2"/>
          <c:y val="0.14591722595078299"/>
          <c:w val="0.93689041881812962"/>
          <c:h val="0.72478597473973483"/>
        </c:manualLayout>
      </c:layout>
      <c:barChart>
        <c:barDir val="col"/>
        <c:grouping val="clustered"/>
        <c:varyColors val="0"/>
        <c:ser>
          <c:idx val="1"/>
          <c:order val="0"/>
          <c:spPr>
            <a:solidFill>
              <a:srgbClr val="A3BACA">
                <a:alpha val="28000"/>
              </a:srgbClr>
            </a:solidFill>
            <a:ln>
              <a:noFill/>
            </a:ln>
            <a:effectLst/>
          </c:spPr>
          <c:invertIfNegative val="0"/>
          <c:cat>
            <c:strRef>
              <c:f>Processing!$A$15:$A$21</c:f>
              <c:strCache>
                <c:ptCount val="7"/>
                <c:pt idx="0">
                  <c:v>POS 1</c:v>
                </c:pt>
                <c:pt idx="1">
                  <c:v>POS 2</c:v>
                </c:pt>
                <c:pt idx="2">
                  <c:v>POS 3</c:v>
                </c:pt>
                <c:pt idx="3">
                  <c:v>POS 4</c:v>
                </c:pt>
                <c:pt idx="4">
                  <c:v>POS 5</c:v>
                </c:pt>
                <c:pt idx="5">
                  <c:v>POS 6</c:v>
                </c:pt>
                <c:pt idx="6">
                  <c:v>POS 7</c:v>
                </c:pt>
              </c:strCache>
            </c:strRef>
          </c:cat>
          <c:val>
            <c:numRef>
              <c:f>Processing!$C$15:$C$21</c:f>
              <c:numCache>
                <c:formatCode>General</c:formatCode>
                <c:ptCount val="7"/>
                <c:pt idx="0">
                  <c:v>535</c:v>
                </c:pt>
                <c:pt idx="1">
                  <c:v>306</c:v>
                </c:pt>
                <c:pt idx="2">
                  <c:v>215</c:v>
                </c:pt>
                <c:pt idx="3">
                  <c:v>567</c:v>
                </c:pt>
                <c:pt idx="4">
                  <c:v>281</c:v>
                </c:pt>
                <c:pt idx="5">
                  <c:v>278</c:v>
                </c:pt>
                <c:pt idx="6">
                  <c:v>365</c:v>
                </c:pt>
              </c:numCache>
            </c:numRef>
          </c:val>
          <c:extLst>
            <c:ext xmlns:c16="http://schemas.microsoft.com/office/drawing/2014/chart" uri="{C3380CC4-5D6E-409C-BE32-E72D297353CC}">
              <c16:uniqueId val="{00000001-A0DA-41E5-94D0-59EEF3E49AA3}"/>
            </c:ext>
          </c:extLst>
        </c:ser>
        <c:ser>
          <c:idx val="0"/>
          <c:order val="1"/>
          <c:spPr>
            <a:solidFill>
              <a:srgbClr val="A3BACA"/>
            </a:solidFill>
            <a:ln>
              <a:noFill/>
            </a:ln>
            <a:effectLst/>
          </c:spPr>
          <c:invertIfNegative val="0"/>
          <c:dPt>
            <c:idx val="3"/>
            <c:invertIfNegative val="0"/>
            <c:bubble3D val="0"/>
            <c:spPr>
              <a:solidFill>
                <a:srgbClr val="A3BACA"/>
              </a:solidFill>
              <a:ln>
                <a:noFill/>
              </a:ln>
              <a:effectLst/>
            </c:spPr>
            <c:extLst>
              <c:ext xmlns:c16="http://schemas.microsoft.com/office/drawing/2014/chart" uri="{C3380CC4-5D6E-409C-BE32-E72D297353CC}">
                <c16:uniqueId val="{00000002-A0DA-41E5-94D0-59EEF3E49AA3}"/>
              </c:ext>
            </c:extLst>
          </c:dPt>
          <c:cat>
            <c:strRef>
              <c:f>Processing!$A$15:$A$21</c:f>
              <c:strCache>
                <c:ptCount val="7"/>
                <c:pt idx="0">
                  <c:v>POS 1</c:v>
                </c:pt>
                <c:pt idx="1">
                  <c:v>POS 2</c:v>
                </c:pt>
                <c:pt idx="2">
                  <c:v>POS 3</c:v>
                </c:pt>
                <c:pt idx="3">
                  <c:v>POS 4</c:v>
                </c:pt>
                <c:pt idx="4">
                  <c:v>POS 5</c:v>
                </c:pt>
                <c:pt idx="5">
                  <c:v>POS 6</c:v>
                </c:pt>
                <c:pt idx="6">
                  <c:v>POS 7</c:v>
                </c:pt>
              </c:strCache>
            </c:strRef>
          </c:cat>
          <c:val>
            <c:numRef>
              <c:f>Processing!$B$15:$B$21</c:f>
              <c:numCache>
                <c:formatCode>General</c:formatCode>
                <c:ptCount val="7"/>
                <c:pt idx="0">
                  <c:v>170</c:v>
                </c:pt>
                <c:pt idx="1">
                  <c:v>401</c:v>
                </c:pt>
                <c:pt idx="2">
                  <c:v>360</c:v>
                </c:pt>
                <c:pt idx="3">
                  <c:v>363</c:v>
                </c:pt>
                <c:pt idx="4">
                  <c:v>340</c:v>
                </c:pt>
                <c:pt idx="5">
                  <c:v>87</c:v>
                </c:pt>
                <c:pt idx="6">
                  <c:v>289</c:v>
                </c:pt>
              </c:numCache>
            </c:numRef>
          </c:val>
          <c:extLst>
            <c:ext xmlns:c16="http://schemas.microsoft.com/office/drawing/2014/chart" uri="{C3380CC4-5D6E-409C-BE32-E72D297353CC}">
              <c16:uniqueId val="{00000000-A0DA-41E5-94D0-59EEF3E49AA3}"/>
            </c:ext>
          </c:extLst>
        </c:ser>
        <c:ser>
          <c:idx val="2"/>
          <c:order val="2"/>
          <c:spPr>
            <a:solidFill>
              <a:srgbClr val="0075AA"/>
            </a:solidFill>
            <a:ln>
              <a:noFill/>
            </a:ln>
            <a:effectLst/>
          </c:spPr>
          <c:invertIfNegative val="0"/>
          <c:val>
            <c:numRef>
              <c:f>Processing!$D$15:$D$21</c:f>
              <c:numCache>
                <c:formatCode>General</c:formatCode>
                <c:ptCount val="7"/>
                <c:pt idx="0">
                  <c:v>0</c:v>
                </c:pt>
                <c:pt idx="1">
                  <c:v>0</c:v>
                </c:pt>
                <c:pt idx="2">
                  <c:v>0</c:v>
                </c:pt>
                <c:pt idx="3">
                  <c:v>0</c:v>
                </c:pt>
                <c:pt idx="4">
                  <c:v>0</c:v>
                </c:pt>
                <c:pt idx="5">
                  <c:v>0</c:v>
                </c:pt>
                <c:pt idx="6">
                  <c:v>289</c:v>
                </c:pt>
              </c:numCache>
            </c:numRef>
          </c:val>
          <c:extLst>
            <c:ext xmlns:c16="http://schemas.microsoft.com/office/drawing/2014/chart" uri="{C3380CC4-5D6E-409C-BE32-E72D297353CC}">
              <c16:uniqueId val="{00000002-7B22-41E8-86AC-0FCF9AA3BF24}"/>
            </c:ext>
          </c:extLst>
        </c:ser>
        <c:dLbls>
          <c:showLegendKey val="0"/>
          <c:showVal val="0"/>
          <c:showCatName val="0"/>
          <c:showSerName val="0"/>
          <c:showPercent val="0"/>
          <c:showBubbleSize val="0"/>
        </c:dLbls>
        <c:gapWidth val="140"/>
        <c:overlap val="100"/>
        <c:axId val="529454096"/>
        <c:axId val="529454576"/>
      </c:barChart>
      <c:catAx>
        <c:axId val="5294540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29454576"/>
        <c:crosses val="autoZero"/>
        <c:auto val="1"/>
        <c:lblAlgn val="ctr"/>
        <c:lblOffset val="100"/>
        <c:noMultiLvlLbl val="0"/>
      </c:catAx>
      <c:valAx>
        <c:axId val="529454576"/>
        <c:scaling>
          <c:orientation val="minMax"/>
        </c:scaling>
        <c:delete val="1"/>
        <c:axPos val="l"/>
        <c:numFmt formatCode="General" sourceLinked="1"/>
        <c:majorTickMark val="out"/>
        <c:minorTickMark val="none"/>
        <c:tickLblPos val="nextTo"/>
        <c:crossAx val="52945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rgbClr val="06A9E2"/>
            </a:solidFill>
            <a:ln>
              <a:noFill/>
            </a:ln>
            <a:effectLst/>
          </c:spPr>
          <c:val>
            <c:numRef>
              <c:f>Processing!$E$3:$E$8</c:f>
              <c:numCache>
                <c:formatCode>0%</c:formatCode>
                <c:ptCount val="6"/>
                <c:pt idx="0">
                  <c:v>0.27</c:v>
                </c:pt>
                <c:pt idx="1">
                  <c:v>0.54</c:v>
                </c:pt>
                <c:pt idx="2">
                  <c:v>0.25</c:v>
                </c:pt>
                <c:pt idx="3">
                  <c:v>0.33</c:v>
                </c:pt>
                <c:pt idx="4">
                  <c:v>0.36</c:v>
                </c:pt>
                <c:pt idx="5">
                  <c:v>0.75</c:v>
                </c:pt>
              </c:numCache>
            </c:numRef>
          </c:val>
          <c:extLst>
            <c:ext xmlns:c16="http://schemas.microsoft.com/office/drawing/2014/chart" uri="{C3380CC4-5D6E-409C-BE32-E72D297353CC}">
              <c16:uniqueId val="{00000000-5E6B-4FEF-92EC-7F0099E4D7C3}"/>
            </c:ext>
          </c:extLst>
        </c:ser>
        <c:ser>
          <c:idx val="1"/>
          <c:order val="1"/>
          <c:spPr>
            <a:solidFill>
              <a:srgbClr val="0075AA">
                <a:alpha val="63000"/>
              </a:srgbClr>
            </a:solidFill>
            <a:ln>
              <a:noFill/>
            </a:ln>
            <a:effectLst/>
          </c:spPr>
          <c:val>
            <c:numRef>
              <c:f>Processing!$F$3:$F$8</c:f>
              <c:numCache>
                <c:formatCode>0%</c:formatCode>
                <c:ptCount val="6"/>
                <c:pt idx="0">
                  <c:v>0.28000000000000003</c:v>
                </c:pt>
                <c:pt idx="1">
                  <c:v>0.72</c:v>
                </c:pt>
                <c:pt idx="2">
                  <c:v>0.68</c:v>
                </c:pt>
                <c:pt idx="3">
                  <c:v>0.87</c:v>
                </c:pt>
                <c:pt idx="4">
                  <c:v>0.98</c:v>
                </c:pt>
                <c:pt idx="5">
                  <c:v>0.96</c:v>
                </c:pt>
              </c:numCache>
            </c:numRef>
          </c:val>
          <c:extLst>
            <c:ext xmlns:c16="http://schemas.microsoft.com/office/drawing/2014/chart" uri="{C3380CC4-5D6E-409C-BE32-E72D297353CC}">
              <c16:uniqueId val="{00000001-5E6B-4FEF-92EC-7F0099E4D7C3}"/>
            </c:ext>
          </c:extLst>
        </c:ser>
        <c:ser>
          <c:idx val="2"/>
          <c:order val="2"/>
          <c:spPr>
            <a:solidFill>
              <a:srgbClr val="CBF7FF">
                <a:alpha val="77000"/>
              </a:srgbClr>
            </a:solidFill>
            <a:ln>
              <a:noFill/>
            </a:ln>
            <a:effectLst/>
          </c:spPr>
          <c:val>
            <c:numRef>
              <c:f>Processing!$G$3:$G$8</c:f>
              <c:numCache>
                <c:formatCode>0%</c:formatCode>
                <c:ptCount val="6"/>
                <c:pt idx="0">
                  <c:v>0.89</c:v>
                </c:pt>
                <c:pt idx="1">
                  <c:v>0.92</c:v>
                </c:pt>
                <c:pt idx="2">
                  <c:v>0.33</c:v>
                </c:pt>
                <c:pt idx="3">
                  <c:v>0.68</c:v>
                </c:pt>
                <c:pt idx="4">
                  <c:v>0.73</c:v>
                </c:pt>
                <c:pt idx="5">
                  <c:v>0.81</c:v>
                </c:pt>
              </c:numCache>
            </c:numRef>
          </c:val>
          <c:extLst>
            <c:ext xmlns:c16="http://schemas.microsoft.com/office/drawing/2014/chart" uri="{C3380CC4-5D6E-409C-BE32-E72D297353CC}">
              <c16:uniqueId val="{00000002-5E6B-4FEF-92EC-7F0099E4D7C3}"/>
            </c:ext>
          </c:extLst>
        </c:ser>
        <c:dLbls>
          <c:showLegendKey val="0"/>
          <c:showVal val="0"/>
          <c:showCatName val="0"/>
          <c:showSerName val="0"/>
          <c:showPercent val="0"/>
          <c:showBubbleSize val="0"/>
        </c:dLbls>
        <c:axId val="539086864"/>
        <c:axId val="540609520"/>
      </c:radarChart>
      <c:catAx>
        <c:axId val="539086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40609520"/>
        <c:crosses val="autoZero"/>
        <c:auto val="1"/>
        <c:lblAlgn val="ctr"/>
        <c:lblOffset val="100"/>
        <c:noMultiLvlLbl val="0"/>
      </c:catAx>
      <c:valAx>
        <c:axId val="5406095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9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spPr>
            <a:solidFill>
              <a:srgbClr val="0075AA"/>
            </a:solidFill>
            <a:ln w="25400">
              <a:noFill/>
            </a:ln>
            <a:effectLst/>
          </c:spPr>
          <c:invertIfNegative val="0"/>
          <c:dPt>
            <c:idx val="0"/>
            <c:invertIfNegative val="0"/>
            <c:bubble3D val="0"/>
            <c:spPr>
              <a:solidFill>
                <a:srgbClr val="06A9E2"/>
              </a:solidFill>
              <a:ln w="25400">
                <a:noFill/>
              </a:ln>
              <a:effectLst/>
            </c:spPr>
            <c:extLst>
              <c:ext xmlns:c16="http://schemas.microsoft.com/office/drawing/2014/chart" uri="{C3380CC4-5D6E-409C-BE32-E72D297353CC}">
                <c16:uniqueId val="{00000003-1BB3-4716-AF6E-53AC32B22ECD}"/>
              </c:ext>
            </c:extLst>
          </c:dPt>
          <c:dPt>
            <c:idx val="1"/>
            <c:invertIfNegative val="0"/>
            <c:bubble3D val="0"/>
            <c:spPr>
              <a:solidFill>
                <a:srgbClr val="0075AA">
                  <a:alpha val="77000"/>
                </a:srgbClr>
              </a:solidFill>
              <a:ln w="25400">
                <a:noFill/>
              </a:ln>
              <a:effectLst/>
            </c:spPr>
            <c:extLst>
              <c:ext xmlns:c16="http://schemas.microsoft.com/office/drawing/2014/chart" uri="{C3380CC4-5D6E-409C-BE32-E72D297353CC}">
                <c16:uniqueId val="{00000001-1BB3-4716-AF6E-53AC32B22ECD}"/>
              </c:ext>
            </c:extLst>
          </c:dPt>
          <c:dPt>
            <c:idx val="2"/>
            <c:invertIfNegative val="0"/>
            <c:bubble3D val="0"/>
            <c:spPr>
              <a:solidFill>
                <a:srgbClr val="B9F5FF">
                  <a:alpha val="80000"/>
                </a:srgbClr>
              </a:solidFill>
              <a:ln w="25400">
                <a:noFill/>
              </a:ln>
              <a:effectLst/>
            </c:spPr>
            <c:extLst>
              <c:ext xmlns:c16="http://schemas.microsoft.com/office/drawing/2014/chart" uri="{C3380CC4-5D6E-409C-BE32-E72D297353CC}">
                <c16:uniqueId val="{00000002-1BB3-4716-AF6E-53AC32B22ECD}"/>
              </c:ext>
            </c:extLst>
          </c:dPt>
          <c:xVal>
            <c:numRef>
              <c:f>Processing!$Q$18:$Q$20</c:f>
              <c:numCache>
                <c:formatCode>0%</c:formatCode>
                <c:ptCount val="3"/>
                <c:pt idx="0">
                  <c:v>0.4</c:v>
                </c:pt>
                <c:pt idx="1">
                  <c:v>0.51</c:v>
                </c:pt>
                <c:pt idx="2">
                  <c:v>0.5</c:v>
                </c:pt>
              </c:numCache>
            </c:numRef>
          </c:xVal>
          <c:yVal>
            <c:numRef>
              <c:f>Processing!$R$18:$R$20</c:f>
              <c:numCache>
                <c:formatCode>0%</c:formatCode>
                <c:ptCount val="3"/>
                <c:pt idx="0">
                  <c:v>0.55000000000000004</c:v>
                </c:pt>
                <c:pt idx="1">
                  <c:v>0.6</c:v>
                </c:pt>
                <c:pt idx="2">
                  <c:v>0.5</c:v>
                </c:pt>
              </c:numCache>
            </c:numRef>
          </c:yVal>
          <c:bubbleSize>
            <c:numRef>
              <c:f>Processing!$S$18:$S$20</c:f>
              <c:numCache>
                <c:formatCode>0%</c:formatCode>
                <c:ptCount val="3"/>
                <c:pt idx="0">
                  <c:v>0.87</c:v>
                </c:pt>
                <c:pt idx="1">
                  <c:v>0.84</c:v>
                </c:pt>
                <c:pt idx="2">
                  <c:v>0.8</c:v>
                </c:pt>
              </c:numCache>
            </c:numRef>
          </c:bubbleSize>
          <c:bubble3D val="0"/>
          <c:extLst>
            <c:ext xmlns:c16="http://schemas.microsoft.com/office/drawing/2014/chart" uri="{C3380CC4-5D6E-409C-BE32-E72D297353CC}">
              <c16:uniqueId val="{00000000-1BB3-4716-AF6E-53AC32B22ECD}"/>
            </c:ext>
          </c:extLst>
        </c:ser>
        <c:dLbls>
          <c:showLegendKey val="0"/>
          <c:showVal val="0"/>
          <c:showCatName val="0"/>
          <c:showSerName val="0"/>
          <c:showPercent val="0"/>
          <c:showBubbleSize val="0"/>
        </c:dLbls>
        <c:bubbleScale val="100"/>
        <c:showNegBubbles val="0"/>
        <c:axId val="651962575"/>
        <c:axId val="651954895"/>
      </c:bubbleChart>
      <c:valAx>
        <c:axId val="651962575"/>
        <c:scaling>
          <c:orientation val="minMax"/>
          <c:max val="1"/>
          <c:min val="0"/>
        </c:scaling>
        <c:delete val="1"/>
        <c:axPos val="b"/>
        <c:numFmt formatCode="0%" sourceLinked="1"/>
        <c:majorTickMark val="none"/>
        <c:minorTickMark val="none"/>
        <c:tickLblPos val="nextTo"/>
        <c:crossAx val="651954895"/>
        <c:crosses val="autoZero"/>
        <c:crossBetween val="midCat"/>
      </c:valAx>
      <c:valAx>
        <c:axId val="651954895"/>
        <c:scaling>
          <c:orientation val="minMax"/>
          <c:max val="1"/>
          <c:min val="0"/>
        </c:scaling>
        <c:delete val="1"/>
        <c:axPos val="l"/>
        <c:numFmt formatCode="0%" sourceLinked="1"/>
        <c:majorTickMark val="none"/>
        <c:minorTickMark val="none"/>
        <c:tickLblPos val="nextTo"/>
        <c:crossAx val="651962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rgbClr val="06A9E2"/>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998</c:v>
                </c:pt>
                <c:pt idx="1">
                  <c:v>1080</c:v>
                </c:pt>
                <c:pt idx="2">
                  <c:v>1220</c:v>
                </c:pt>
                <c:pt idx="3">
                  <c:v>1215</c:v>
                </c:pt>
                <c:pt idx="4">
                  <c:v>1000</c:v>
                </c:pt>
                <c:pt idx="5">
                  <c:v>920</c:v>
                </c:pt>
                <c:pt idx="6">
                  <c:v>895</c:v>
                </c:pt>
                <c:pt idx="7">
                  <c:v>956</c:v>
                </c:pt>
                <c:pt idx="8">
                  <c:v>1072</c:v>
                </c:pt>
                <c:pt idx="9">
                  <c:v>1084</c:v>
                </c:pt>
                <c:pt idx="10">
                  <c:v>997</c:v>
                </c:pt>
                <c:pt idx="11">
                  <c:v>821</c:v>
                </c:pt>
              </c:numCache>
            </c:numRef>
          </c:val>
          <c:extLst>
            <c:ext xmlns:c16="http://schemas.microsoft.com/office/drawing/2014/chart" uri="{C3380CC4-5D6E-409C-BE32-E72D297353CC}">
              <c16:uniqueId val="{00000000-1CE9-40DA-ABAC-C371488C2A1B}"/>
            </c:ext>
          </c:extLst>
        </c:ser>
        <c:ser>
          <c:idx val="1"/>
          <c:order val="1"/>
          <c:spPr>
            <a:solidFill>
              <a:srgbClr val="0075AA"/>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Processing!$O$2:$O$13</c:f>
              <c:numCache>
                <c:formatCode>General</c:formatCode>
                <c:ptCount val="12"/>
                <c:pt idx="0">
                  <c:v>778</c:v>
                </c:pt>
                <c:pt idx="1">
                  <c:v>715</c:v>
                </c:pt>
                <c:pt idx="2">
                  <c:v>589</c:v>
                </c:pt>
                <c:pt idx="3">
                  <c:v>668</c:v>
                </c:pt>
                <c:pt idx="4">
                  <c:v>670</c:v>
                </c:pt>
                <c:pt idx="5">
                  <c:v>588</c:v>
                </c:pt>
                <c:pt idx="6">
                  <c:v>534</c:v>
                </c:pt>
                <c:pt idx="7">
                  <c:v>576</c:v>
                </c:pt>
                <c:pt idx="8">
                  <c:v>684</c:v>
                </c:pt>
                <c:pt idx="9">
                  <c:v>736</c:v>
                </c:pt>
                <c:pt idx="10">
                  <c:v>710</c:v>
                </c:pt>
                <c:pt idx="11">
                  <c:v>628</c:v>
                </c:pt>
              </c:numCache>
            </c:numRef>
          </c:val>
          <c:extLst>
            <c:ext xmlns:c16="http://schemas.microsoft.com/office/drawing/2014/chart" uri="{C3380CC4-5D6E-409C-BE32-E72D297353CC}">
              <c16:uniqueId val="{00000001-1CE9-40DA-ABAC-C371488C2A1B}"/>
            </c:ext>
          </c:extLst>
        </c:ser>
        <c:ser>
          <c:idx val="2"/>
          <c:order val="2"/>
          <c:spPr>
            <a:solidFill>
              <a:srgbClr val="CBF7FF"/>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532</c:v>
                </c:pt>
                <c:pt idx="1">
                  <c:v>364</c:v>
                </c:pt>
                <c:pt idx="2">
                  <c:v>289</c:v>
                </c:pt>
                <c:pt idx="3">
                  <c:v>295</c:v>
                </c:pt>
                <c:pt idx="4">
                  <c:v>346</c:v>
                </c:pt>
                <c:pt idx="5">
                  <c:v>370</c:v>
                </c:pt>
                <c:pt idx="6">
                  <c:v>324</c:v>
                </c:pt>
                <c:pt idx="7">
                  <c:v>226</c:v>
                </c:pt>
                <c:pt idx="8">
                  <c:v>174</c:v>
                </c:pt>
                <c:pt idx="9">
                  <c:v>190</c:v>
                </c:pt>
                <c:pt idx="10">
                  <c:v>252</c:v>
                </c:pt>
                <c:pt idx="11">
                  <c:v>367</c:v>
                </c:pt>
              </c:numCache>
            </c:numRef>
          </c:val>
          <c:extLst>
            <c:ext xmlns:c16="http://schemas.microsoft.com/office/drawing/2014/chart" uri="{C3380CC4-5D6E-409C-BE32-E72D297353CC}">
              <c16:uniqueId val="{00000002-1CE9-40DA-ABAC-C371488C2A1B}"/>
            </c:ext>
          </c:extLst>
        </c:ser>
        <c:dLbls>
          <c:showLegendKey val="0"/>
          <c:showVal val="0"/>
          <c:showCatName val="0"/>
          <c:showSerName val="0"/>
          <c:showPercent val="0"/>
          <c:showBubbleSize val="0"/>
        </c:dLbls>
        <c:axId val="302990448"/>
        <c:axId val="303008208"/>
      </c:areaChart>
      <c:lineChart>
        <c:grouping val="standard"/>
        <c:varyColors val="0"/>
        <c:ser>
          <c:idx val="3"/>
          <c:order val="3"/>
          <c:spPr>
            <a:ln w="50800" cap="rnd">
              <a:solidFill>
                <a:srgbClr val="06A9E2"/>
              </a:solidFill>
              <a:round/>
            </a:ln>
            <a:effectLst/>
          </c:spPr>
          <c:marker>
            <c:symbol val="none"/>
          </c:marker>
          <c:val>
            <c:numRef>
              <c:f>Processing!$N$2:$N$13</c:f>
              <c:numCache>
                <c:formatCode>General</c:formatCode>
                <c:ptCount val="12"/>
                <c:pt idx="0">
                  <c:v>998</c:v>
                </c:pt>
                <c:pt idx="1">
                  <c:v>1080</c:v>
                </c:pt>
                <c:pt idx="2">
                  <c:v>1220</c:v>
                </c:pt>
                <c:pt idx="3">
                  <c:v>1215</c:v>
                </c:pt>
                <c:pt idx="4">
                  <c:v>1000</c:v>
                </c:pt>
                <c:pt idx="5">
                  <c:v>920</c:v>
                </c:pt>
                <c:pt idx="6">
                  <c:v>895</c:v>
                </c:pt>
                <c:pt idx="7">
                  <c:v>956</c:v>
                </c:pt>
                <c:pt idx="8">
                  <c:v>1072</c:v>
                </c:pt>
                <c:pt idx="9">
                  <c:v>1084</c:v>
                </c:pt>
                <c:pt idx="10">
                  <c:v>997</c:v>
                </c:pt>
                <c:pt idx="11">
                  <c:v>821</c:v>
                </c:pt>
              </c:numCache>
            </c:numRef>
          </c:val>
          <c:smooth val="1"/>
          <c:extLst>
            <c:ext xmlns:c16="http://schemas.microsoft.com/office/drawing/2014/chart" uri="{C3380CC4-5D6E-409C-BE32-E72D297353CC}">
              <c16:uniqueId val="{00000003-1CE9-40DA-ABAC-C371488C2A1B}"/>
            </c:ext>
          </c:extLst>
        </c:ser>
        <c:ser>
          <c:idx val="4"/>
          <c:order val="4"/>
          <c:spPr>
            <a:ln w="50800" cap="rnd">
              <a:solidFill>
                <a:srgbClr val="0075AA"/>
              </a:solidFill>
              <a:round/>
            </a:ln>
            <a:effectLst/>
          </c:spPr>
          <c:marker>
            <c:symbol val="none"/>
          </c:marker>
          <c:val>
            <c:numRef>
              <c:f>Processing!$O$2:$O$13</c:f>
              <c:numCache>
                <c:formatCode>General</c:formatCode>
                <c:ptCount val="12"/>
                <c:pt idx="0">
                  <c:v>778</c:v>
                </c:pt>
                <c:pt idx="1">
                  <c:v>715</c:v>
                </c:pt>
                <c:pt idx="2">
                  <c:v>589</c:v>
                </c:pt>
                <c:pt idx="3">
                  <c:v>668</c:v>
                </c:pt>
                <c:pt idx="4">
                  <c:v>670</c:v>
                </c:pt>
                <c:pt idx="5">
                  <c:v>588</c:v>
                </c:pt>
                <c:pt idx="6">
                  <c:v>534</c:v>
                </c:pt>
                <c:pt idx="7">
                  <c:v>576</c:v>
                </c:pt>
                <c:pt idx="8">
                  <c:v>684</c:v>
                </c:pt>
                <c:pt idx="9">
                  <c:v>736</c:v>
                </c:pt>
                <c:pt idx="10">
                  <c:v>710</c:v>
                </c:pt>
                <c:pt idx="11">
                  <c:v>628</c:v>
                </c:pt>
              </c:numCache>
            </c:numRef>
          </c:val>
          <c:smooth val="1"/>
          <c:extLst>
            <c:ext xmlns:c16="http://schemas.microsoft.com/office/drawing/2014/chart" uri="{C3380CC4-5D6E-409C-BE32-E72D297353CC}">
              <c16:uniqueId val="{00000004-1CE9-40DA-ABAC-C371488C2A1B}"/>
            </c:ext>
          </c:extLst>
        </c:ser>
        <c:ser>
          <c:idx val="5"/>
          <c:order val="5"/>
          <c:spPr>
            <a:ln w="50800" cap="rnd">
              <a:solidFill>
                <a:srgbClr val="CBF7FF"/>
              </a:solidFill>
              <a:round/>
            </a:ln>
            <a:effectLst/>
          </c:spPr>
          <c:marker>
            <c:symbol val="none"/>
          </c:marker>
          <c:val>
            <c:numRef>
              <c:f>Processing!$P$2:$P$13</c:f>
              <c:numCache>
                <c:formatCode>General</c:formatCode>
                <c:ptCount val="12"/>
                <c:pt idx="0">
                  <c:v>532</c:v>
                </c:pt>
                <c:pt idx="1">
                  <c:v>364</c:v>
                </c:pt>
                <c:pt idx="2">
                  <c:v>289</c:v>
                </c:pt>
                <c:pt idx="3">
                  <c:v>295</c:v>
                </c:pt>
                <c:pt idx="4">
                  <c:v>346</c:v>
                </c:pt>
                <c:pt idx="5">
                  <c:v>370</c:v>
                </c:pt>
                <c:pt idx="6">
                  <c:v>324</c:v>
                </c:pt>
                <c:pt idx="7">
                  <c:v>226</c:v>
                </c:pt>
                <c:pt idx="8">
                  <c:v>174</c:v>
                </c:pt>
                <c:pt idx="9">
                  <c:v>190</c:v>
                </c:pt>
                <c:pt idx="10">
                  <c:v>252</c:v>
                </c:pt>
                <c:pt idx="11">
                  <c:v>367</c:v>
                </c:pt>
              </c:numCache>
            </c:numRef>
          </c:val>
          <c:smooth val="1"/>
          <c:extLst>
            <c:ext xmlns:c16="http://schemas.microsoft.com/office/drawing/2014/chart" uri="{C3380CC4-5D6E-409C-BE32-E72D297353CC}">
              <c16:uniqueId val="{00000005-1CE9-40DA-ABAC-C371488C2A1B}"/>
            </c:ext>
          </c:extLst>
        </c:ser>
        <c:dLbls>
          <c:showLegendKey val="0"/>
          <c:showVal val="0"/>
          <c:showCatName val="0"/>
          <c:showSerName val="0"/>
          <c:showPercent val="0"/>
          <c:showBubbleSize val="0"/>
        </c:dLbls>
        <c:marker val="1"/>
        <c:smooth val="0"/>
        <c:axId val="302990448"/>
        <c:axId val="303008208"/>
      </c:lineChart>
      <c:scatterChart>
        <c:scatterStyle val="lineMarker"/>
        <c:varyColors val="0"/>
        <c:ser>
          <c:idx val="6"/>
          <c:order val="6"/>
          <c:tx>
            <c:v>Cursors</c:v>
          </c:tx>
          <c:spPr>
            <a:ln w="25400" cap="rnd">
              <a:noFill/>
              <a:round/>
            </a:ln>
            <a:effectLst/>
          </c:spPr>
          <c:marker>
            <c:symbol val="circle"/>
            <c:size val="5"/>
            <c:spPr>
              <a:noFill/>
              <a:ln w="9525">
                <a:noFill/>
              </a:ln>
              <a:effectLst/>
            </c:spPr>
          </c:marker>
          <c:errBars>
            <c:errDir val="y"/>
            <c:errBarType val="minus"/>
            <c:errValType val="cust"/>
            <c:noEndCap val="1"/>
            <c:plus>
              <c:numLit>
                <c:formatCode>General</c:formatCode>
                <c:ptCount val="1"/>
                <c:pt idx="0">
                  <c:v>1</c:v>
                </c:pt>
              </c:numLit>
            </c:plus>
            <c:minus>
              <c:numRef>
                <c:f>Processing!$Q$2:$Q$13</c:f>
                <c:numCache>
                  <c:formatCode>General</c:formatCode>
                  <c:ptCount val="12"/>
                  <c:pt idx="0">
                    <c:v>0</c:v>
                  </c:pt>
                  <c:pt idx="1">
                    <c:v>0</c:v>
                  </c:pt>
                  <c:pt idx="2">
                    <c:v>0</c:v>
                  </c:pt>
                  <c:pt idx="3">
                    <c:v>0</c:v>
                  </c:pt>
                  <c:pt idx="4">
                    <c:v>0</c:v>
                  </c:pt>
                  <c:pt idx="5">
                    <c:v>0</c:v>
                  </c:pt>
                  <c:pt idx="6">
                    <c:v>0</c:v>
                  </c:pt>
                  <c:pt idx="7">
                    <c:v>0</c:v>
                  </c:pt>
                  <c:pt idx="8">
                    <c:v>0</c:v>
                  </c:pt>
                  <c:pt idx="9">
                    <c:v>1342</c:v>
                  </c:pt>
                  <c:pt idx="10">
                    <c:v>0</c:v>
                  </c:pt>
                  <c:pt idx="11">
                    <c:v>0</c:v>
                  </c:pt>
                </c:numCache>
              </c:numRef>
            </c:minus>
            <c:spPr>
              <a:noFill/>
              <a:ln w="9525" cap="flat" cmpd="sng" algn="ctr">
                <a:solidFill>
                  <a:schemeClr val="bg1"/>
                </a:solidFill>
                <a:round/>
              </a:ln>
              <a:effectLst/>
            </c:spPr>
          </c:errBars>
          <c:yVal>
            <c:numRef>
              <c:f>Processing!$Q$2:$Q$13</c:f>
              <c:numCache>
                <c:formatCode>General</c:formatCode>
                <c:ptCount val="12"/>
                <c:pt idx="0">
                  <c:v>0</c:v>
                </c:pt>
                <c:pt idx="1">
                  <c:v>0</c:v>
                </c:pt>
                <c:pt idx="2">
                  <c:v>0</c:v>
                </c:pt>
                <c:pt idx="3">
                  <c:v>0</c:v>
                </c:pt>
                <c:pt idx="4">
                  <c:v>0</c:v>
                </c:pt>
                <c:pt idx="5">
                  <c:v>0</c:v>
                </c:pt>
                <c:pt idx="6">
                  <c:v>0</c:v>
                </c:pt>
                <c:pt idx="7">
                  <c:v>0</c:v>
                </c:pt>
                <c:pt idx="8">
                  <c:v>0</c:v>
                </c:pt>
                <c:pt idx="9">
                  <c:v>1342</c:v>
                </c:pt>
                <c:pt idx="10">
                  <c:v>0</c:v>
                </c:pt>
                <c:pt idx="11">
                  <c:v>0</c:v>
                </c:pt>
              </c:numCache>
            </c:numRef>
          </c:yVal>
          <c:smooth val="0"/>
          <c:extLst>
            <c:ext xmlns:c16="http://schemas.microsoft.com/office/drawing/2014/chart" uri="{C3380CC4-5D6E-409C-BE32-E72D297353CC}">
              <c16:uniqueId val="{00000006-1CE9-40DA-ABAC-C371488C2A1B}"/>
            </c:ext>
          </c:extLst>
        </c:ser>
        <c:dLbls>
          <c:showLegendKey val="0"/>
          <c:showVal val="0"/>
          <c:showCatName val="0"/>
          <c:showSerName val="0"/>
          <c:showPercent val="0"/>
          <c:showBubbleSize val="0"/>
        </c:dLbls>
        <c:axId val="302990448"/>
        <c:axId val="303008208"/>
      </c:scatterChart>
      <c:catAx>
        <c:axId val="3029904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ru-RU"/>
          </a:p>
        </c:txPr>
        <c:crossAx val="303008208"/>
        <c:crosses val="autoZero"/>
        <c:auto val="1"/>
        <c:lblAlgn val="ctr"/>
        <c:lblOffset val="100"/>
        <c:noMultiLvlLbl val="0"/>
      </c:catAx>
      <c:valAx>
        <c:axId val="303008208"/>
        <c:scaling>
          <c:orientation val="minMax"/>
        </c:scaling>
        <c:delete val="1"/>
        <c:axPos val="l"/>
        <c:numFmt formatCode="General" sourceLinked="1"/>
        <c:majorTickMark val="out"/>
        <c:minorTickMark val="none"/>
        <c:tickLblPos val="nextTo"/>
        <c:crossAx val="302990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C8CA"/>
            </a:solidFill>
            <a:ln>
              <a:noFill/>
            </a:ln>
          </c:spPr>
          <c:dPt>
            <c:idx val="0"/>
            <c:bubble3D val="0"/>
            <c:spPr>
              <a:solidFill>
                <a:srgbClr val="CBF7F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B08-47C3-A725-B67FD6AC0D26}"/>
              </c:ext>
            </c:extLst>
          </c:dPt>
          <c:dPt>
            <c:idx val="1"/>
            <c:bubble3D val="0"/>
            <c:spPr>
              <a:noFill/>
              <a:ln w="19050">
                <a:noFill/>
              </a:ln>
              <a:effectLst/>
            </c:spPr>
            <c:extLst>
              <c:ext xmlns:c16="http://schemas.microsoft.com/office/drawing/2014/chart" uri="{C3380CC4-5D6E-409C-BE32-E72D297353CC}">
                <c16:uniqueId val="{00000003-CB08-47C3-A725-B67FD6AC0D26}"/>
              </c:ext>
            </c:extLst>
          </c:dPt>
          <c:val>
            <c:numRef>
              <c:f>Processing!$B$3:$C$3</c:f>
              <c:numCache>
                <c:formatCode>0%</c:formatCode>
                <c:ptCount val="2"/>
                <c:pt idx="0">
                  <c:v>0.44</c:v>
                </c:pt>
                <c:pt idx="1">
                  <c:v>0.56000000000000005</c:v>
                </c:pt>
              </c:numCache>
            </c:numRef>
          </c:val>
          <c:extLst>
            <c:ext xmlns:c16="http://schemas.microsoft.com/office/drawing/2014/chart" uri="{C3380CC4-5D6E-409C-BE32-E72D297353CC}">
              <c16:uniqueId val="{00000004-CB08-47C3-A725-B67FD6AC0D26}"/>
            </c:ext>
          </c:extLst>
        </c:ser>
        <c:ser>
          <c:idx val="1"/>
          <c:order val="1"/>
          <c:spPr>
            <a:ln>
              <a:noFill/>
            </a:ln>
          </c:spPr>
          <c:dPt>
            <c:idx val="0"/>
            <c:bubble3D val="0"/>
            <c:spPr>
              <a:solidFill>
                <a:srgbClr val="0075A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CB08-47C3-A725-B67FD6AC0D26}"/>
              </c:ext>
            </c:extLst>
          </c:dPt>
          <c:dPt>
            <c:idx val="1"/>
            <c:bubble3D val="0"/>
            <c:spPr>
              <a:noFill/>
              <a:ln w="19050">
                <a:noFill/>
              </a:ln>
              <a:effectLst/>
            </c:spPr>
            <c:extLst>
              <c:ext xmlns:c16="http://schemas.microsoft.com/office/drawing/2014/chart" uri="{C3380CC4-5D6E-409C-BE32-E72D297353CC}">
                <c16:uniqueId val="{00000008-CB08-47C3-A725-B67FD6AC0D26}"/>
              </c:ext>
            </c:extLst>
          </c:dPt>
          <c:val>
            <c:numRef>
              <c:f>Processing!$B$4:$C$4</c:f>
              <c:numCache>
                <c:formatCode>0%</c:formatCode>
                <c:ptCount val="2"/>
                <c:pt idx="0">
                  <c:v>0.31</c:v>
                </c:pt>
                <c:pt idx="1">
                  <c:v>0.69</c:v>
                </c:pt>
              </c:numCache>
            </c:numRef>
          </c:val>
          <c:extLst>
            <c:ext xmlns:c16="http://schemas.microsoft.com/office/drawing/2014/chart" uri="{C3380CC4-5D6E-409C-BE32-E72D297353CC}">
              <c16:uniqueId val="{00000009-CB08-47C3-A725-B67FD6AC0D26}"/>
            </c:ext>
          </c:extLst>
        </c:ser>
        <c:ser>
          <c:idx val="2"/>
          <c:order val="2"/>
          <c:spPr>
            <a:ln>
              <a:noFill/>
            </a:ln>
          </c:spPr>
          <c:dPt>
            <c:idx val="0"/>
            <c:bubble3D val="0"/>
            <c:spPr>
              <a:solidFill>
                <a:srgbClr val="06A9E2"/>
              </a:soli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CB08-47C3-A725-B67FD6AC0D26}"/>
              </c:ext>
            </c:extLst>
          </c:dPt>
          <c:dPt>
            <c:idx val="1"/>
            <c:bubble3D val="0"/>
            <c:spPr>
              <a:noFill/>
              <a:ln w="19050">
                <a:noFill/>
              </a:ln>
              <a:effectLst/>
            </c:spPr>
            <c:extLst>
              <c:ext xmlns:c16="http://schemas.microsoft.com/office/drawing/2014/chart" uri="{C3380CC4-5D6E-409C-BE32-E72D297353CC}">
                <c16:uniqueId val="{0000000D-CB08-47C3-A725-B67FD6AC0D26}"/>
              </c:ext>
            </c:extLst>
          </c:dPt>
          <c:val>
            <c:numRef>
              <c:f>Processing!$B$5:$C$5</c:f>
              <c:numCache>
                <c:formatCode>0%</c:formatCode>
                <c:ptCount val="2"/>
                <c:pt idx="0">
                  <c:v>0.64</c:v>
                </c:pt>
                <c:pt idx="1">
                  <c:v>0.36</c:v>
                </c:pt>
              </c:numCache>
            </c:numRef>
          </c:val>
          <c:extLst>
            <c:ext xmlns:c16="http://schemas.microsoft.com/office/drawing/2014/chart" uri="{C3380CC4-5D6E-409C-BE32-E72D297353CC}">
              <c16:uniqueId val="{0000000E-CB08-47C3-A725-B67FD6AC0D26}"/>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CBF7FF"/>
              </a:solidFill>
              <a:ln w="19050">
                <a:noFill/>
              </a:ln>
              <a:effectLst/>
            </c:spPr>
            <c:extLst>
              <c:ext xmlns:c16="http://schemas.microsoft.com/office/drawing/2014/chart" uri="{C3380CC4-5D6E-409C-BE32-E72D297353CC}">
                <c16:uniqueId val="{00000001-BC08-437A-8E8F-680B7910523B}"/>
              </c:ext>
            </c:extLst>
          </c:dPt>
          <c:dPt>
            <c:idx val="1"/>
            <c:bubble3D val="0"/>
            <c:spPr>
              <a:solidFill>
                <a:srgbClr val="0865A0"/>
              </a:solidFill>
              <a:ln w="19050">
                <a:noFill/>
              </a:ln>
              <a:effectLst/>
            </c:spPr>
            <c:extLst>
              <c:ext xmlns:c16="http://schemas.microsoft.com/office/drawing/2014/chart" uri="{C3380CC4-5D6E-409C-BE32-E72D297353CC}">
                <c16:uniqueId val="{00000003-BC08-437A-8E8F-680B7910523B}"/>
              </c:ext>
            </c:extLst>
          </c:dPt>
          <c:dPt>
            <c:idx val="2"/>
            <c:bubble3D val="0"/>
            <c:spPr>
              <a:solidFill>
                <a:srgbClr val="A3BACA"/>
              </a:solidFill>
              <a:ln w="19050">
                <a:noFill/>
              </a:ln>
              <a:effectLst/>
            </c:spPr>
            <c:extLst>
              <c:ext xmlns:c16="http://schemas.microsoft.com/office/drawing/2014/chart" uri="{C3380CC4-5D6E-409C-BE32-E72D297353CC}">
                <c16:uniqueId val="{00000005-BC08-437A-8E8F-680B7910523B}"/>
              </c:ext>
            </c:extLst>
          </c:dPt>
          <c:dPt>
            <c:idx val="3"/>
            <c:bubble3D val="0"/>
            <c:spPr>
              <a:solidFill>
                <a:srgbClr val="065A7C"/>
              </a:solidFill>
              <a:ln w="19050">
                <a:noFill/>
              </a:ln>
              <a:effectLst/>
            </c:spPr>
            <c:extLst>
              <c:ext xmlns:c16="http://schemas.microsoft.com/office/drawing/2014/chart" uri="{C3380CC4-5D6E-409C-BE32-E72D297353CC}">
                <c16:uniqueId val="{00000007-BC08-437A-8E8F-680B7910523B}"/>
              </c:ext>
            </c:extLst>
          </c:dPt>
          <c:cat>
            <c:strRef>
              <c:f>Processing!$A$8:$A$11</c:f>
              <c:strCache>
                <c:ptCount val="4"/>
                <c:pt idx="0">
                  <c:v>Online sales</c:v>
                </c:pt>
                <c:pt idx="1">
                  <c:v>Regular sales</c:v>
                </c:pt>
                <c:pt idx="2">
                  <c:v>Upselling</c:v>
                </c:pt>
                <c:pt idx="3">
                  <c:v>Other</c:v>
                </c:pt>
              </c:strCache>
            </c:strRef>
          </c:cat>
          <c:val>
            <c:numRef>
              <c:f>Processing!$B$8:$B$11</c:f>
              <c:numCache>
                <c:formatCode>0%</c:formatCode>
                <c:ptCount val="4"/>
                <c:pt idx="0">
                  <c:v>0.29000000000000004</c:v>
                </c:pt>
                <c:pt idx="1">
                  <c:v>0.3066666666666667</c:v>
                </c:pt>
                <c:pt idx="2">
                  <c:v>0.25</c:v>
                </c:pt>
                <c:pt idx="3">
                  <c:v>0.15333333333333335</c:v>
                </c:pt>
              </c:numCache>
            </c:numRef>
          </c:val>
          <c:extLst>
            <c:ext xmlns:c16="http://schemas.microsoft.com/office/drawing/2014/chart" uri="{C3380CC4-5D6E-409C-BE32-E72D297353CC}">
              <c16:uniqueId val="{00000008-BC08-437A-8E8F-680B7910523B}"/>
            </c:ext>
          </c:extLst>
        </c:ser>
        <c:dLbls>
          <c:showLegendKey val="0"/>
          <c:showVal val="0"/>
          <c:showCatName val="0"/>
          <c:showSerName val="0"/>
          <c:showPercent val="0"/>
          <c:showBubbleSize val="0"/>
          <c:showLeaderLines val="1"/>
        </c:dLbls>
        <c:firstSliceAng val="30"/>
      </c:pieChart>
      <c:spPr>
        <a:noFill/>
        <a:ln>
          <a:noFill/>
        </a:ln>
        <a:effectLst/>
      </c:spPr>
    </c:plotArea>
    <c:legend>
      <c:legendPos val="l"/>
      <c:layout>
        <c:manualLayout>
          <c:xMode val="edge"/>
          <c:yMode val="edge"/>
          <c:x val="0"/>
          <c:y val="0.42744414410885206"/>
          <c:w val="0.28677298311444654"/>
          <c:h val="0.5597054099580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Total ths</c:v>
          </c:tx>
          <c:spPr>
            <a:solidFill>
              <a:schemeClr val="accent1"/>
            </a:solidFill>
            <a:ln>
              <a:noFill/>
            </a:ln>
            <a:effectLst/>
          </c:spPr>
          <c:invertIfNegative val="0"/>
          <c:dPt>
            <c:idx val="0"/>
            <c:invertIfNegative val="0"/>
            <c:bubble3D val="0"/>
            <c:spPr>
              <a:solidFill>
                <a:srgbClr val="E5ECF0"/>
              </a:solidFill>
              <a:ln>
                <a:noFill/>
              </a:ln>
              <a:effectLst/>
            </c:spPr>
            <c:extLst>
              <c:ext xmlns:c16="http://schemas.microsoft.com/office/drawing/2014/chart" uri="{C3380CC4-5D6E-409C-BE32-E72D297353CC}">
                <c16:uniqueId val="{00000006-76A0-4248-8149-7FEDBAF23FCE}"/>
              </c:ext>
            </c:extLst>
          </c:dPt>
          <c:dPt>
            <c:idx val="1"/>
            <c:invertIfNegative val="0"/>
            <c:bubble3D val="0"/>
            <c:spPr>
              <a:solidFill>
                <a:srgbClr val="0075AA"/>
              </a:solidFill>
              <a:ln>
                <a:noFill/>
              </a:ln>
              <a:effectLst/>
            </c:spPr>
            <c:extLst>
              <c:ext xmlns:c16="http://schemas.microsoft.com/office/drawing/2014/chart" uri="{C3380CC4-5D6E-409C-BE32-E72D297353CC}">
                <c16:uniqueId val="{00000005-76A0-4248-8149-7FEDBAF23FCE}"/>
              </c:ext>
            </c:extLst>
          </c:dPt>
          <c:dPt>
            <c:idx val="2"/>
            <c:invertIfNegative val="0"/>
            <c:bubble3D val="0"/>
            <c:spPr>
              <a:solidFill>
                <a:srgbClr val="E5ECF0"/>
              </a:solidFill>
              <a:ln>
                <a:noFill/>
              </a:ln>
              <a:effectLst/>
            </c:spPr>
            <c:extLst>
              <c:ext xmlns:c16="http://schemas.microsoft.com/office/drawing/2014/chart" uri="{C3380CC4-5D6E-409C-BE32-E72D297353CC}">
                <c16:uniqueId val="{00000004-76A0-4248-8149-7FEDBAF23FCE}"/>
              </c:ext>
            </c:extLst>
          </c:dPt>
          <c:dPt>
            <c:idx val="3"/>
            <c:invertIfNegative val="0"/>
            <c:bubble3D val="0"/>
            <c:spPr>
              <a:solidFill>
                <a:srgbClr val="0075AA"/>
              </a:solidFill>
              <a:ln>
                <a:noFill/>
              </a:ln>
              <a:effectLst/>
            </c:spPr>
            <c:extLst>
              <c:ext xmlns:c16="http://schemas.microsoft.com/office/drawing/2014/chart" uri="{C3380CC4-5D6E-409C-BE32-E72D297353CC}">
                <c16:uniqueId val="{00000003-76A0-4248-8149-7FEDBAF23FCE}"/>
              </c:ext>
            </c:extLst>
          </c:dPt>
          <c:dPt>
            <c:idx val="4"/>
            <c:invertIfNegative val="0"/>
            <c:bubble3D val="0"/>
            <c:spPr>
              <a:solidFill>
                <a:srgbClr val="E5ECF0"/>
              </a:solidFill>
              <a:ln>
                <a:noFill/>
              </a:ln>
              <a:effectLst/>
            </c:spPr>
            <c:extLst>
              <c:ext xmlns:c16="http://schemas.microsoft.com/office/drawing/2014/chart" uri="{C3380CC4-5D6E-409C-BE32-E72D297353CC}">
                <c16:uniqueId val="{00000002-76A0-4248-8149-7FEDBAF23FCE}"/>
              </c:ext>
            </c:extLst>
          </c:dPt>
          <c:dPt>
            <c:idx val="5"/>
            <c:invertIfNegative val="0"/>
            <c:bubble3D val="0"/>
            <c:spPr>
              <a:solidFill>
                <a:srgbClr val="0075AA"/>
              </a:solidFill>
              <a:ln>
                <a:noFill/>
              </a:ln>
              <a:effectLst/>
            </c:spPr>
            <c:extLst>
              <c:ext xmlns:c16="http://schemas.microsoft.com/office/drawing/2014/chart" uri="{C3380CC4-5D6E-409C-BE32-E72D297353CC}">
                <c16:uniqueId val="{00000001-76A0-4248-8149-7FEDBAF23FCE}"/>
              </c:ext>
            </c:extLst>
          </c:dPt>
          <c:dLbls>
            <c:dLbl>
              <c:idx val="0"/>
              <c:tx>
                <c:rich>
                  <a:bodyPr/>
                  <a:lstStyle/>
                  <a:p>
                    <a:fld id="{CD9073A3-D600-4A84-B132-28CB4F4A59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6A0-4248-8149-7FEDBAF23FCE}"/>
                </c:ext>
              </c:extLst>
            </c:dLbl>
            <c:dLbl>
              <c:idx val="1"/>
              <c:tx>
                <c:rich>
                  <a:bodyPr/>
                  <a:lstStyle/>
                  <a:p>
                    <a:fld id="{8BF97359-9282-48B6-8BBC-FFF9936966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6A0-4248-8149-7FEDBAF23FCE}"/>
                </c:ext>
              </c:extLst>
            </c:dLbl>
            <c:dLbl>
              <c:idx val="2"/>
              <c:tx>
                <c:rich>
                  <a:bodyPr/>
                  <a:lstStyle/>
                  <a:p>
                    <a:fld id="{365452C4-BDC0-4D01-A627-16998BFC13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6A0-4248-8149-7FEDBAF23FCE}"/>
                </c:ext>
              </c:extLst>
            </c:dLbl>
            <c:dLbl>
              <c:idx val="3"/>
              <c:tx>
                <c:rich>
                  <a:bodyPr/>
                  <a:lstStyle/>
                  <a:p>
                    <a:fld id="{A9FA8746-0B63-4D1F-A113-59112EA182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6A0-4248-8149-7FEDBAF23FCE}"/>
                </c:ext>
              </c:extLst>
            </c:dLbl>
            <c:dLbl>
              <c:idx val="4"/>
              <c:tx>
                <c:rich>
                  <a:bodyPr/>
                  <a:lstStyle/>
                  <a:p>
                    <a:fld id="{A1E81724-71F8-4604-9FC1-E655563DC8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A0-4248-8149-7FEDBAF23FCE}"/>
                </c:ext>
              </c:extLst>
            </c:dLbl>
            <c:dLbl>
              <c:idx val="5"/>
              <c:tx>
                <c:rich>
                  <a:bodyPr/>
                  <a:lstStyle/>
                  <a:p>
                    <a:fld id="{B3E73C84-868B-45DA-8FAE-CB3A11BAE6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6A0-4248-8149-7FEDBAF23F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multiLvlStrRef>
              <c:f>Processing!$F$22:$K$23</c:f>
              <c:multiLvlStrCache>
                <c:ptCount val="6"/>
                <c:lvl>
                  <c:pt idx="0">
                    <c:v>Sales</c:v>
                  </c:pt>
                  <c:pt idx="1">
                    <c:v>Plan</c:v>
                  </c:pt>
                  <c:pt idx="2">
                    <c:v>Sales</c:v>
                  </c:pt>
                  <c:pt idx="3">
                    <c:v>Plan</c:v>
                  </c:pt>
                  <c:pt idx="4">
                    <c:v>Sales</c:v>
                  </c:pt>
                  <c:pt idx="5">
                    <c:v>Plan</c:v>
                  </c:pt>
                </c:lvl>
                <c:lvl>
                  <c:pt idx="0">
                    <c:v>A</c:v>
                  </c:pt>
                  <c:pt idx="2">
                    <c:v>B</c:v>
                  </c:pt>
                  <c:pt idx="4">
                    <c:v>C</c:v>
                  </c:pt>
                </c:lvl>
              </c:multiLvlStrCache>
            </c:multiLvlStrRef>
          </c:cat>
          <c:val>
            <c:numRef>
              <c:f>Processing!$F$24:$K$24</c:f>
              <c:numCache>
                <c:formatCode>_("$"* #,##0_);_("$"* \(#,##0\);_("$"* "-"??_);_(@_)</c:formatCode>
                <c:ptCount val="6"/>
                <c:pt idx="0">
                  <c:v>156</c:v>
                </c:pt>
                <c:pt idx="1">
                  <c:v>185</c:v>
                </c:pt>
                <c:pt idx="2">
                  <c:v>105</c:v>
                </c:pt>
                <c:pt idx="3">
                  <c:v>132</c:v>
                </c:pt>
                <c:pt idx="4">
                  <c:v>28</c:v>
                </c:pt>
                <c:pt idx="5">
                  <c:v>48</c:v>
                </c:pt>
              </c:numCache>
            </c:numRef>
          </c:val>
          <c:extLst>
            <c:ext xmlns:c15="http://schemas.microsoft.com/office/drawing/2012/chart" uri="{02D57815-91ED-43cb-92C2-25804820EDAC}">
              <c15:datalabelsRange>
                <c15:f>Processing!$F$25:$K$25</c15:f>
                <c15:dlblRangeCache>
                  <c:ptCount val="6"/>
                  <c:pt idx="0">
                    <c:v>$ 156 K</c:v>
                  </c:pt>
                  <c:pt idx="1">
                    <c:v>$ 185 K</c:v>
                  </c:pt>
                  <c:pt idx="2">
                    <c:v>$ 105 K</c:v>
                  </c:pt>
                  <c:pt idx="3">
                    <c:v>$ 132 K</c:v>
                  </c:pt>
                  <c:pt idx="4">
                    <c:v>$ 28 K</c:v>
                  </c:pt>
                  <c:pt idx="5">
                    <c:v>$ 48 K</c:v>
                  </c:pt>
                </c15:dlblRangeCache>
              </c15:datalabelsRange>
            </c:ext>
            <c:ext xmlns:c16="http://schemas.microsoft.com/office/drawing/2014/chart" uri="{C3380CC4-5D6E-409C-BE32-E72D297353CC}">
              <c16:uniqueId val="{00000000-76A0-4248-8149-7FEDBAF23FCE}"/>
            </c:ext>
          </c:extLst>
        </c:ser>
        <c:dLbls>
          <c:showLegendKey val="0"/>
          <c:showVal val="0"/>
          <c:showCatName val="0"/>
          <c:showSerName val="0"/>
          <c:showPercent val="0"/>
          <c:showBubbleSize val="0"/>
        </c:dLbls>
        <c:gapWidth val="50"/>
        <c:axId val="1325176736"/>
        <c:axId val="1325177216"/>
      </c:barChart>
      <c:catAx>
        <c:axId val="132517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75000"/>
                    <a:lumOff val="25000"/>
                  </a:schemeClr>
                </a:solidFill>
                <a:latin typeface="+mn-lt"/>
                <a:ea typeface="+mn-ea"/>
                <a:cs typeface="+mn-cs"/>
              </a:defRPr>
            </a:pPr>
            <a:endParaRPr lang="ru-RU"/>
          </a:p>
        </c:txPr>
        <c:crossAx val="1325177216"/>
        <c:crosses val="autoZero"/>
        <c:auto val="1"/>
        <c:lblAlgn val="ctr"/>
        <c:lblOffset val="100"/>
        <c:noMultiLvlLbl val="0"/>
      </c:catAx>
      <c:valAx>
        <c:axId val="1325177216"/>
        <c:scaling>
          <c:orientation val="minMax"/>
        </c:scaling>
        <c:delete val="1"/>
        <c:axPos val="b"/>
        <c:numFmt formatCode="_(&quot;$&quot;* #,##0_);_(&quot;$&quot;* \(#,##0\);_(&quot;$&quot;* &quot;-&quot;??_);_(@_)" sourceLinked="1"/>
        <c:majorTickMark val="none"/>
        <c:minorTickMark val="none"/>
        <c:tickLblPos val="nextTo"/>
        <c:crossAx val="132517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Processing!$A$14</c:f>
          <c:strCache>
            <c:ptCount val="1"/>
            <c:pt idx="0">
              <c:v>Point Of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ru-RU"/>
        </a:p>
      </c:txPr>
    </c:title>
    <c:autoTitleDeleted val="0"/>
    <c:plotArea>
      <c:layout>
        <c:manualLayout>
          <c:layoutTarget val="inner"/>
          <c:xMode val="edge"/>
          <c:yMode val="edge"/>
          <c:x val="3.1554790590935168E-2"/>
          <c:y val="0.14591722595078299"/>
          <c:w val="0.93689041881812962"/>
          <c:h val="0.72478597473973483"/>
        </c:manualLayout>
      </c:layout>
      <c:barChart>
        <c:barDir val="col"/>
        <c:grouping val="clustered"/>
        <c:varyColors val="0"/>
        <c:ser>
          <c:idx val="1"/>
          <c:order val="0"/>
          <c:spPr>
            <a:solidFill>
              <a:srgbClr val="A3BACA">
                <a:alpha val="28000"/>
              </a:srgbClr>
            </a:solidFill>
            <a:ln>
              <a:noFill/>
            </a:ln>
            <a:effectLst/>
          </c:spPr>
          <c:invertIfNegative val="0"/>
          <c:cat>
            <c:strRef>
              <c:f>Processing!$A$15:$A$21</c:f>
              <c:strCache>
                <c:ptCount val="7"/>
                <c:pt idx="0">
                  <c:v>POS 1</c:v>
                </c:pt>
                <c:pt idx="1">
                  <c:v>POS 2</c:v>
                </c:pt>
                <c:pt idx="2">
                  <c:v>POS 3</c:v>
                </c:pt>
                <c:pt idx="3">
                  <c:v>POS 4</c:v>
                </c:pt>
                <c:pt idx="4">
                  <c:v>POS 5</c:v>
                </c:pt>
                <c:pt idx="5">
                  <c:v>POS 6</c:v>
                </c:pt>
                <c:pt idx="6">
                  <c:v>POS 7</c:v>
                </c:pt>
              </c:strCache>
            </c:strRef>
          </c:cat>
          <c:val>
            <c:numRef>
              <c:f>Processing!$C$15:$C$21</c:f>
              <c:numCache>
                <c:formatCode>General</c:formatCode>
                <c:ptCount val="7"/>
                <c:pt idx="0">
                  <c:v>535</c:v>
                </c:pt>
                <c:pt idx="1">
                  <c:v>306</c:v>
                </c:pt>
                <c:pt idx="2">
                  <c:v>215</c:v>
                </c:pt>
                <c:pt idx="3">
                  <c:v>567</c:v>
                </c:pt>
                <c:pt idx="4">
                  <c:v>281</c:v>
                </c:pt>
                <c:pt idx="5">
                  <c:v>278</c:v>
                </c:pt>
                <c:pt idx="6">
                  <c:v>365</c:v>
                </c:pt>
              </c:numCache>
            </c:numRef>
          </c:val>
          <c:extLst>
            <c:ext xmlns:c16="http://schemas.microsoft.com/office/drawing/2014/chart" uri="{C3380CC4-5D6E-409C-BE32-E72D297353CC}">
              <c16:uniqueId val="{00000000-8848-48B1-B373-630CDB3DFBF6}"/>
            </c:ext>
          </c:extLst>
        </c:ser>
        <c:ser>
          <c:idx val="0"/>
          <c:order val="1"/>
          <c:spPr>
            <a:solidFill>
              <a:srgbClr val="A3BACA"/>
            </a:solidFill>
            <a:ln>
              <a:noFill/>
            </a:ln>
            <a:effectLst/>
          </c:spPr>
          <c:invertIfNegative val="0"/>
          <c:dPt>
            <c:idx val="3"/>
            <c:invertIfNegative val="0"/>
            <c:bubble3D val="0"/>
            <c:spPr>
              <a:solidFill>
                <a:srgbClr val="A3BACA"/>
              </a:solidFill>
              <a:ln>
                <a:noFill/>
              </a:ln>
              <a:effectLst/>
            </c:spPr>
            <c:extLst>
              <c:ext xmlns:c16="http://schemas.microsoft.com/office/drawing/2014/chart" uri="{C3380CC4-5D6E-409C-BE32-E72D297353CC}">
                <c16:uniqueId val="{00000002-8848-48B1-B373-630CDB3DFBF6}"/>
              </c:ext>
            </c:extLst>
          </c:dPt>
          <c:cat>
            <c:strRef>
              <c:f>Processing!$A$15:$A$21</c:f>
              <c:strCache>
                <c:ptCount val="7"/>
                <c:pt idx="0">
                  <c:v>POS 1</c:v>
                </c:pt>
                <c:pt idx="1">
                  <c:v>POS 2</c:v>
                </c:pt>
                <c:pt idx="2">
                  <c:v>POS 3</c:v>
                </c:pt>
                <c:pt idx="3">
                  <c:v>POS 4</c:v>
                </c:pt>
                <c:pt idx="4">
                  <c:v>POS 5</c:v>
                </c:pt>
                <c:pt idx="5">
                  <c:v>POS 6</c:v>
                </c:pt>
                <c:pt idx="6">
                  <c:v>POS 7</c:v>
                </c:pt>
              </c:strCache>
            </c:strRef>
          </c:cat>
          <c:val>
            <c:numRef>
              <c:f>Processing!$B$15:$B$21</c:f>
              <c:numCache>
                <c:formatCode>General</c:formatCode>
                <c:ptCount val="7"/>
                <c:pt idx="0">
                  <c:v>170</c:v>
                </c:pt>
                <c:pt idx="1">
                  <c:v>401</c:v>
                </c:pt>
                <c:pt idx="2">
                  <c:v>360</c:v>
                </c:pt>
                <c:pt idx="3">
                  <c:v>363</c:v>
                </c:pt>
                <c:pt idx="4">
                  <c:v>340</c:v>
                </c:pt>
                <c:pt idx="5">
                  <c:v>87</c:v>
                </c:pt>
                <c:pt idx="6">
                  <c:v>289</c:v>
                </c:pt>
              </c:numCache>
            </c:numRef>
          </c:val>
          <c:extLst>
            <c:ext xmlns:c16="http://schemas.microsoft.com/office/drawing/2014/chart" uri="{C3380CC4-5D6E-409C-BE32-E72D297353CC}">
              <c16:uniqueId val="{00000003-8848-48B1-B373-630CDB3DFBF6}"/>
            </c:ext>
          </c:extLst>
        </c:ser>
        <c:ser>
          <c:idx val="2"/>
          <c:order val="2"/>
          <c:spPr>
            <a:solidFill>
              <a:srgbClr val="0075AA"/>
            </a:solidFill>
            <a:ln>
              <a:noFill/>
            </a:ln>
            <a:effectLst/>
          </c:spPr>
          <c:invertIfNegative val="0"/>
          <c:val>
            <c:numRef>
              <c:f>Processing!$D$15:$D$21</c:f>
              <c:numCache>
                <c:formatCode>General</c:formatCode>
                <c:ptCount val="7"/>
                <c:pt idx="0">
                  <c:v>0</c:v>
                </c:pt>
                <c:pt idx="1">
                  <c:v>0</c:v>
                </c:pt>
                <c:pt idx="2">
                  <c:v>0</c:v>
                </c:pt>
                <c:pt idx="3">
                  <c:v>0</c:v>
                </c:pt>
                <c:pt idx="4">
                  <c:v>0</c:v>
                </c:pt>
                <c:pt idx="5">
                  <c:v>0</c:v>
                </c:pt>
                <c:pt idx="6">
                  <c:v>289</c:v>
                </c:pt>
              </c:numCache>
            </c:numRef>
          </c:val>
          <c:extLst>
            <c:ext xmlns:c16="http://schemas.microsoft.com/office/drawing/2014/chart" uri="{C3380CC4-5D6E-409C-BE32-E72D297353CC}">
              <c16:uniqueId val="{00000004-8848-48B1-B373-630CDB3DFBF6}"/>
            </c:ext>
          </c:extLst>
        </c:ser>
        <c:dLbls>
          <c:showLegendKey val="0"/>
          <c:showVal val="0"/>
          <c:showCatName val="0"/>
          <c:showSerName val="0"/>
          <c:showPercent val="0"/>
          <c:showBubbleSize val="0"/>
        </c:dLbls>
        <c:gapWidth val="140"/>
        <c:overlap val="100"/>
        <c:axId val="529454096"/>
        <c:axId val="529454576"/>
      </c:barChart>
      <c:catAx>
        <c:axId val="5294540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29454576"/>
        <c:crosses val="autoZero"/>
        <c:auto val="1"/>
        <c:lblAlgn val="ctr"/>
        <c:lblOffset val="100"/>
        <c:noMultiLvlLbl val="0"/>
      </c:catAx>
      <c:valAx>
        <c:axId val="529454576"/>
        <c:scaling>
          <c:orientation val="minMax"/>
        </c:scaling>
        <c:delete val="1"/>
        <c:axPos val="l"/>
        <c:numFmt formatCode="General" sourceLinked="1"/>
        <c:majorTickMark val="out"/>
        <c:minorTickMark val="none"/>
        <c:tickLblPos val="nextTo"/>
        <c:crossAx val="52945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C8CA"/>
            </a:solidFill>
            <a:ln>
              <a:noFill/>
            </a:ln>
          </c:spPr>
          <c:dPt>
            <c:idx val="0"/>
            <c:bubble3D val="0"/>
            <c:spPr>
              <a:solidFill>
                <a:srgbClr val="CBF7F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6BD4-4850-80E5-EE286E67421C}"/>
              </c:ext>
            </c:extLst>
          </c:dPt>
          <c:dPt>
            <c:idx val="1"/>
            <c:bubble3D val="0"/>
            <c:spPr>
              <a:noFill/>
              <a:ln w="19050">
                <a:noFill/>
              </a:ln>
              <a:effectLst/>
            </c:spPr>
            <c:extLst>
              <c:ext xmlns:c16="http://schemas.microsoft.com/office/drawing/2014/chart" uri="{C3380CC4-5D6E-409C-BE32-E72D297353CC}">
                <c16:uniqueId val="{00000003-6BD4-4850-80E5-EE286E67421C}"/>
              </c:ext>
            </c:extLst>
          </c:dPt>
          <c:val>
            <c:numRef>
              <c:f>Processing!$B$3:$C$3</c:f>
              <c:numCache>
                <c:formatCode>0%</c:formatCode>
                <c:ptCount val="2"/>
                <c:pt idx="0">
                  <c:v>0.44</c:v>
                </c:pt>
                <c:pt idx="1">
                  <c:v>0.56000000000000005</c:v>
                </c:pt>
              </c:numCache>
            </c:numRef>
          </c:val>
          <c:extLst>
            <c:ext xmlns:c16="http://schemas.microsoft.com/office/drawing/2014/chart" uri="{C3380CC4-5D6E-409C-BE32-E72D297353CC}">
              <c16:uniqueId val="{00000004-6BD4-4850-80E5-EE286E67421C}"/>
            </c:ext>
          </c:extLst>
        </c:ser>
        <c:ser>
          <c:idx val="1"/>
          <c:order val="1"/>
          <c:spPr>
            <a:ln>
              <a:noFill/>
            </a:ln>
          </c:spPr>
          <c:dPt>
            <c:idx val="0"/>
            <c:bubble3D val="0"/>
            <c:spPr>
              <a:solidFill>
                <a:srgbClr val="0075A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6BD4-4850-80E5-EE286E67421C}"/>
              </c:ext>
            </c:extLst>
          </c:dPt>
          <c:dPt>
            <c:idx val="1"/>
            <c:bubble3D val="0"/>
            <c:spPr>
              <a:noFill/>
              <a:ln w="19050">
                <a:noFill/>
              </a:ln>
              <a:effectLst/>
            </c:spPr>
            <c:extLst>
              <c:ext xmlns:c16="http://schemas.microsoft.com/office/drawing/2014/chart" uri="{C3380CC4-5D6E-409C-BE32-E72D297353CC}">
                <c16:uniqueId val="{00000008-6BD4-4850-80E5-EE286E67421C}"/>
              </c:ext>
            </c:extLst>
          </c:dPt>
          <c:val>
            <c:numRef>
              <c:f>Processing!$B$4:$C$4</c:f>
              <c:numCache>
                <c:formatCode>0%</c:formatCode>
                <c:ptCount val="2"/>
                <c:pt idx="0">
                  <c:v>0.31</c:v>
                </c:pt>
                <c:pt idx="1">
                  <c:v>0.69</c:v>
                </c:pt>
              </c:numCache>
            </c:numRef>
          </c:val>
          <c:extLst>
            <c:ext xmlns:c16="http://schemas.microsoft.com/office/drawing/2014/chart" uri="{C3380CC4-5D6E-409C-BE32-E72D297353CC}">
              <c16:uniqueId val="{00000009-6BD4-4850-80E5-EE286E67421C}"/>
            </c:ext>
          </c:extLst>
        </c:ser>
        <c:ser>
          <c:idx val="2"/>
          <c:order val="2"/>
          <c:spPr>
            <a:ln>
              <a:noFill/>
            </a:ln>
          </c:spPr>
          <c:dPt>
            <c:idx val="0"/>
            <c:bubble3D val="0"/>
            <c:spPr>
              <a:solidFill>
                <a:srgbClr val="06A9E2"/>
              </a:soli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6BD4-4850-80E5-EE286E67421C}"/>
              </c:ext>
            </c:extLst>
          </c:dPt>
          <c:dPt>
            <c:idx val="1"/>
            <c:bubble3D val="0"/>
            <c:spPr>
              <a:noFill/>
              <a:ln w="19050">
                <a:noFill/>
              </a:ln>
              <a:effectLst/>
            </c:spPr>
            <c:extLst>
              <c:ext xmlns:c16="http://schemas.microsoft.com/office/drawing/2014/chart" uri="{C3380CC4-5D6E-409C-BE32-E72D297353CC}">
                <c16:uniqueId val="{0000000D-6BD4-4850-80E5-EE286E67421C}"/>
              </c:ext>
            </c:extLst>
          </c:dPt>
          <c:val>
            <c:numRef>
              <c:f>Processing!$B$5:$C$5</c:f>
              <c:numCache>
                <c:formatCode>0%</c:formatCode>
                <c:ptCount val="2"/>
                <c:pt idx="0">
                  <c:v>0.64</c:v>
                </c:pt>
                <c:pt idx="1">
                  <c:v>0.36</c:v>
                </c:pt>
              </c:numCache>
            </c:numRef>
          </c:val>
          <c:extLst>
            <c:ext xmlns:c16="http://schemas.microsoft.com/office/drawing/2014/chart" uri="{C3380CC4-5D6E-409C-BE32-E72D297353CC}">
              <c16:uniqueId val="{0000000E-6BD4-4850-80E5-EE286E67421C}"/>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CBF7FF"/>
              </a:solidFill>
              <a:ln w="19050">
                <a:noFill/>
              </a:ln>
              <a:effectLst/>
            </c:spPr>
            <c:extLst>
              <c:ext xmlns:c16="http://schemas.microsoft.com/office/drawing/2014/chart" uri="{C3380CC4-5D6E-409C-BE32-E72D297353CC}">
                <c16:uniqueId val="{00000001-DA29-4B39-96DE-8D818BFD3650}"/>
              </c:ext>
            </c:extLst>
          </c:dPt>
          <c:dPt>
            <c:idx val="1"/>
            <c:bubble3D val="0"/>
            <c:spPr>
              <a:solidFill>
                <a:srgbClr val="0865A0"/>
              </a:solidFill>
              <a:ln w="19050">
                <a:noFill/>
              </a:ln>
              <a:effectLst/>
            </c:spPr>
            <c:extLst>
              <c:ext xmlns:c16="http://schemas.microsoft.com/office/drawing/2014/chart" uri="{C3380CC4-5D6E-409C-BE32-E72D297353CC}">
                <c16:uniqueId val="{00000003-DA29-4B39-96DE-8D818BFD3650}"/>
              </c:ext>
            </c:extLst>
          </c:dPt>
          <c:dPt>
            <c:idx val="2"/>
            <c:bubble3D val="0"/>
            <c:spPr>
              <a:solidFill>
                <a:srgbClr val="A3BACA"/>
              </a:solidFill>
              <a:ln w="19050">
                <a:noFill/>
              </a:ln>
              <a:effectLst/>
            </c:spPr>
            <c:extLst>
              <c:ext xmlns:c16="http://schemas.microsoft.com/office/drawing/2014/chart" uri="{C3380CC4-5D6E-409C-BE32-E72D297353CC}">
                <c16:uniqueId val="{00000005-DA29-4B39-96DE-8D818BFD3650}"/>
              </c:ext>
            </c:extLst>
          </c:dPt>
          <c:dPt>
            <c:idx val="3"/>
            <c:bubble3D val="0"/>
            <c:spPr>
              <a:solidFill>
                <a:srgbClr val="065A7C"/>
              </a:solidFill>
              <a:ln w="19050">
                <a:noFill/>
              </a:ln>
              <a:effectLst/>
            </c:spPr>
            <c:extLst>
              <c:ext xmlns:c16="http://schemas.microsoft.com/office/drawing/2014/chart" uri="{C3380CC4-5D6E-409C-BE32-E72D297353CC}">
                <c16:uniqueId val="{00000007-DA29-4B39-96DE-8D818BFD3650}"/>
              </c:ext>
            </c:extLst>
          </c:dPt>
          <c:cat>
            <c:strRef>
              <c:f>Processing!$A$8:$A$11</c:f>
              <c:strCache>
                <c:ptCount val="4"/>
                <c:pt idx="0">
                  <c:v>Online sales</c:v>
                </c:pt>
                <c:pt idx="1">
                  <c:v>Regular sales</c:v>
                </c:pt>
                <c:pt idx="2">
                  <c:v>Upselling</c:v>
                </c:pt>
                <c:pt idx="3">
                  <c:v>Other</c:v>
                </c:pt>
              </c:strCache>
            </c:strRef>
          </c:cat>
          <c:val>
            <c:numRef>
              <c:f>Processing!$B$8:$B$11</c:f>
              <c:numCache>
                <c:formatCode>0%</c:formatCode>
                <c:ptCount val="4"/>
                <c:pt idx="0">
                  <c:v>0.29000000000000004</c:v>
                </c:pt>
                <c:pt idx="1">
                  <c:v>0.3066666666666667</c:v>
                </c:pt>
                <c:pt idx="2">
                  <c:v>0.25</c:v>
                </c:pt>
                <c:pt idx="3">
                  <c:v>0.15333333333333335</c:v>
                </c:pt>
              </c:numCache>
            </c:numRef>
          </c:val>
          <c:extLst>
            <c:ext xmlns:c16="http://schemas.microsoft.com/office/drawing/2014/chart" uri="{C3380CC4-5D6E-409C-BE32-E72D297353CC}">
              <c16:uniqueId val="{00000008-DA29-4B39-96DE-8D818BFD3650}"/>
            </c:ext>
          </c:extLst>
        </c:ser>
        <c:dLbls>
          <c:showLegendKey val="0"/>
          <c:showVal val="0"/>
          <c:showCatName val="0"/>
          <c:showSerName val="0"/>
          <c:showPercent val="0"/>
          <c:showBubbleSize val="0"/>
          <c:showLeaderLines val="1"/>
        </c:dLbls>
        <c:firstSliceAng val="30"/>
      </c:pieChart>
      <c:spPr>
        <a:noFill/>
        <a:ln>
          <a:noFill/>
        </a:ln>
        <a:effectLst/>
      </c:spPr>
    </c:plotArea>
    <c:legend>
      <c:legendPos val="l"/>
      <c:layout>
        <c:manualLayout>
          <c:xMode val="edge"/>
          <c:yMode val="edge"/>
          <c:x val="0"/>
          <c:y val="0.42744414410885206"/>
          <c:w val="0.28677298311444654"/>
          <c:h val="0.5597054099580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847542488084592E-2"/>
          <c:y val="5.7946898055778904E-3"/>
          <c:w val="0.97830491502383077"/>
          <c:h val="0.96812920606932162"/>
        </c:manualLayout>
      </c:layout>
      <c:bubbleChart>
        <c:varyColors val="0"/>
        <c:ser>
          <c:idx val="0"/>
          <c:order val="0"/>
          <c:spPr>
            <a:solidFill>
              <a:srgbClr val="0075AA"/>
            </a:solidFill>
            <a:ln w="25400">
              <a:noFill/>
            </a:ln>
            <a:effectLst/>
          </c:spPr>
          <c:invertIfNegative val="0"/>
          <c:dPt>
            <c:idx val="0"/>
            <c:invertIfNegative val="0"/>
            <c:bubble3D val="0"/>
            <c:spPr>
              <a:solidFill>
                <a:srgbClr val="06A9E2"/>
              </a:solidFill>
              <a:ln w="25400">
                <a:noFill/>
              </a:ln>
              <a:effectLst/>
            </c:spPr>
            <c:extLst>
              <c:ext xmlns:c16="http://schemas.microsoft.com/office/drawing/2014/chart" uri="{C3380CC4-5D6E-409C-BE32-E72D297353CC}">
                <c16:uniqueId val="{00000001-1A44-4388-88D5-14C045204AAC}"/>
              </c:ext>
            </c:extLst>
          </c:dPt>
          <c:dPt>
            <c:idx val="1"/>
            <c:invertIfNegative val="0"/>
            <c:bubble3D val="0"/>
            <c:spPr>
              <a:solidFill>
                <a:srgbClr val="0075AA">
                  <a:alpha val="77000"/>
                </a:srgbClr>
              </a:solidFill>
              <a:ln w="25400">
                <a:noFill/>
              </a:ln>
              <a:effectLst/>
            </c:spPr>
            <c:extLst>
              <c:ext xmlns:c16="http://schemas.microsoft.com/office/drawing/2014/chart" uri="{C3380CC4-5D6E-409C-BE32-E72D297353CC}">
                <c16:uniqueId val="{00000003-1A44-4388-88D5-14C045204AAC}"/>
              </c:ext>
            </c:extLst>
          </c:dPt>
          <c:dPt>
            <c:idx val="2"/>
            <c:invertIfNegative val="0"/>
            <c:bubble3D val="0"/>
            <c:spPr>
              <a:solidFill>
                <a:srgbClr val="B9F5FF">
                  <a:alpha val="80000"/>
                </a:srgbClr>
              </a:solidFill>
              <a:ln w="25400">
                <a:noFill/>
              </a:ln>
              <a:effectLst/>
            </c:spPr>
            <c:extLst>
              <c:ext xmlns:c16="http://schemas.microsoft.com/office/drawing/2014/chart" uri="{C3380CC4-5D6E-409C-BE32-E72D297353CC}">
                <c16:uniqueId val="{00000005-1A44-4388-88D5-14C045204AAC}"/>
              </c:ext>
            </c:extLst>
          </c:dPt>
          <c:xVal>
            <c:numRef>
              <c:f>Processing!$Q$18:$Q$20</c:f>
              <c:numCache>
                <c:formatCode>0%</c:formatCode>
                <c:ptCount val="3"/>
                <c:pt idx="0">
                  <c:v>0.4</c:v>
                </c:pt>
                <c:pt idx="1">
                  <c:v>0.51</c:v>
                </c:pt>
                <c:pt idx="2">
                  <c:v>0.5</c:v>
                </c:pt>
              </c:numCache>
            </c:numRef>
          </c:xVal>
          <c:yVal>
            <c:numRef>
              <c:f>Processing!$R$18:$R$20</c:f>
              <c:numCache>
                <c:formatCode>0%</c:formatCode>
                <c:ptCount val="3"/>
                <c:pt idx="0">
                  <c:v>0.55000000000000004</c:v>
                </c:pt>
                <c:pt idx="1">
                  <c:v>0.6</c:v>
                </c:pt>
                <c:pt idx="2">
                  <c:v>0.5</c:v>
                </c:pt>
              </c:numCache>
            </c:numRef>
          </c:yVal>
          <c:bubbleSize>
            <c:numRef>
              <c:f>Processing!$S$18:$S$20</c:f>
              <c:numCache>
                <c:formatCode>0%</c:formatCode>
                <c:ptCount val="3"/>
                <c:pt idx="0">
                  <c:v>0.87</c:v>
                </c:pt>
                <c:pt idx="1">
                  <c:v>0.84</c:v>
                </c:pt>
                <c:pt idx="2">
                  <c:v>0.8</c:v>
                </c:pt>
              </c:numCache>
            </c:numRef>
          </c:bubbleSize>
          <c:bubble3D val="0"/>
          <c:extLst>
            <c:ext xmlns:c16="http://schemas.microsoft.com/office/drawing/2014/chart" uri="{C3380CC4-5D6E-409C-BE32-E72D297353CC}">
              <c16:uniqueId val="{00000006-1A44-4388-88D5-14C045204AAC}"/>
            </c:ext>
          </c:extLst>
        </c:ser>
        <c:dLbls>
          <c:showLegendKey val="0"/>
          <c:showVal val="0"/>
          <c:showCatName val="0"/>
          <c:showSerName val="0"/>
          <c:showPercent val="0"/>
          <c:showBubbleSize val="0"/>
        </c:dLbls>
        <c:bubbleScale val="100"/>
        <c:showNegBubbles val="0"/>
        <c:axId val="651962575"/>
        <c:axId val="651954895"/>
      </c:bubbleChart>
      <c:valAx>
        <c:axId val="651962575"/>
        <c:scaling>
          <c:orientation val="minMax"/>
          <c:max val="1"/>
          <c:min val="0"/>
        </c:scaling>
        <c:delete val="1"/>
        <c:axPos val="b"/>
        <c:numFmt formatCode="0%" sourceLinked="1"/>
        <c:majorTickMark val="none"/>
        <c:minorTickMark val="none"/>
        <c:tickLblPos val="nextTo"/>
        <c:crossAx val="651954895"/>
        <c:crosses val="autoZero"/>
        <c:crossBetween val="midCat"/>
      </c:valAx>
      <c:valAx>
        <c:axId val="651954895"/>
        <c:scaling>
          <c:orientation val="minMax"/>
          <c:max val="1"/>
          <c:min val="0"/>
        </c:scaling>
        <c:delete val="1"/>
        <c:axPos val="l"/>
        <c:numFmt formatCode="0%" sourceLinked="1"/>
        <c:majorTickMark val="none"/>
        <c:minorTickMark val="none"/>
        <c:tickLblPos val="nextTo"/>
        <c:crossAx val="6519625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rgbClr val="06A9E2"/>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998</c:v>
                </c:pt>
                <c:pt idx="1">
                  <c:v>1080</c:v>
                </c:pt>
                <c:pt idx="2">
                  <c:v>1220</c:v>
                </c:pt>
                <c:pt idx="3">
                  <c:v>1215</c:v>
                </c:pt>
                <c:pt idx="4">
                  <c:v>1000</c:v>
                </c:pt>
                <c:pt idx="5">
                  <c:v>920</c:v>
                </c:pt>
                <c:pt idx="6">
                  <c:v>895</c:v>
                </c:pt>
                <c:pt idx="7">
                  <c:v>956</c:v>
                </c:pt>
                <c:pt idx="8">
                  <c:v>1072</c:v>
                </c:pt>
                <c:pt idx="9">
                  <c:v>1084</c:v>
                </c:pt>
                <c:pt idx="10">
                  <c:v>997</c:v>
                </c:pt>
                <c:pt idx="11">
                  <c:v>821</c:v>
                </c:pt>
              </c:numCache>
            </c:numRef>
          </c:val>
          <c:extLst>
            <c:ext xmlns:c16="http://schemas.microsoft.com/office/drawing/2014/chart" uri="{C3380CC4-5D6E-409C-BE32-E72D297353CC}">
              <c16:uniqueId val="{00000000-CF8B-41C0-B47C-5898EA295337}"/>
            </c:ext>
          </c:extLst>
        </c:ser>
        <c:ser>
          <c:idx val="1"/>
          <c:order val="1"/>
          <c:spPr>
            <a:solidFill>
              <a:srgbClr val="0075AA"/>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Processing!$O$2:$O$13</c:f>
              <c:numCache>
                <c:formatCode>General</c:formatCode>
                <c:ptCount val="12"/>
                <c:pt idx="0">
                  <c:v>778</c:v>
                </c:pt>
                <c:pt idx="1">
                  <c:v>715</c:v>
                </c:pt>
                <c:pt idx="2">
                  <c:v>589</c:v>
                </c:pt>
                <c:pt idx="3">
                  <c:v>668</c:v>
                </c:pt>
                <c:pt idx="4">
                  <c:v>670</c:v>
                </c:pt>
                <c:pt idx="5">
                  <c:v>588</c:v>
                </c:pt>
                <c:pt idx="6">
                  <c:v>534</c:v>
                </c:pt>
                <c:pt idx="7">
                  <c:v>576</c:v>
                </c:pt>
                <c:pt idx="8">
                  <c:v>684</c:v>
                </c:pt>
                <c:pt idx="9">
                  <c:v>736</c:v>
                </c:pt>
                <c:pt idx="10">
                  <c:v>710</c:v>
                </c:pt>
                <c:pt idx="11">
                  <c:v>628</c:v>
                </c:pt>
              </c:numCache>
            </c:numRef>
          </c:val>
          <c:extLst>
            <c:ext xmlns:c16="http://schemas.microsoft.com/office/drawing/2014/chart" uri="{C3380CC4-5D6E-409C-BE32-E72D297353CC}">
              <c16:uniqueId val="{00000001-CF8B-41C0-B47C-5898EA295337}"/>
            </c:ext>
          </c:extLst>
        </c:ser>
        <c:ser>
          <c:idx val="2"/>
          <c:order val="2"/>
          <c:spPr>
            <a:solidFill>
              <a:srgbClr val="CBF7FF"/>
            </a:solidFill>
            <a:ln w="25400">
              <a:noFill/>
            </a:ln>
            <a:effectLst/>
          </c:spPr>
          <c:cat>
            <c:strRef>
              <c:f>Processing!$M$2:$M$13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Processing!$P$2:$P$13</c:f>
              <c:numCache>
                <c:formatCode>General</c:formatCode>
                <c:ptCount val="12"/>
                <c:pt idx="0">
                  <c:v>532</c:v>
                </c:pt>
                <c:pt idx="1">
                  <c:v>364</c:v>
                </c:pt>
                <c:pt idx="2">
                  <c:v>289</c:v>
                </c:pt>
                <c:pt idx="3">
                  <c:v>295</c:v>
                </c:pt>
                <c:pt idx="4">
                  <c:v>346</c:v>
                </c:pt>
                <c:pt idx="5">
                  <c:v>370</c:v>
                </c:pt>
                <c:pt idx="6">
                  <c:v>324</c:v>
                </c:pt>
                <c:pt idx="7">
                  <c:v>226</c:v>
                </c:pt>
                <c:pt idx="8">
                  <c:v>174</c:v>
                </c:pt>
                <c:pt idx="9">
                  <c:v>190</c:v>
                </c:pt>
                <c:pt idx="10">
                  <c:v>252</c:v>
                </c:pt>
                <c:pt idx="11">
                  <c:v>367</c:v>
                </c:pt>
              </c:numCache>
            </c:numRef>
          </c:val>
          <c:extLst>
            <c:ext xmlns:c16="http://schemas.microsoft.com/office/drawing/2014/chart" uri="{C3380CC4-5D6E-409C-BE32-E72D297353CC}">
              <c16:uniqueId val="{00000002-CF8B-41C0-B47C-5898EA295337}"/>
            </c:ext>
          </c:extLst>
        </c:ser>
        <c:dLbls>
          <c:showLegendKey val="0"/>
          <c:showVal val="0"/>
          <c:showCatName val="0"/>
          <c:showSerName val="0"/>
          <c:showPercent val="0"/>
          <c:showBubbleSize val="0"/>
        </c:dLbls>
        <c:axId val="302990448"/>
        <c:axId val="303008208"/>
      </c:areaChart>
      <c:lineChart>
        <c:grouping val="standard"/>
        <c:varyColors val="0"/>
        <c:ser>
          <c:idx val="3"/>
          <c:order val="3"/>
          <c:spPr>
            <a:ln w="50800" cap="rnd">
              <a:solidFill>
                <a:srgbClr val="06A9E2"/>
              </a:solidFill>
              <a:round/>
            </a:ln>
            <a:effectLst>
              <a:outerShdw blurRad="50800" dist="38100" dir="5400000" algn="t" rotWithShape="0">
                <a:prstClr val="black">
                  <a:alpha val="40000"/>
                </a:prstClr>
              </a:outerShdw>
            </a:effectLst>
          </c:spPr>
          <c:marker>
            <c:symbol val="none"/>
          </c:marker>
          <c:val>
            <c:numRef>
              <c:f>Processing!$N$2:$N$13</c:f>
              <c:numCache>
                <c:formatCode>General</c:formatCode>
                <c:ptCount val="12"/>
                <c:pt idx="0">
                  <c:v>998</c:v>
                </c:pt>
                <c:pt idx="1">
                  <c:v>1080</c:v>
                </c:pt>
                <c:pt idx="2">
                  <c:v>1220</c:v>
                </c:pt>
                <c:pt idx="3">
                  <c:v>1215</c:v>
                </c:pt>
                <c:pt idx="4">
                  <c:v>1000</c:v>
                </c:pt>
                <c:pt idx="5">
                  <c:v>920</c:v>
                </c:pt>
                <c:pt idx="6">
                  <c:v>895</c:v>
                </c:pt>
                <c:pt idx="7">
                  <c:v>956</c:v>
                </c:pt>
                <c:pt idx="8">
                  <c:v>1072</c:v>
                </c:pt>
                <c:pt idx="9">
                  <c:v>1084</c:v>
                </c:pt>
                <c:pt idx="10">
                  <c:v>997</c:v>
                </c:pt>
                <c:pt idx="11">
                  <c:v>821</c:v>
                </c:pt>
              </c:numCache>
            </c:numRef>
          </c:val>
          <c:smooth val="1"/>
          <c:extLst>
            <c:ext xmlns:c16="http://schemas.microsoft.com/office/drawing/2014/chart" uri="{C3380CC4-5D6E-409C-BE32-E72D297353CC}">
              <c16:uniqueId val="{00000003-CF8B-41C0-B47C-5898EA295337}"/>
            </c:ext>
          </c:extLst>
        </c:ser>
        <c:ser>
          <c:idx val="4"/>
          <c:order val="4"/>
          <c:spPr>
            <a:ln w="50800" cap="rnd">
              <a:solidFill>
                <a:srgbClr val="0075AA"/>
              </a:solidFill>
              <a:round/>
            </a:ln>
            <a:effectLst>
              <a:outerShdw blurRad="50800" dist="38100" dir="5400000" algn="t" rotWithShape="0">
                <a:prstClr val="black">
                  <a:alpha val="40000"/>
                </a:prstClr>
              </a:outerShdw>
            </a:effectLst>
          </c:spPr>
          <c:marker>
            <c:symbol val="none"/>
          </c:marker>
          <c:val>
            <c:numRef>
              <c:f>Processing!$O$2:$O$13</c:f>
              <c:numCache>
                <c:formatCode>General</c:formatCode>
                <c:ptCount val="12"/>
                <c:pt idx="0">
                  <c:v>778</c:v>
                </c:pt>
                <c:pt idx="1">
                  <c:v>715</c:v>
                </c:pt>
                <c:pt idx="2">
                  <c:v>589</c:v>
                </c:pt>
                <c:pt idx="3">
                  <c:v>668</c:v>
                </c:pt>
                <c:pt idx="4">
                  <c:v>670</c:v>
                </c:pt>
                <c:pt idx="5">
                  <c:v>588</c:v>
                </c:pt>
                <c:pt idx="6">
                  <c:v>534</c:v>
                </c:pt>
                <c:pt idx="7">
                  <c:v>576</c:v>
                </c:pt>
                <c:pt idx="8">
                  <c:v>684</c:v>
                </c:pt>
                <c:pt idx="9">
                  <c:v>736</c:v>
                </c:pt>
                <c:pt idx="10">
                  <c:v>710</c:v>
                </c:pt>
                <c:pt idx="11">
                  <c:v>628</c:v>
                </c:pt>
              </c:numCache>
            </c:numRef>
          </c:val>
          <c:smooth val="1"/>
          <c:extLst>
            <c:ext xmlns:c16="http://schemas.microsoft.com/office/drawing/2014/chart" uri="{C3380CC4-5D6E-409C-BE32-E72D297353CC}">
              <c16:uniqueId val="{00000004-CF8B-41C0-B47C-5898EA295337}"/>
            </c:ext>
          </c:extLst>
        </c:ser>
        <c:ser>
          <c:idx val="5"/>
          <c:order val="5"/>
          <c:spPr>
            <a:ln w="50800" cap="rnd">
              <a:solidFill>
                <a:srgbClr val="CBF7FF"/>
              </a:solidFill>
              <a:round/>
            </a:ln>
            <a:effectLst>
              <a:outerShdw blurRad="50800" dist="38100" dir="5400000" algn="t" rotWithShape="0">
                <a:prstClr val="black">
                  <a:alpha val="40000"/>
                </a:prstClr>
              </a:outerShdw>
            </a:effectLst>
          </c:spPr>
          <c:marker>
            <c:symbol val="none"/>
          </c:marker>
          <c:val>
            <c:numRef>
              <c:f>Processing!$P$2:$P$13</c:f>
              <c:numCache>
                <c:formatCode>General</c:formatCode>
                <c:ptCount val="12"/>
                <c:pt idx="0">
                  <c:v>532</c:v>
                </c:pt>
                <c:pt idx="1">
                  <c:v>364</c:v>
                </c:pt>
                <c:pt idx="2">
                  <c:v>289</c:v>
                </c:pt>
                <c:pt idx="3">
                  <c:v>295</c:v>
                </c:pt>
                <c:pt idx="4">
                  <c:v>346</c:v>
                </c:pt>
                <c:pt idx="5">
                  <c:v>370</c:v>
                </c:pt>
                <c:pt idx="6">
                  <c:v>324</c:v>
                </c:pt>
                <c:pt idx="7">
                  <c:v>226</c:v>
                </c:pt>
                <c:pt idx="8">
                  <c:v>174</c:v>
                </c:pt>
                <c:pt idx="9">
                  <c:v>190</c:v>
                </c:pt>
                <c:pt idx="10">
                  <c:v>252</c:v>
                </c:pt>
                <c:pt idx="11">
                  <c:v>367</c:v>
                </c:pt>
              </c:numCache>
            </c:numRef>
          </c:val>
          <c:smooth val="1"/>
          <c:extLst>
            <c:ext xmlns:c16="http://schemas.microsoft.com/office/drawing/2014/chart" uri="{C3380CC4-5D6E-409C-BE32-E72D297353CC}">
              <c16:uniqueId val="{00000005-CF8B-41C0-B47C-5898EA295337}"/>
            </c:ext>
          </c:extLst>
        </c:ser>
        <c:dLbls>
          <c:showLegendKey val="0"/>
          <c:showVal val="0"/>
          <c:showCatName val="0"/>
          <c:showSerName val="0"/>
          <c:showPercent val="0"/>
          <c:showBubbleSize val="0"/>
        </c:dLbls>
        <c:marker val="1"/>
        <c:smooth val="0"/>
        <c:axId val="302990448"/>
        <c:axId val="303008208"/>
      </c:lineChart>
      <c:scatterChart>
        <c:scatterStyle val="lineMarker"/>
        <c:varyColors val="0"/>
        <c:ser>
          <c:idx val="6"/>
          <c:order val="6"/>
          <c:tx>
            <c:v>Cursors</c:v>
          </c:tx>
          <c:spPr>
            <a:ln w="25400" cap="rnd">
              <a:noFill/>
              <a:round/>
            </a:ln>
            <a:effectLst/>
          </c:spPr>
          <c:marker>
            <c:symbol val="circle"/>
            <c:size val="5"/>
            <c:spPr>
              <a:noFill/>
              <a:ln w="9525">
                <a:noFill/>
              </a:ln>
              <a:effectLst/>
            </c:spPr>
          </c:marker>
          <c:errBars>
            <c:errDir val="y"/>
            <c:errBarType val="minus"/>
            <c:errValType val="cust"/>
            <c:noEndCap val="1"/>
            <c:plus>
              <c:numLit>
                <c:formatCode>General</c:formatCode>
                <c:ptCount val="1"/>
                <c:pt idx="0">
                  <c:v>1</c:v>
                </c:pt>
              </c:numLit>
            </c:plus>
            <c:minus>
              <c:numRef>
                <c:f>Processing!$Q$2:$Q$13</c:f>
                <c:numCache>
                  <c:formatCode>General</c:formatCode>
                  <c:ptCount val="12"/>
                  <c:pt idx="0">
                    <c:v>0</c:v>
                  </c:pt>
                  <c:pt idx="1">
                    <c:v>0</c:v>
                  </c:pt>
                  <c:pt idx="2">
                    <c:v>0</c:v>
                  </c:pt>
                  <c:pt idx="3">
                    <c:v>0</c:v>
                  </c:pt>
                  <c:pt idx="4">
                    <c:v>0</c:v>
                  </c:pt>
                  <c:pt idx="5">
                    <c:v>0</c:v>
                  </c:pt>
                  <c:pt idx="6">
                    <c:v>0</c:v>
                  </c:pt>
                  <c:pt idx="7">
                    <c:v>0</c:v>
                  </c:pt>
                  <c:pt idx="8">
                    <c:v>0</c:v>
                  </c:pt>
                  <c:pt idx="9">
                    <c:v>1342</c:v>
                  </c:pt>
                  <c:pt idx="10">
                    <c:v>0</c:v>
                  </c:pt>
                  <c:pt idx="11">
                    <c:v>0</c:v>
                  </c:pt>
                </c:numCache>
              </c:numRef>
            </c:minus>
            <c:spPr>
              <a:noFill/>
              <a:ln w="9525" cap="flat" cmpd="sng" algn="ctr">
                <a:solidFill>
                  <a:schemeClr val="bg1"/>
                </a:solidFill>
                <a:round/>
              </a:ln>
              <a:effectLst/>
            </c:spPr>
          </c:errBars>
          <c:yVal>
            <c:numRef>
              <c:f>Processing!$Q$2:$Q$13</c:f>
              <c:numCache>
                <c:formatCode>General</c:formatCode>
                <c:ptCount val="12"/>
                <c:pt idx="0">
                  <c:v>0</c:v>
                </c:pt>
                <c:pt idx="1">
                  <c:v>0</c:v>
                </c:pt>
                <c:pt idx="2">
                  <c:v>0</c:v>
                </c:pt>
                <c:pt idx="3">
                  <c:v>0</c:v>
                </c:pt>
                <c:pt idx="4">
                  <c:v>0</c:v>
                </c:pt>
                <c:pt idx="5">
                  <c:v>0</c:v>
                </c:pt>
                <c:pt idx="6">
                  <c:v>0</c:v>
                </c:pt>
                <c:pt idx="7">
                  <c:v>0</c:v>
                </c:pt>
                <c:pt idx="8">
                  <c:v>0</c:v>
                </c:pt>
                <c:pt idx="9">
                  <c:v>1342</c:v>
                </c:pt>
                <c:pt idx="10">
                  <c:v>0</c:v>
                </c:pt>
                <c:pt idx="11">
                  <c:v>0</c:v>
                </c:pt>
              </c:numCache>
            </c:numRef>
          </c:yVal>
          <c:smooth val="0"/>
          <c:extLst>
            <c:ext xmlns:c16="http://schemas.microsoft.com/office/drawing/2014/chart" uri="{C3380CC4-5D6E-409C-BE32-E72D297353CC}">
              <c16:uniqueId val="{00000006-CF8B-41C0-B47C-5898EA295337}"/>
            </c:ext>
          </c:extLst>
        </c:ser>
        <c:dLbls>
          <c:showLegendKey val="0"/>
          <c:showVal val="0"/>
          <c:showCatName val="0"/>
          <c:showSerName val="0"/>
          <c:showPercent val="0"/>
          <c:showBubbleSize val="0"/>
        </c:dLbls>
        <c:axId val="302990448"/>
        <c:axId val="303008208"/>
      </c:scatterChart>
      <c:catAx>
        <c:axId val="30299044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75000"/>
                    <a:lumOff val="25000"/>
                  </a:schemeClr>
                </a:solidFill>
                <a:latin typeface="+mn-lt"/>
                <a:ea typeface="+mn-ea"/>
                <a:cs typeface="+mn-cs"/>
              </a:defRPr>
            </a:pPr>
            <a:endParaRPr lang="ru-RU"/>
          </a:p>
        </c:txPr>
        <c:crossAx val="303008208"/>
        <c:crosses val="autoZero"/>
        <c:auto val="1"/>
        <c:lblAlgn val="ctr"/>
        <c:lblOffset val="100"/>
        <c:noMultiLvlLbl val="0"/>
      </c:catAx>
      <c:valAx>
        <c:axId val="303008208"/>
        <c:scaling>
          <c:orientation val="minMax"/>
          <c:max val="1600"/>
          <c:min val="0"/>
        </c:scaling>
        <c:delete val="1"/>
        <c:axPos val="l"/>
        <c:numFmt formatCode="General" sourceLinked="1"/>
        <c:majorTickMark val="out"/>
        <c:minorTickMark val="none"/>
        <c:tickLblPos val="nextTo"/>
        <c:crossAx val="3029904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C8CA"/>
            </a:solidFill>
            <a:ln>
              <a:noFill/>
            </a:ln>
          </c:spPr>
          <c:dPt>
            <c:idx val="0"/>
            <c:bubble3D val="0"/>
            <c:spPr>
              <a:solidFill>
                <a:srgbClr val="CBF7F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BB7-4148-A21D-A16C8770F6DE}"/>
              </c:ext>
            </c:extLst>
          </c:dPt>
          <c:dPt>
            <c:idx val="1"/>
            <c:bubble3D val="0"/>
            <c:spPr>
              <a:noFill/>
              <a:ln w="19050">
                <a:noFill/>
              </a:ln>
              <a:effectLst/>
            </c:spPr>
            <c:extLst>
              <c:ext xmlns:c16="http://schemas.microsoft.com/office/drawing/2014/chart" uri="{C3380CC4-5D6E-409C-BE32-E72D297353CC}">
                <c16:uniqueId val="{00000003-DBB7-4148-A21D-A16C8770F6DE}"/>
              </c:ext>
            </c:extLst>
          </c:dPt>
          <c:val>
            <c:numRef>
              <c:f>Processing!$B$3:$C$3</c:f>
              <c:numCache>
                <c:formatCode>0%</c:formatCode>
                <c:ptCount val="2"/>
                <c:pt idx="0">
                  <c:v>0.44</c:v>
                </c:pt>
                <c:pt idx="1">
                  <c:v>0.56000000000000005</c:v>
                </c:pt>
              </c:numCache>
            </c:numRef>
          </c:val>
          <c:extLst>
            <c:ext xmlns:c16="http://schemas.microsoft.com/office/drawing/2014/chart" uri="{C3380CC4-5D6E-409C-BE32-E72D297353CC}">
              <c16:uniqueId val="{00000004-DBB7-4148-A21D-A16C8770F6DE}"/>
            </c:ext>
          </c:extLst>
        </c:ser>
        <c:ser>
          <c:idx val="1"/>
          <c:order val="1"/>
          <c:spPr>
            <a:ln>
              <a:noFill/>
            </a:ln>
          </c:spPr>
          <c:dPt>
            <c:idx val="0"/>
            <c:bubble3D val="0"/>
            <c:spPr>
              <a:solidFill>
                <a:srgbClr val="0075A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DBB7-4148-A21D-A16C8770F6DE}"/>
              </c:ext>
            </c:extLst>
          </c:dPt>
          <c:dPt>
            <c:idx val="1"/>
            <c:bubble3D val="0"/>
            <c:spPr>
              <a:noFill/>
              <a:ln w="19050">
                <a:noFill/>
              </a:ln>
              <a:effectLst/>
            </c:spPr>
            <c:extLst>
              <c:ext xmlns:c16="http://schemas.microsoft.com/office/drawing/2014/chart" uri="{C3380CC4-5D6E-409C-BE32-E72D297353CC}">
                <c16:uniqueId val="{00000008-DBB7-4148-A21D-A16C8770F6DE}"/>
              </c:ext>
            </c:extLst>
          </c:dPt>
          <c:val>
            <c:numRef>
              <c:f>Processing!$B$4:$C$4</c:f>
              <c:numCache>
                <c:formatCode>0%</c:formatCode>
                <c:ptCount val="2"/>
                <c:pt idx="0">
                  <c:v>0.31</c:v>
                </c:pt>
                <c:pt idx="1">
                  <c:v>0.69</c:v>
                </c:pt>
              </c:numCache>
            </c:numRef>
          </c:val>
          <c:extLst>
            <c:ext xmlns:c16="http://schemas.microsoft.com/office/drawing/2014/chart" uri="{C3380CC4-5D6E-409C-BE32-E72D297353CC}">
              <c16:uniqueId val="{00000009-DBB7-4148-A21D-A16C8770F6DE}"/>
            </c:ext>
          </c:extLst>
        </c:ser>
        <c:ser>
          <c:idx val="2"/>
          <c:order val="2"/>
          <c:spPr>
            <a:ln>
              <a:noFill/>
            </a:ln>
          </c:spPr>
          <c:dPt>
            <c:idx val="0"/>
            <c:bubble3D val="0"/>
            <c:spPr>
              <a:solidFill>
                <a:srgbClr val="06A9E2"/>
              </a:soli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DBB7-4148-A21D-A16C8770F6DE}"/>
              </c:ext>
            </c:extLst>
          </c:dPt>
          <c:dPt>
            <c:idx val="1"/>
            <c:bubble3D val="0"/>
            <c:spPr>
              <a:noFill/>
              <a:ln w="19050">
                <a:noFill/>
              </a:ln>
              <a:effectLst/>
            </c:spPr>
            <c:extLst>
              <c:ext xmlns:c16="http://schemas.microsoft.com/office/drawing/2014/chart" uri="{C3380CC4-5D6E-409C-BE32-E72D297353CC}">
                <c16:uniqueId val="{0000000D-DBB7-4148-A21D-A16C8770F6DE}"/>
              </c:ext>
            </c:extLst>
          </c:dPt>
          <c:val>
            <c:numRef>
              <c:f>Processing!$B$5:$C$5</c:f>
              <c:numCache>
                <c:formatCode>0%</c:formatCode>
                <c:ptCount val="2"/>
                <c:pt idx="0">
                  <c:v>0.64</c:v>
                </c:pt>
                <c:pt idx="1">
                  <c:v>0.36</c:v>
                </c:pt>
              </c:numCache>
            </c:numRef>
          </c:val>
          <c:extLst>
            <c:ext xmlns:c16="http://schemas.microsoft.com/office/drawing/2014/chart" uri="{C3380CC4-5D6E-409C-BE32-E72D297353CC}">
              <c16:uniqueId val="{0000000E-DBB7-4148-A21D-A16C8770F6DE}"/>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CBF7FF"/>
              </a:solidFill>
              <a:ln w="19050">
                <a:noFill/>
              </a:ln>
              <a:effectLst/>
            </c:spPr>
            <c:extLst>
              <c:ext xmlns:c16="http://schemas.microsoft.com/office/drawing/2014/chart" uri="{C3380CC4-5D6E-409C-BE32-E72D297353CC}">
                <c16:uniqueId val="{00000001-5081-4301-A736-9D8B6058F670}"/>
              </c:ext>
            </c:extLst>
          </c:dPt>
          <c:dPt>
            <c:idx val="1"/>
            <c:bubble3D val="0"/>
            <c:spPr>
              <a:solidFill>
                <a:srgbClr val="0865A0"/>
              </a:solidFill>
              <a:ln w="19050">
                <a:noFill/>
              </a:ln>
              <a:effectLst/>
            </c:spPr>
            <c:extLst>
              <c:ext xmlns:c16="http://schemas.microsoft.com/office/drawing/2014/chart" uri="{C3380CC4-5D6E-409C-BE32-E72D297353CC}">
                <c16:uniqueId val="{00000003-5081-4301-A736-9D8B6058F670}"/>
              </c:ext>
            </c:extLst>
          </c:dPt>
          <c:dPt>
            <c:idx val="2"/>
            <c:bubble3D val="0"/>
            <c:spPr>
              <a:solidFill>
                <a:srgbClr val="A3BACA"/>
              </a:solidFill>
              <a:ln w="19050">
                <a:noFill/>
              </a:ln>
              <a:effectLst/>
            </c:spPr>
            <c:extLst>
              <c:ext xmlns:c16="http://schemas.microsoft.com/office/drawing/2014/chart" uri="{C3380CC4-5D6E-409C-BE32-E72D297353CC}">
                <c16:uniqueId val="{00000005-5081-4301-A736-9D8B6058F670}"/>
              </c:ext>
            </c:extLst>
          </c:dPt>
          <c:dPt>
            <c:idx val="3"/>
            <c:bubble3D val="0"/>
            <c:spPr>
              <a:solidFill>
                <a:srgbClr val="065A7C"/>
              </a:solidFill>
              <a:ln w="19050">
                <a:noFill/>
              </a:ln>
              <a:effectLst/>
            </c:spPr>
            <c:extLst>
              <c:ext xmlns:c16="http://schemas.microsoft.com/office/drawing/2014/chart" uri="{C3380CC4-5D6E-409C-BE32-E72D297353CC}">
                <c16:uniqueId val="{00000007-5081-4301-A736-9D8B6058F670}"/>
              </c:ext>
            </c:extLst>
          </c:dPt>
          <c:cat>
            <c:strRef>
              <c:f>Processing!$A$8:$A$11</c:f>
              <c:strCache>
                <c:ptCount val="4"/>
                <c:pt idx="0">
                  <c:v>Online sales</c:v>
                </c:pt>
                <c:pt idx="1">
                  <c:v>Regular sales</c:v>
                </c:pt>
                <c:pt idx="2">
                  <c:v>Upselling</c:v>
                </c:pt>
                <c:pt idx="3">
                  <c:v>Other</c:v>
                </c:pt>
              </c:strCache>
            </c:strRef>
          </c:cat>
          <c:val>
            <c:numRef>
              <c:f>Processing!$B$8:$B$11</c:f>
              <c:numCache>
                <c:formatCode>0%</c:formatCode>
                <c:ptCount val="4"/>
                <c:pt idx="0">
                  <c:v>0.29000000000000004</c:v>
                </c:pt>
                <c:pt idx="1">
                  <c:v>0.3066666666666667</c:v>
                </c:pt>
                <c:pt idx="2">
                  <c:v>0.25</c:v>
                </c:pt>
                <c:pt idx="3">
                  <c:v>0.15333333333333335</c:v>
                </c:pt>
              </c:numCache>
            </c:numRef>
          </c:val>
          <c:extLst>
            <c:ext xmlns:c16="http://schemas.microsoft.com/office/drawing/2014/chart" uri="{C3380CC4-5D6E-409C-BE32-E72D297353CC}">
              <c16:uniqueId val="{00000008-5081-4301-A736-9D8B6058F670}"/>
            </c:ext>
          </c:extLst>
        </c:ser>
        <c:dLbls>
          <c:showLegendKey val="0"/>
          <c:showVal val="0"/>
          <c:showCatName val="0"/>
          <c:showSerName val="0"/>
          <c:showPercent val="0"/>
          <c:showBubbleSize val="0"/>
          <c:showLeaderLines val="1"/>
        </c:dLbls>
        <c:firstSliceAng val="30"/>
      </c:pieChart>
      <c:spPr>
        <a:noFill/>
        <a:ln>
          <a:noFill/>
        </a:ln>
        <a:effectLst/>
      </c:spPr>
    </c:plotArea>
    <c:legend>
      <c:legendPos val="l"/>
      <c:layout>
        <c:manualLayout>
          <c:xMode val="edge"/>
          <c:yMode val="edge"/>
          <c:x val="0"/>
          <c:y val="0.42744414410885206"/>
          <c:w val="0.28677298311444654"/>
          <c:h val="0.5597054099580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C8CA"/>
            </a:solidFill>
            <a:ln>
              <a:noFill/>
            </a:ln>
          </c:spPr>
          <c:dPt>
            <c:idx val="0"/>
            <c:bubble3D val="0"/>
            <c:spPr>
              <a:solidFill>
                <a:srgbClr val="CBF7FF"/>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2DE-494C-8A49-BDDF40117A5C}"/>
              </c:ext>
            </c:extLst>
          </c:dPt>
          <c:dPt>
            <c:idx val="1"/>
            <c:bubble3D val="0"/>
            <c:spPr>
              <a:noFill/>
              <a:ln w="19050">
                <a:noFill/>
              </a:ln>
              <a:effectLst/>
            </c:spPr>
            <c:extLst>
              <c:ext xmlns:c16="http://schemas.microsoft.com/office/drawing/2014/chart" uri="{C3380CC4-5D6E-409C-BE32-E72D297353CC}">
                <c16:uniqueId val="{00000003-02DE-494C-8A49-BDDF40117A5C}"/>
              </c:ext>
            </c:extLst>
          </c:dPt>
          <c:val>
            <c:numRef>
              <c:f>Processing!$B$3:$C$3</c:f>
              <c:numCache>
                <c:formatCode>0%</c:formatCode>
                <c:ptCount val="2"/>
                <c:pt idx="0">
                  <c:v>0.44</c:v>
                </c:pt>
                <c:pt idx="1">
                  <c:v>0.56000000000000005</c:v>
                </c:pt>
              </c:numCache>
            </c:numRef>
          </c:val>
          <c:extLst>
            <c:ext xmlns:c16="http://schemas.microsoft.com/office/drawing/2014/chart" uri="{C3380CC4-5D6E-409C-BE32-E72D297353CC}">
              <c16:uniqueId val="{00000004-02DE-494C-8A49-BDDF40117A5C}"/>
            </c:ext>
          </c:extLst>
        </c:ser>
        <c:ser>
          <c:idx val="1"/>
          <c:order val="1"/>
          <c:spPr>
            <a:ln>
              <a:noFill/>
            </a:ln>
          </c:spPr>
          <c:dPt>
            <c:idx val="0"/>
            <c:bubble3D val="0"/>
            <c:spPr>
              <a:solidFill>
                <a:srgbClr val="0075AA"/>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6-02DE-494C-8A49-BDDF40117A5C}"/>
              </c:ext>
            </c:extLst>
          </c:dPt>
          <c:dPt>
            <c:idx val="1"/>
            <c:bubble3D val="0"/>
            <c:spPr>
              <a:noFill/>
              <a:ln w="19050">
                <a:noFill/>
              </a:ln>
              <a:effectLst/>
            </c:spPr>
            <c:extLst>
              <c:ext xmlns:c16="http://schemas.microsoft.com/office/drawing/2014/chart" uri="{C3380CC4-5D6E-409C-BE32-E72D297353CC}">
                <c16:uniqueId val="{00000008-02DE-494C-8A49-BDDF40117A5C}"/>
              </c:ext>
            </c:extLst>
          </c:dPt>
          <c:val>
            <c:numRef>
              <c:f>Processing!$B$4:$C$4</c:f>
              <c:numCache>
                <c:formatCode>0%</c:formatCode>
                <c:ptCount val="2"/>
                <c:pt idx="0">
                  <c:v>0.31</c:v>
                </c:pt>
                <c:pt idx="1">
                  <c:v>0.69</c:v>
                </c:pt>
              </c:numCache>
            </c:numRef>
          </c:val>
          <c:extLst>
            <c:ext xmlns:c16="http://schemas.microsoft.com/office/drawing/2014/chart" uri="{C3380CC4-5D6E-409C-BE32-E72D297353CC}">
              <c16:uniqueId val="{00000009-02DE-494C-8A49-BDDF40117A5C}"/>
            </c:ext>
          </c:extLst>
        </c:ser>
        <c:ser>
          <c:idx val="2"/>
          <c:order val="2"/>
          <c:spPr>
            <a:ln>
              <a:noFill/>
            </a:ln>
          </c:spPr>
          <c:dPt>
            <c:idx val="0"/>
            <c:bubble3D val="0"/>
            <c:spPr>
              <a:solidFill>
                <a:srgbClr val="06A9E2"/>
              </a:soli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B-02DE-494C-8A49-BDDF40117A5C}"/>
              </c:ext>
            </c:extLst>
          </c:dPt>
          <c:dPt>
            <c:idx val="1"/>
            <c:bubble3D val="0"/>
            <c:spPr>
              <a:noFill/>
              <a:ln w="19050">
                <a:noFill/>
              </a:ln>
              <a:effectLst/>
            </c:spPr>
            <c:extLst>
              <c:ext xmlns:c16="http://schemas.microsoft.com/office/drawing/2014/chart" uri="{C3380CC4-5D6E-409C-BE32-E72D297353CC}">
                <c16:uniqueId val="{0000000D-02DE-494C-8A49-BDDF40117A5C}"/>
              </c:ext>
            </c:extLst>
          </c:dPt>
          <c:val>
            <c:numRef>
              <c:f>Processing!$B$5:$C$5</c:f>
              <c:numCache>
                <c:formatCode>0%</c:formatCode>
                <c:ptCount val="2"/>
                <c:pt idx="0">
                  <c:v>0.64</c:v>
                </c:pt>
                <c:pt idx="1">
                  <c:v>0.36</c:v>
                </c:pt>
              </c:numCache>
            </c:numRef>
          </c:val>
          <c:extLst>
            <c:ext xmlns:c16="http://schemas.microsoft.com/office/drawing/2014/chart" uri="{C3380CC4-5D6E-409C-BE32-E72D297353CC}">
              <c16:uniqueId val="{0000000E-02DE-494C-8A49-BDDF40117A5C}"/>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rgbClr val="CBF7FF"/>
              </a:solidFill>
              <a:ln w="19050">
                <a:noFill/>
              </a:ln>
              <a:effectLst/>
            </c:spPr>
            <c:extLst>
              <c:ext xmlns:c16="http://schemas.microsoft.com/office/drawing/2014/chart" uri="{C3380CC4-5D6E-409C-BE32-E72D297353CC}">
                <c16:uniqueId val="{00000001-6E04-4421-8E3A-226A502497CD}"/>
              </c:ext>
            </c:extLst>
          </c:dPt>
          <c:dPt>
            <c:idx val="1"/>
            <c:bubble3D val="0"/>
            <c:spPr>
              <a:solidFill>
                <a:srgbClr val="0865A0"/>
              </a:solidFill>
              <a:ln w="19050">
                <a:noFill/>
              </a:ln>
              <a:effectLst/>
            </c:spPr>
            <c:extLst>
              <c:ext xmlns:c16="http://schemas.microsoft.com/office/drawing/2014/chart" uri="{C3380CC4-5D6E-409C-BE32-E72D297353CC}">
                <c16:uniqueId val="{00000003-6E04-4421-8E3A-226A502497CD}"/>
              </c:ext>
            </c:extLst>
          </c:dPt>
          <c:dPt>
            <c:idx val="2"/>
            <c:bubble3D val="0"/>
            <c:spPr>
              <a:solidFill>
                <a:srgbClr val="A3BACA"/>
              </a:solidFill>
              <a:ln w="19050">
                <a:noFill/>
              </a:ln>
              <a:effectLst/>
            </c:spPr>
            <c:extLst>
              <c:ext xmlns:c16="http://schemas.microsoft.com/office/drawing/2014/chart" uri="{C3380CC4-5D6E-409C-BE32-E72D297353CC}">
                <c16:uniqueId val="{00000005-6E04-4421-8E3A-226A502497CD}"/>
              </c:ext>
            </c:extLst>
          </c:dPt>
          <c:dPt>
            <c:idx val="3"/>
            <c:bubble3D val="0"/>
            <c:spPr>
              <a:solidFill>
                <a:srgbClr val="065A7C"/>
              </a:solidFill>
              <a:ln w="19050">
                <a:noFill/>
              </a:ln>
              <a:effectLst/>
            </c:spPr>
            <c:extLst>
              <c:ext xmlns:c16="http://schemas.microsoft.com/office/drawing/2014/chart" uri="{C3380CC4-5D6E-409C-BE32-E72D297353CC}">
                <c16:uniqueId val="{00000007-6E04-4421-8E3A-226A502497CD}"/>
              </c:ext>
            </c:extLst>
          </c:dPt>
          <c:cat>
            <c:strRef>
              <c:f>Processing!$A$8:$A$11</c:f>
              <c:strCache>
                <c:ptCount val="4"/>
                <c:pt idx="0">
                  <c:v>Online sales</c:v>
                </c:pt>
                <c:pt idx="1">
                  <c:v>Regular sales</c:v>
                </c:pt>
                <c:pt idx="2">
                  <c:v>Upselling</c:v>
                </c:pt>
                <c:pt idx="3">
                  <c:v>Other</c:v>
                </c:pt>
              </c:strCache>
            </c:strRef>
          </c:cat>
          <c:val>
            <c:numRef>
              <c:f>Processing!$B$8:$B$11</c:f>
              <c:numCache>
                <c:formatCode>0%</c:formatCode>
                <c:ptCount val="4"/>
                <c:pt idx="0">
                  <c:v>0.29000000000000004</c:v>
                </c:pt>
                <c:pt idx="1">
                  <c:v>0.3066666666666667</c:v>
                </c:pt>
                <c:pt idx="2">
                  <c:v>0.25</c:v>
                </c:pt>
                <c:pt idx="3">
                  <c:v>0.15333333333333335</c:v>
                </c:pt>
              </c:numCache>
            </c:numRef>
          </c:val>
          <c:extLst>
            <c:ext xmlns:c16="http://schemas.microsoft.com/office/drawing/2014/chart" uri="{C3380CC4-5D6E-409C-BE32-E72D297353CC}">
              <c16:uniqueId val="{00000008-6E04-4421-8E3A-226A502497CD}"/>
            </c:ext>
          </c:extLst>
        </c:ser>
        <c:dLbls>
          <c:showLegendKey val="0"/>
          <c:showVal val="0"/>
          <c:showCatName val="0"/>
          <c:showSerName val="0"/>
          <c:showPercent val="0"/>
          <c:showBubbleSize val="0"/>
          <c:showLeaderLines val="1"/>
        </c:dLbls>
        <c:firstSliceAng val="30"/>
      </c:pieChart>
      <c:spPr>
        <a:noFill/>
        <a:ln>
          <a:noFill/>
        </a:ln>
        <a:effectLst/>
      </c:spPr>
    </c:plotArea>
    <c:legend>
      <c:legendPos val="l"/>
      <c:layout>
        <c:manualLayout>
          <c:xMode val="edge"/>
          <c:yMode val="edge"/>
          <c:x val="0"/>
          <c:y val="0.42744414410885206"/>
          <c:w val="0.28677298311444654"/>
          <c:h val="0.5597054099580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2">
                  <a:lumMod val="25000"/>
                  <a:lumOff val="7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solidFill>
              <a:srgbClr val="06A9E2"/>
            </a:solidFill>
            <a:ln>
              <a:noFill/>
            </a:ln>
            <a:effectLst/>
          </c:spPr>
          <c:val>
            <c:numRef>
              <c:f>Processing!$E$3:$E$8</c:f>
              <c:numCache>
                <c:formatCode>0%</c:formatCode>
                <c:ptCount val="6"/>
                <c:pt idx="0">
                  <c:v>0.27</c:v>
                </c:pt>
                <c:pt idx="1">
                  <c:v>0.54</c:v>
                </c:pt>
                <c:pt idx="2">
                  <c:v>0.25</c:v>
                </c:pt>
                <c:pt idx="3">
                  <c:v>0.33</c:v>
                </c:pt>
                <c:pt idx="4">
                  <c:v>0.36</c:v>
                </c:pt>
                <c:pt idx="5">
                  <c:v>0.75</c:v>
                </c:pt>
              </c:numCache>
            </c:numRef>
          </c:val>
          <c:extLst>
            <c:ext xmlns:c16="http://schemas.microsoft.com/office/drawing/2014/chart" uri="{C3380CC4-5D6E-409C-BE32-E72D297353CC}">
              <c16:uniqueId val="{00000000-F73D-41E9-87BB-69FCEDF532A4}"/>
            </c:ext>
          </c:extLst>
        </c:ser>
        <c:ser>
          <c:idx val="1"/>
          <c:order val="1"/>
          <c:spPr>
            <a:solidFill>
              <a:srgbClr val="0075AA">
                <a:alpha val="63000"/>
              </a:srgbClr>
            </a:solidFill>
            <a:ln>
              <a:noFill/>
            </a:ln>
            <a:effectLst/>
          </c:spPr>
          <c:val>
            <c:numRef>
              <c:f>Processing!$F$3:$F$8</c:f>
              <c:numCache>
                <c:formatCode>0%</c:formatCode>
                <c:ptCount val="6"/>
                <c:pt idx="0">
                  <c:v>0.28000000000000003</c:v>
                </c:pt>
                <c:pt idx="1">
                  <c:v>0.72</c:v>
                </c:pt>
                <c:pt idx="2">
                  <c:v>0.68</c:v>
                </c:pt>
                <c:pt idx="3">
                  <c:v>0.87</c:v>
                </c:pt>
                <c:pt idx="4">
                  <c:v>0.98</c:v>
                </c:pt>
                <c:pt idx="5">
                  <c:v>0.96</c:v>
                </c:pt>
              </c:numCache>
            </c:numRef>
          </c:val>
          <c:extLst>
            <c:ext xmlns:c16="http://schemas.microsoft.com/office/drawing/2014/chart" uri="{C3380CC4-5D6E-409C-BE32-E72D297353CC}">
              <c16:uniqueId val="{00000001-F73D-41E9-87BB-69FCEDF532A4}"/>
            </c:ext>
          </c:extLst>
        </c:ser>
        <c:ser>
          <c:idx val="2"/>
          <c:order val="2"/>
          <c:spPr>
            <a:solidFill>
              <a:srgbClr val="CBF7FF">
                <a:alpha val="77000"/>
              </a:srgbClr>
            </a:solidFill>
            <a:ln>
              <a:noFill/>
            </a:ln>
            <a:effectLst/>
          </c:spPr>
          <c:val>
            <c:numRef>
              <c:f>Processing!$G$3:$G$8</c:f>
              <c:numCache>
                <c:formatCode>0%</c:formatCode>
                <c:ptCount val="6"/>
                <c:pt idx="0">
                  <c:v>0.89</c:v>
                </c:pt>
                <c:pt idx="1">
                  <c:v>0.92</c:v>
                </c:pt>
                <c:pt idx="2">
                  <c:v>0.33</c:v>
                </c:pt>
                <c:pt idx="3">
                  <c:v>0.68</c:v>
                </c:pt>
                <c:pt idx="4">
                  <c:v>0.73</c:v>
                </c:pt>
                <c:pt idx="5">
                  <c:v>0.81</c:v>
                </c:pt>
              </c:numCache>
            </c:numRef>
          </c:val>
          <c:extLst>
            <c:ext xmlns:c16="http://schemas.microsoft.com/office/drawing/2014/chart" uri="{C3380CC4-5D6E-409C-BE32-E72D297353CC}">
              <c16:uniqueId val="{00000002-F73D-41E9-87BB-69FCEDF532A4}"/>
            </c:ext>
          </c:extLst>
        </c:ser>
        <c:dLbls>
          <c:showLegendKey val="0"/>
          <c:showVal val="0"/>
          <c:showCatName val="0"/>
          <c:showSerName val="0"/>
          <c:showPercent val="0"/>
          <c:showBubbleSize val="0"/>
        </c:dLbls>
        <c:axId val="539086864"/>
        <c:axId val="540609520"/>
      </c:radarChart>
      <c:catAx>
        <c:axId val="539086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540609520"/>
        <c:crosses val="autoZero"/>
        <c:auto val="1"/>
        <c:lblAlgn val="ctr"/>
        <c:lblOffset val="100"/>
        <c:noMultiLvlLbl val="0"/>
      </c:catAx>
      <c:valAx>
        <c:axId val="5406095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9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Processing!$D$9</c:f>
              <c:strCache>
                <c:ptCount val="1"/>
                <c:pt idx="0">
                  <c:v>Total</c:v>
                </c:pt>
              </c:strCache>
            </c:strRef>
          </c:tx>
          <c:spPr>
            <a:solidFill>
              <a:srgbClr val="E5EC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90000"/>
                        <a:lumOff val="10000"/>
                      </a:schemeClr>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Processing!$D$3:$D$8</c:f>
              <c:strCache>
                <c:ptCount val="6"/>
                <c:pt idx="0">
                  <c:v>Region 1</c:v>
                </c:pt>
                <c:pt idx="1">
                  <c:v>Region 2</c:v>
                </c:pt>
                <c:pt idx="2">
                  <c:v>Region 3</c:v>
                </c:pt>
                <c:pt idx="3">
                  <c:v>Region 4</c:v>
                </c:pt>
                <c:pt idx="4">
                  <c:v>Region 5</c:v>
                </c:pt>
                <c:pt idx="5">
                  <c:v>Region 6</c:v>
                </c:pt>
              </c:strCache>
            </c:strRef>
          </c:cat>
          <c:val>
            <c:numRef>
              <c:f>Processing!$H$3:$H$8</c:f>
              <c:numCache>
                <c:formatCode>0%</c:formatCode>
                <c:ptCount val="6"/>
                <c:pt idx="0">
                  <c:v>0.89</c:v>
                </c:pt>
                <c:pt idx="1">
                  <c:v>0.92</c:v>
                </c:pt>
                <c:pt idx="2">
                  <c:v>0.68</c:v>
                </c:pt>
                <c:pt idx="3">
                  <c:v>0.87</c:v>
                </c:pt>
                <c:pt idx="4">
                  <c:v>0.98</c:v>
                </c:pt>
                <c:pt idx="5">
                  <c:v>0.96</c:v>
                </c:pt>
              </c:numCache>
            </c:numRef>
          </c:val>
          <c:extLst>
            <c:ext xmlns:c16="http://schemas.microsoft.com/office/drawing/2014/chart" uri="{C3380CC4-5D6E-409C-BE32-E72D297353CC}">
              <c16:uniqueId val="{00000000-EC81-45A5-99AC-CB3FA90ECF52}"/>
            </c:ext>
          </c:extLst>
        </c:ser>
        <c:dLbls>
          <c:showLegendKey val="0"/>
          <c:showVal val="0"/>
          <c:showCatName val="0"/>
          <c:showSerName val="0"/>
          <c:showPercent val="0"/>
          <c:showBubbleSize val="0"/>
        </c:dLbls>
        <c:gapWidth val="70"/>
        <c:axId val="1464920336"/>
        <c:axId val="1464944336"/>
      </c:barChart>
      <c:catAx>
        <c:axId val="146492033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64944336"/>
        <c:crosses val="autoZero"/>
        <c:auto val="1"/>
        <c:lblAlgn val="ctr"/>
        <c:lblOffset val="100"/>
        <c:noMultiLvlLbl val="0"/>
      </c:catAx>
      <c:valAx>
        <c:axId val="1464944336"/>
        <c:scaling>
          <c:orientation val="minMax"/>
        </c:scaling>
        <c:delete val="1"/>
        <c:axPos val="b"/>
        <c:numFmt formatCode="0%" sourceLinked="1"/>
        <c:majorTickMark val="out"/>
        <c:minorTickMark val="none"/>
        <c:tickLblPos val="nextTo"/>
        <c:crossAx val="1464920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ru-RU"/>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oint Of Sales'!A1"/><Relationship Id="rId3" Type="http://schemas.openxmlformats.org/officeDocument/2006/relationships/chart" Target="../charts/chart3.xml"/><Relationship Id="rId7"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overage!A1"/><Relationship Id="rId5" Type="http://schemas.openxmlformats.org/officeDocument/2006/relationships/chart" Target="../charts/chart5.xml"/><Relationship Id="rId10" Type="http://schemas.openxmlformats.org/officeDocument/2006/relationships/hyperlink" Target="#'Sales Dynamics'!A1"/><Relationship Id="rId4" Type="http://schemas.openxmlformats.org/officeDocument/2006/relationships/chart" Target="../charts/chart4.xml"/><Relationship Id="rId9" Type="http://schemas.openxmlformats.org/officeDocument/2006/relationships/hyperlink" Target="#Targeting!A1"/></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hyperlink" Target="#DASHBOARD!A1"/><Relationship Id="rId7"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Coverage!A1"/><Relationship Id="rId5" Type="http://schemas.openxmlformats.org/officeDocument/2006/relationships/hyperlink" Target="#'Sales Dynamics'!A1"/><Relationship Id="rId4" Type="http://schemas.openxmlformats.org/officeDocument/2006/relationships/hyperlink" Target="#Targeting!A1"/></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hyperlink" Target="#Coverage!A1"/><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hyperlink" Target="#'Sales Dynamics'!A1"/><Relationship Id="rId5" Type="http://schemas.openxmlformats.org/officeDocument/2006/relationships/hyperlink" Target="#'Point Of Sales'!A1"/><Relationship Id="rId4"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hyperlink" Target="#Coverage!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Targeting!A1"/><Relationship Id="rId5" Type="http://schemas.openxmlformats.org/officeDocument/2006/relationships/hyperlink" Target="#'Point Of Sales'!A1"/><Relationship Id="rId4" Type="http://schemas.openxmlformats.org/officeDocument/2006/relationships/hyperlink" Target="#DASHBOARD!A1"/></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9.xml"/><Relationship Id="rId7" Type="http://schemas.openxmlformats.org/officeDocument/2006/relationships/hyperlink" Target="#'Sales Dynamics'!A1"/><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hyperlink" Target="#Targeting!A1"/><Relationship Id="rId5" Type="http://schemas.openxmlformats.org/officeDocument/2006/relationships/hyperlink" Target="#'Point Of Sales'!A1"/><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7620</xdr:colOff>
      <xdr:row>38</xdr:row>
      <xdr:rowOff>106680</xdr:rowOff>
    </xdr:to>
    <xdr:grpSp>
      <xdr:nvGrpSpPr>
        <xdr:cNvPr id="6" name="Group 5">
          <a:extLst>
            <a:ext uri="{FF2B5EF4-FFF2-40B4-BE49-F238E27FC236}">
              <a16:creationId xmlns:a16="http://schemas.microsoft.com/office/drawing/2014/main" id="{475AF479-97FE-E3E7-1392-0AC1EC40019A}"/>
            </a:ext>
          </a:extLst>
        </xdr:cNvPr>
        <xdr:cNvGrpSpPr/>
      </xdr:nvGrpSpPr>
      <xdr:grpSpPr>
        <a:xfrm>
          <a:off x="0" y="0"/>
          <a:ext cx="2378287" cy="7345680"/>
          <a:chOff x="3703320" y="83820"/>
          <a:chExt cx="2918460" cy="4953000"/>
        </a:xfrm>
        <a:effectLst>
          <a:outerShdw blurRad="228600" dist="482600" dir="7800000" sx="93000" sy="93000" algn="r" rotWithShape="0">
            <a:prstClr val="black">
              <a:alpha val="42000"/>
            </a:prstClr>
          </a:outerShdw>
        </a:effectLst>
      </xdr:grpSpPr>
      <xdr:sp macro="" textlink="">
        <xdr:nvSpPr>
          <xdr:cNvPr id="3" name="Rectangle 2">
            <a:extLst>
              <a:ext uri="{FF2B5EF4-FFF2-40B4-BE49-F238E27FC236}">
                <a16:creationId xmlns:a16="http://schemas.microsoft.com/office/drawing/2014/main" id="{2A514FA1-9D48-839C-B494-599895E48948}"/>
              </a:ext>
            </a:extLst>
          </xdr:cNvPr>
          <xdr:cNvSpPr/>
        </xdr:nvSpPr>
        <xdr:spPr>
          <a:xfrm>
            <a:off x="3703320" y="83820"/>
            <a:ext cx="2910840" cy="4945380"/>
          </a:xfrm>
          <a:prstGeom prst="rect">
            <a:avLst/>
          </a:prstGeom>
          <a:solidFill>
            <a:srgbClr val="05294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Rectangle 3">
            <a:extLst>
              <a:ext uri="{FF2B5EF4-FFF2-40B4-BE49-F238E27FC236}">
                <a16:creationId xmlns:a16="http://schemas.microsoft.com/office/drawing/2014/main" id="{CEAE0E79-A962-1EE5-BBDC-310F2BB178AC}"/>
              </a:ext>
            </a:extLst>
          </xdr:cNvPr>
          <xdr:cNvSpPr/>
        </xdr:nvSpPr>
        <xdr:spPr>
          <a:xfrm>
            <a:off x="3710940" y="91440"/>
            <a:ext cx="2910840" cy="4945380"/>
          </a:xfrm>
          <a:prstGeom prst="rect">
            <a:avLst/>
          </a:prstGeom>
          <a:gradFill flip="none" rotWithShape="1">
            <a:gsLst>
              <a:gs pos="0">
                <a:srgbClr val="0C89CE"/>
              </a:gs>
              <a:gs pos="72000">
                <a:srgbClr val="05294B">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0</xdr:col>
      <xdr:colOff>152400</xdr:colOff>
      <xdr:row>24</xdr:row>
      <xdr:rowOff>10158</xdr:rowOff>
    </xdr:from>
    <xdr:to>
      <xdr:col>3</xdr:col>
      <xdr:colOff>214177</xdr:colOff>
      <xdr:row>26</xdr:row>
      <xdr:rowOff>72077</xdr:rowOff>
    </xdr:to>
    <xdr:grpSp>
      <xdr:nvGrpSpPr>
        <xdr:cNvPr id="34" name="Group 33">
          <a:extLst>
            <a:ext uri="{FF2B5EF4-FFF2-40B4-BE49-F238E27FC236}">
              <a16:creationId xmlns:a16="http://schemas.microsoft.com/office/drawing/2014/main" id="{DF2D5D7C-32EF-3D22-3ABC-29B2C9B01FA5}"/>
            </a:ext>
          </a:extLst>
        </xdr:cNvPr>
        <xdr:cNvGrpSpPr/>
      </xdr:nvGrpSpPr>
      <xdr:grpSpPr>
        <a:xfrm>
          <a:off x="152400" y="4582158"/>
          <a:ext cx="1839777" cy="442919"/>
          <a:chOff x="0" y="0"/>
          <a:chExt cx="2501522" cy="420508"/>
        </a:xfrm>
        <a:effectLst>
          <a:outerShdw blurRad="50800" dist="38100" dir="8100000" algn="tr" rotWithShape="0">
            <a:prstClr val="black">
              <a:alpha val="40000"/>
            </a:prstClr>
          </a:outerShdw>
        </a:effectLst>
      </xdr:grpSpPr>
      <xdr:sp macro="" textlink="">
        <xdr:nvSpPr>
          <xdr:cNvPr id="49" name="Rectangle: Rounded Corners 48">
            <a:extLst>
              <a:ext uri="{FF2B5EF4-FFF2-40B4-BE49-F238E27FC236}">
                <a16:creationId xmlns:a16="http://schemas.microsoft.com/office/drawing/2014/main" id="{5E88EE20-380B-0009-A7EA-92BAC4A6D07C}"/>
              </a:ext>
            </a:extLst>
          </xdr:cNvPr>
          <xdr:cNvSpPr/>
        </xdr:nvSpPr>
        <xdr:spPr>
          <a:xfrm>
            <a:off x="0" y="5977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0" name="Rectangle: Rounded Corners 49">
            <a:extLst>
              <a:ext uri="{FF2B5EF4-FFF2-40B4-BE49-F238E27FC236}">
                <a16:creationId xmlns:a16="http://schemas.microsoft.com/office/drawing/2014/main" id="{31745D35-9937-C788-2762-D2277227192D}"/>
              </a:ext>
            </a:extLst>
          </xdr:cNvPr>
          <xdr:cNvSpPr/>
        </xdr:nvSpPr>
        <xdr:spPr>
          <a:xfrm>
            <a:off x="37241" y="8348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1" name="Group 50">
            <a:extLst>
              <a:ext uri="{FF2B5EF4-FFF2-40B4-BE49-F238E27FC236}">
                <a16:creationId xmlns:a16="http://schemas.microsoft.com/office/drawing/2014/main" id="{FD0921FF-CC96-5BD0-C18E-920D141FB2D7}"/>
              </a:ext>
            </a:extLst>
          </xdr:cNvPr>
          <xdr:cNvGrpSpPr/>
        </xdr:nvGrpSpPr>
        <xdr:grpSpPr>
          <a:xfrm>
            <a:off x="189065" y="0"/>
            <a:ext cx="788458" cy="420508"/>
            <a:chOff x="189065" y="0"/>
            <a:chExt cx="3638263" cy="2110803"/>
          </a:xfrm>
        </xdr:grpSpPr>
        <xdr:sp macro="" textlink="">
          <xdr:nvSpPr>
            <xdr:cNvPr id="52" name="Freeform: Shape 51">
              <a:extLst>
                <a:ext uri="{FF2B5EF4-FFF2-40B4-BE49-F238E27FC236}">
                  <a16:creationId xmlns:a16="http://schemas.microsoft.com/office/drawing/2014/main" id="{D31D8309-9C9A-2749-6434-24FE16F8A576}"/>
                </a:ext>
              </a:extLst>
            </xdr:cNvPr>
            <xdr:cNvSpPr/>
          </xdr:nvSpPr>
          <xdr:spPr>
            <a:xfrm>
              <a:off x="189065" y="761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FC8049"/>
                </a:gs>
                <a:gs pos="100000">
                  <a:srgbClr val="D90D0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3" name="Freeform: Shape 52">
              <a:extLst>
                <a:ext uri="{FF2B5EF4-FFF2-40B4-BE49-F238E27FC236}">
                  <a16:creationId xmlns:a16="http://schemas.microsoft.com/office/drawing/2014/main" id="{4EF1A8CA-6ED1-ABF1-076D-0984C5A33B75}"/>
                </a:ext>
              </a:extLst>
            </xdr:cNvPr>
            <xdr:cNvSpPr/>
          </xdr:nvSpPr>
          <xdr:spPr>
            <a:xfrm>
              <a:off x="3078560" y="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FC4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Freeform: Shape 53">
              <a:extLst>
                <a:ext uri="{FF2B5EF4-FFF2-40B4-BE49-F238E27FC236}">
                  <a16:creationId xmlns:a16="http://schemas.microsoft.com/office/drawing/2014/main" id="{2F76177C-4860-DA2B-9108-D4F9417B10CA}"/>
                </a:ext>
              </a:extLst>
            </xdr:cNvPr>
            <xdr:cNvSpPr/>
          </xdr:nvSpPr>
          <xdr:spPr>
            <a:xfrm rot="10800000">
              <a:off x="192876" y="169936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BF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20</xdr:row>
      <xdr:rowOff>99058</xdr:rowOff>
    </xdr:from>
    <xdr:to>
      <xdr:col>3</xdr:col>
      <xdr:colOff>214177</xdr:colOff>
      <xdr:row>22</xdr:row>
      <xdr:rowOff>160977</xdr:rowOff>
    </xdr:to>
    <xdr:grpSp>
      <xdr:nvGrpSpPr>
        <xdr:cNvPr id="35" name="Group 34">
          <a:extLst>
            <a:ext uri="{FF2B5EF4-FFF2-40B4-BE49-F238E27FC236}">
              <a16:creationId xmlns:a16="http://schemas.microsoft.com/office/drawing/2014/main" id="{3F29307F-EC38-F864-FE42-A7896708314E}"/>
            </a:ext>
          </a:extLst>
        </xdr:cNvPr>
        <xdr:cNvGrpSpPr/>
      </xdr:nvGrpSpPr>
      <xdr:grpSpPr>
        <a:xfrm>
          <a:off x="152400" y="3909058"/>
          <a:ext cx="1839777" cy="442919"/>
          <a:chOff x="0" y="662940"/>
          <a:chExt cx="2501522" cy="420508"/>
        </a:xfrm>
        <a:effectLst>
          <a:outerShdw blurRad="50800" dist="38100" dir="8100000" algn="tr"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B70AA8F8-773A-DC7B-DEDD-8B091EBBA321}"/>
              </a:ext>
            </a:extLst>
          </xdr:cNvPr>
          <xdr:cNvSpPr/>
        </xdr:nvSpPr>
        <xdr:spPr>
          <a:xfrm>
            <a:off x="0" y="72271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Rectangle: Rounded Corners 43">
            <a:extLst>
              <a:ext uri="{FF2B5EF4-FFF2-40B4-BE49-F238E27FC236}">
                <a16:creationId xmlns:a16="http://schemas.microsoft.com/office/drawing/2014/main" id="{FC5257AB-05F8-51CD-A8D6-B1257B374631}"/>
              </a:ext>
            </a:extLst>
          </xdr:cNvPr>
          <xdr:cNvSpPr/>
        </xdr:nvSpPr>
        <xdr:spPr>
          <a:xfrm>
            <a:off x="37241" y="74642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5" name="Group 44">
            <a:extLst>
              <a:ext uri="{FF2B5EF4-FFF2-40B4-BE49-F238E27FC236}">
                <a16:creationId xmlns:a16="http://schemas.microsoft.com/office/drawing/2014/main" id="{213D81F3-DD00-24BD-6F40-16690D073B1D}"/>
              </a:ext>
            </a:extLst>
          </xdr:cNvPr>
          <xdr:cNvGrpSpPr/>
        </xdr:nvGrpSpPr>
        <xdr:grpSpPr>
          <a:xfrm>
            <a:off x="189065" y="662940"/>
            <a:ext cx="788458" cy="420508"/>
            <a:chOff x="189065" y="662940"/>
            <a:chExt cx="3638263" cy="2110803"/>
          </a:xfrm>
        </xdr:grpSpPr>
        <xdr:sp macro="" textlink="">
          <xdr:nvSpPr>
            <xdr:cNvPr id="46" name="Freeform: Shape 45">
              <a:extLst>
                <a:ext uri="{FF2B5EF4-FFF2-40B4-BE49-F238E27FC236}">
                  <a16:creationId xmlns:a16="http://schemas.microsoft.com/office/drawing/2014/main" id="{B2D8C420-6F11-D064-7ADD-9D9CBD1C2FA9}"/>
                </a:ext>
              </a:extLst>
            </xdr:cNvPr>
            <xdr:cNvSpPr/>
          </xdr:nvSpPr>
          <xdr:spPr>
            <a:xfrm>
              <a:off x="189065" y="67055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18CBF1"/>
                </a:gs>
                <a:gs pos="100000">
                  <a:srgbClr val="3EA7F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Freeform: Shape 46">
              <a:extLst>
                <a:ext uri="{FF2B5EF4-FFF2-40B4-BE49-F238E27FC236}">
                  <a16:creationId xmlns:a16="http://schemas.microsoft.com/office/drawing/2014/main" id="{E79D7956-D68D-C3CC-576E-431F0A7CA028}"/>
                </a:ext>
              </a:extLst>
            </xdr:cNvPr>
            <xdr:cNvSpPr/>
          </xdr:nvSpPr>
          <xdr:spPr>
            <a:xfrm>
              <a:off x="3078560" y="66294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2E9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Freeform: Shape 47">
              <a:extLst>
                <a:ext uri="{FF2B5EF4-FFF2-40B4-BE49-F238E27FC236}">
                  <a16:creationId xmlns:a16="http://schemas.microsoft.com/office/drawing/2014/main" id="{3C99F1EB-3403-241E-637E-EABC5FE6CD54}"/>
                </a:ext>
              </a:extLst>
            </xdr:cNvPr>
            <xdr:cNvSpPr/>
          </xdr:nvSpPr>
          <xdr:spPr>
            <a:xfrm rot="10800000">
              <a:off x="192876" y="236230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E81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27</xdr:row>
      <xdr:rowOff>104138</xdr:rowOff>
    </xdr:from>
    <xdr:to>
      <xdr:col>3</xdr:col>
      <xdr:colOff>214177</xdr:colOff>
      <xdr:row>29</xdr:row>
      <xdr:rowOff>166057</xdr:rowOff>
    </xdr:to>
    <xdr:grpSp>
      <xdr:nvGrpSpPr>
        <xdr:cNvPr id="36" name="Group 35">
          <a:extLst>
            <a:ext uri="{FF2B5EF4-FFF2-40B4-BE49-F238E27FC236}">
              <a16:creationId xmlns:a16="http://schemas.microsoft.com/office/drawing/2014/main" id="{B39FE918-6499-DB81-9CC3-FA25D7F7CD08}"/>
            </a:ext>
          </a:extLst>
        </xdr:cNvPr>
        <xdr:cNvGrpSpPr/>
      </xdr:nvGrpSpPr>
      <xdr:grpSpPr>
        <a:xfrm>
          <a:off x="152400" y="5247638"/>
          <a:ext cx="1839777" cy="442919"/>
          <a:chOff x="0" y="1318260"/>
          <a:chExt cx="2501522" cy="420508"/>
        </a:xfrm>
        <a:effectLst>
          <a:outerShdw blurRad="50800" dist="38100" dir="8100000" algn="tr" rotWithShape="0">
            <a:prstClr val="black">
              <a:alpha val="40000"/>
            </a:prstClr>
          </a:outerShdw>
        </a:effectLst>
      </xdr:grpSpPr>
      <xdr:sp macro="" textlink="">
        <xdr:nvSpPr>
          <xdr:cNvPr id="37" name="Rectangle: Rounded Corners 36">
            <a:extLst>
              <a:ext uri="{FF2B5EF4-FFF2-40B4-BE49-F238E27FC236}">
                <a16:creationId xmlns:a16="http://schemas.microsoft.com/office/drawing/2014/main" id="{447C3A6E-19CA-B595-A34D-BEECED1FBAC9}"/>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Rounded Corners 37">
            <a:extLst>
              <a:ext uri="{FF2B5EF4-FFF2-40B4-BE49-F238E27FC236}">
                <a16:creationId xmlns:a16="http://schemas.microsoft.com/office/drawing/2014/main" id="{588CA440-2DA4-54D9-ED4C-A026906733F0}"/>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9" name="Group 38">
            <a:extLst>
              <a:ext uri="{FF2B5EF4-FFF2-40B4-BE49-F238E27FC236}">
                <a16:creationId xmlns:a16="http://schemas.microsoft.com/office/drawing/2014/main" id="{FCE80E55-8125-DEC1-C1DE-3F1D99BD0D95}"/>
              </a:ext>
            </a:extLst>
          </xdr:cNvPr>
          <xdr:cNvGrpSpPr/>
        </xdr:nvGrpSpPr>
        <xdr:grpSpPr>
          <a:xfrm>
            <a:off x="189065" y="1318260"/>
            <a:ext cx="788458" cy="420508"/>
            <a:chOff x="189065" y="1318260"/>
            <a:chExt cx="3638263" cy="2110803"/>
          </a:xfrm>
        </xdr:grpSpPr>
        <xdr:sp macro="" textlink="">
          <xdr:nvSpPr>
            <xdr:cNvPr id="40" name="Freeform: Shape 39">
              <a:extLst>
                <a:ext uri="{FF2B5EF4-FFF2-40B4-BE49-F238E27FC236}">
                  <a16:creationId xmlns:a16="http://schemas.microsoft.com/office/drawing/2014/main" id="{C4C8F341-BC84-018F-0348-944E34175827}"/>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00FAEE"/>
                </a:gs>
                <a:gs pos="100000">
                  <a:srgbClr val="00A8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reeform: Shape 40">
              <a:extLst>
                <a:ext uri="{FF2B5EF4-FFF2-40B4-BE49-F238E27FC236}">
                  <a16:creationId xmlns:a16="http://schemas.microsoft.com/office/drawing/2014/main" id="{41290F5F-79CF-D243-D0A0-3F88F44BFFC5}"/>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C6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reeform: Shape 41">
              <a:extLst>
                <a:ext uri="{FF2B5EF4-FFF2-40B4-BE49-F238E27FC236}">
                  <a16:creationId xmlns:a16="http://schemas.microsoft.com/office/drawing/2014/main" id="{F17D9A0D-859C-E3AB-60A8-CBC24268EDC0}"/>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31</xdr:row>
      <xdr:rowOff>15237</xdr:rowOff>
    </xdr:from>
    <xdr:to>
      <xdr:col>3</xdr:col>
      <xdr:colOff>214177</xdr:colOff>
      <xdr:row>33</xdr:row>
      <xdr:rowOff>77156</xdr:rowOff>
    </xdr:to>
    <xdr:grpSp>
      <xdr:nvGrpSpPr>
        <xdr:cNvPr id="55" name="Group 54">
          <a:extLst>
            <a:ext uri="{FF2B5EF4-FFF2-40B4-BE49-F238E27FC236}">
              <a16:creationId xmlns:a16="http://schemas.microsoft.com/office/drawing/2014/main" id="{1AC548F4-4C0E-27EF-7CE5-4F8C8F93A048}"/>
            </a:ext>
          </a:extLst>
        </xdr:cNvPr>
        <xdr:cNvGrpSpPr/>
      </xdr:nvGrpSpPr>
      <xdr:grpSpPr>
        <a:xfrm>
          <a:off x="152400" y="5920737"/>
          <a:ext cx="1839777" cy="442919"/>
          <a:chOff x="0" y="1318260"/>
          <a:chExt cx="2501522" cy="420508"/>
        </a:xfrm>
        <a:effectLst>
          <a:outerShdw blurRad="50800" dist="38100" dir="8100000" algn="tr" rotWithShape="0">
            <a:prstClr val="black">
              <a:alpha val="40000"/>
            </a:prstClr>
          </a:outerShdw>
        </a:effectLst>
      </xdr:grpSpPr>
      <xdr:sp macro="" textlink="">
        <xdr:nvSpPr>
          <xdr:cNvPr id="56" name="Rectangle: Rounded Corners 55">
            <a:extLst>
              <a:ext uri="{FF2B5EF4-FFF2-40B4-BE49-F238E27FC236}">
                <a16:creationId xmlns:a16="http://schemas.microsoft.com/office/drawing/2014/main" id="{7E8E75D2-F802-2CB1-C723-3AF60551AFDE}"/>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Rectangle: Rounded Corners 56">
            <a:extLst>
              <a:ext uri="{FF2B5EF4-FFF2-40B4-BE49-F238E27FC236}">
                <a16:creationId xmlns:a16="http://schemas.microsoft.com/office/drawing/2014/main" id="{294A1E18-541E-B37D-6C1A-574F31F150B1}"/>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8" name="Group 57">
            <a:extLst>
              <a:ext uri="{FF2B5EF4-FFF2-40B4-BE49-F238E27FC236}">
                <a16:creationId xmlns:a16="http://schemas.microsoft.com/office/drawing/2014/main" id="{28857BBF-AA4E-58A9-9EA1-35374C9C3C27}"/>
              </a:ext>
            </a:extLst>
          </xdr:cNvPr>
          <xdr:cNvGrpSpPr/>
        </xdr:nvGrpSpPr>
        <xdr:grpSpPr>
          <a:xfrm>
            <a:off x="189065" y="1318260"/>
            <a:ext cx="788458" cy="420508"/>
            <a:chOff x="189065" y="1318260"/>
            <a:chExt cx="3638263" cy="2110803"/>
          </a:xfrm>
        </xdr:grpSpPr>
        <xdr:sp macro="" textlink="">
          <xdr:nvSpPr>
            <xdr:cNvPr id="59" name="Freeform: Shape 58">
              <a:extLst>
                <a:ext uri="{FF2B5EF4-FFF2-40B4-BE49-F238E27FC236}">
                  <a16:creationId xmlns:a16="http://schemas.microsoft.com/office/drawing/2014/main" id="{E688D1FD-DA94-14D8-EC24-18934AE744C5}"/>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D623A8"/>
                </a:gs>
                <a:gs pos="100000">
                  <a:srgbClr val="76027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Freeform: Shape 59">
              <a:extLst>
                <a:ext uri="{FF2B5EF4-FFF2-40B4-BE49-F238E27FC236}">
                  <a16:creationId xmlns:a16="http://schemas.microsoft.com/office/drawing/2014/main" id="{CD5B70CF-D65E-B881-4BFA-CE71526AA92C}"/>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7B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Freeform: Shape 60">
              <a:extLst>
                <a:ext uri="{FF2B5EF4-FFF2-40B4-BE49-F238E27FC236}">
                  <a16:creationId xmlns:a16="http://schemas.microsoft.com/office/drawing/2014/main" id="{7E05FF62-03A0-9C49-4A72-810884E93A90}"/>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4D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403860</xdr:colOff>
      <xdr:row>0</xdr:row>
      <xdr:rowOff>0</xdr:rowOff>
    </xdr:from>
    <xdr:to>
      <xdr:col>23</xdr:col>
      <xdr:colOff>419100</xdr:colOff>
      <xdr:row>38</xdr:row>
      <xdr:rowOff>99060</xdr:rowOff>
    </xdr:to>
    <xdr:sp macro="" textlink="">
      <xdr:nvSpPr>
        <xdr:cNvPr id="7" name="Rectangle 6">
          <a:extLst>
            <a:ext uri="{FF2B5EF4-FFF2-40B4-BE49-F238E27FC236}">
              <a16:creationId xmlns:a16="http://schemas.microsoft.com/office/drawing/2014/main" id="{70A7933C-C8B5-7226-2D6B-7E63AB43AEDB}"/>
            </a:ext>
          </a:extLst>
        </xdr:cNvPr>
        <xdr:cNvSpPr/>
      </xdr:nvSpPr>
      <xdr:spPr>
        <a:xfrm>
          <a:off x="2232660" y="0"/>
          <a:ext cx="12207240" cy="7048500"/>
        </a:xfrm>
        <a:prstGeom prst="rect">
          <a:avLst/>
        </a:prstGeom>
        <a:solidFill>
          <a:schemeClr val="bg1"/>
        </a:solidFill>
        <a:ln>
          <a:noFill/>
        </a:ln>
        <a:effectLst>
          <a:outerShdw blurRad="546100" dist="215900" dir="11700000" algn="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0</xdr:col>
      <xdr:colOff>0</xdr:colOff>
      <xdr:row>1</xdr:row>
      <xdr:rowOff>30480</xdr:rowOff>
    </xdr:from>
    <xdr:to>
      <xdr:col>7</xdr:col>
      <xdr:colOff>205740</xdr:colOff>
      <xdr:row>18</xdr:row>
      <xdr:rowOff>121920</xdr:rowOff>
    </xdr:to>
    <xdr:graphicFrame macro="">
      <xdr:nvGraphicFramePr>
        <xdr:cNvPr id="8" name="Chart 7">
          <a:extLst>
            <a:ext uri="{FF2B5EF4-FFF2-40B4-BE49-F238E27FC236}">
              <a16:creationId xmlns:a16="http://schemas.microsoft.com/office/drawing/2014/main" id="{8A8213BB-4B74-4BA5-8228-20D3B8036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129540</xdr:colOff>
      <xdr:row>0</xdr:row>
      <xdr:rowOff>0</xdr:rowOff>
    </xdr:from>
    <xdr:to>
      <xdr:col>23</xdr:col>
      <xdr:colOff>441960</xdr:colOff>
      <xdr:row>14</xdr:row>
      <xdr:rowOff>91440</xdr:rowOff>
    </xdr:to>
    <xdr:sp macro="" textlink="">
      <xdr:nvSpPr>
        <xdr:cNvPr id="63" name="Rectangle 62">
          <a:extLst>
            <a:ext uri="{FF2B5EF4-FFF2-40B4-BE49-F238E27FC236}">
              <a16:creationId xmlns:a16="http://schemas.microsoft.com/office/drawing/2014/main" id="{6141CF74-B28E-A403-76A3-039A0B284477}"/>
            </a:ext>
          </a:extLst>
        </xdr:cNvPr>
        <xdr:cNvSpPr/>
      </xdr:nvSpPr>
      <xdr:spPr>
        <a:xfrm>
          <a:off x="10492740" y="0"/>
          <a:ext cx="3970020" cy="2651760"/>
        </a:xfrm>
        <a:prstGeom prst="rect">
          <a:avLst/>
        </a:prstGeom>
        <a:solidFill>
          <a:srgbClr val="052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22</xdr:col>
      <xdr:colOff>508635</xdr:colOff>
      <xdr:row>0</xdr:row>
      <xdr:rowOff>7620</xdr:rowOff>
    </xdr:from>
    <xdr:to>
      <xdr:col>23</xdr:col>
      <xdr:colOff>443865</xdr:colOff>
      <xdr:row>5</xdr:row>
      <xdr:rowOff>144780</xdr:rowOff>
    </xdr:to>
    <xdr:sp macro="" textlink="">
      <xdr:nvSpPr>
        <xdr:cNvPr id="66" name="Right Triangle 65">
          <a:extLst>
            <a:ext uri="{FF2B5EF4-FFF2-40B4-BE49-F238E27FC236}">
              <a16:creationId xmlns:a16="http://schemas.microsoft.com/office/drawing/2014/main" id="{128DC160-71B0-EF23-1FD8-F7DC9EB37218}"/>
            </a:ext>
          </a:extLst>
        </xdr:cNvPr>
        <xdr:cNvSpPr/>
      </xdr:nvSpPr>
      <xdr:spPr>
        <a:xfrm rot="10800000">
          <a:off x="13919835" y="7620"/>
          <a:ext cx="544830" cy="1051560"/>
        </a:xfrm>
        <a:prstGeom prst="rtTriangle">
          <a:avLst/>
        </a:prstGeom>
        <a:solidFill>
          <a:srgbClr val="0075AA">
            <a:alpha val="79000"/>
          </a:srgb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23</xdr:col>
      <xdr:colOff>51054</xdr:colOff>
      <xdr:row>2</xdr:row>
      <xdr:rowOff>129540</xdr:rowOff>
    </xdr:from>
    <xdr:to>
      <xdr:col>23</xdr:col>
      <xdr:colOff>436626</xdr:colOff>
      <xdr:row>9</xdr:row>
      <xdr:rowOff>121920</xdr:rowOff>
    </xdr:to>
    <xdr:sp macro="" textlink="">
      <xdr:nvSpPr>
        <xdr:cNvPr id="67" name="Right Triangle 66">
          <a:extLst>
            <a:ext uri="{FF2B5EF4-FFF2-40B4-BE49-F238E27FC236}">
              <a16:creationId xmlns:a16="http://schemas.microsoft.com/office/drawing/2014/main" id="{6C55C8CD-4382-892A-123E-9457C155E097}"/>
            </a:ext>
          </a:extLst>
        </xdr:cNvPr>
        <xdr:cNvSpPr/>
      </xdr:nvSpPr>
      <xdr:spPr>
        <a:xfrm flipH="1">
          <a:off x="14071854" y="495300"/>
          <a:ext cx="385572" cy="1272540"/>
        </a:xfrm>
        <a:prstGeom prst="rtTriangle">
          <a:avLst/>
        </a:prstGeom>
        <a:solidFill>
          <a:srgbClr val="CBF7FF">
            <a:alpha val="68000"/>
          </a:srgb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312420</xdr:colOff>
      <xdr:row>0</xdr:row>
      <xdr:rowOff>152400</xdr:rowOff>
    </xdr:from>
    <xdr:to>
      <xdr:col>22</xdr:col>
      <xdr:colOff>373380</xdr:colOff>
      <xdr:row>7</xdr:row>
      <xdr:rowOff>152400</xdr:rowOff>
    </xdr:to>
    <xdr:sp macro="" textlink="">
      <xdr:nvSpPr>
        <xdr:cNvPr id="78" name="Oval 77">
          <a:extLst>
            <a:ext uri="{FF2B5EF4-FFF2-40B4-BE49-F238E27FC236}">
              <a16:creationId xmlns:a16="http://schemas.microsoft.com/office/drawing/2014/main" id="{CBA44C29-9B35-5291-6C57-D97004C1893C}"/>
            </a:ext>
          </a:extLst>
        </xdr:cNvPr>
        <xdr:cNvSpPr/>
      </xdr:nvSpPr>
      <xdr:spPr>
        <a:xfrm>
          <a:off x="12504420" y="152400"/>
          <a:ext cx="1280160" cy="1280160"/>
        </a:xfrm>
        <a:prstGeom prst="ellipse">
          <a:avLst/>
        </a:prstGeom>
        <a:solidFill>
          <a:schemeClr val="tx2">
            <a:lumMod val="10000"/>
            <a:lumOff val="90000"/>
          </a:schemeClr>
        </a:solidFill>
        <a:ln>
          <a:noFill/>
        </a:ln>
        <a:effectLst>
          <a:outerShdw blurRad="50800" dist="762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228600</xdr:colOff>
      <xdr:row>0</xdr:row>
      <xdr:rowOff>22860</xdr:rowOff>
    </xdr:from>
    <xdr:to>
      <xdr:col>24</xdr:col>
      <xdr:colOff>53340</xdr:colOff>
      <xdr:row>8</xdr:row>
      <xdr:rowOff>91440</xdr:rowOff>
    </xdr:to>
    <xdr:graphicFrame macro="">
      <xdr:nvGraphicFramePr>
        <xdr:cNvPr id="68" name="Chart 67">
          <a:extLst>
            <a:ext uri="{FF2B5EF4-FFF2-40B4-BE49-F238E27FC236}">
              <a16:creationId xmlns:a16="http://schemas.microsoft.com/office/drawing/2014/main" id="{3C6C9422-61AE-4B2C-AF5A-6BAF89E17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22860</xdr:colOff>
      <xdr:row>2</xdr:row>
      <xdr:rowOff>99060</xdr:rowOff>
    </xdr:from>
    <xdr:to>
      <xdr:col>22</xdr:col>
      <xdr:colOff>53340</xdr:colOff>
      <xdr:row>6</xdr:row>
      <xdr:rowOff>7620</xdr:rowOff>
    </xdr:to>
    <xdr:grpSp>
      <xdr:nvGrpSpPr>
        <xdr:cNvPr id="74" name="Group 73">
          <a:extLst>
            <a:ext uri="{FF2B5EF4-FFF2-40B4-BE49-F238E27FC236}">
              <a16:creationId xmlns:a16="http://schemas.microsoft.com/office/drawing/2014/main" id="{B3241CFD-2B36-4A86-C0BF-A4746FA41954}"/>
            </a:ext>
          </a:extLst>
        </xdr:cNvPr>
        <xdr:cNvGrpSpPr/>
      </xdr:nvGrpSpPr>
      <xdr:grpSpPr>
        <a:xfrm>
          <a:off x="12468860" y="480060"/>
          <a:ext cx="623147" cy="670560"/>
          <a:chOff x="12839700" y="472440"/>
          <a:chExt cx="640080" cy="640080"/>
        </a:xfrm>
      </xdr:grpSpPr>
      <xdr:sp macro="" textlink="">
        <xdr:nvSpPr>
          <xdr:cNvPr id="70" name="Oval 69">
            <a:extLst>
              <a:ext uri="{FF2B5EF4-FFF2-40B4-BE49-F238E27FC236}">
                <a16:creationId xmlns:a16="http://schemas.microsoft.com/office/drawing/2014/main" id="{D79836FF-671E-3B85-32ED-D6108F826068}"/>
              </a:ext>
            </a:extLst>
          </xdr:cNvPr>
          <xdr:cNvSpPr/>
        </xdr:nvSpPr>
        <xdr:spPr>
          <a:xfrm>
            <a:off x="12839700" y="472440"/>
            <a:ext cx="640080" cy="640080"/>
          </a:xfrm>
          <a:prstGeom prst="ellipse">
            <a:avLst/>
          </a:prstGeom>
          <a:solidFill>
            <a:schemeClr val="bg1"/>
          </a:solidFill>
          <a:ln>
            <a:noFill/>
          </a:ln>
          <a:effectLst>
            <a:innerShdw blurRad="279400">
              <a:schemeClr val="tx2">
                <a:lumMod val="25000"/>
                <a:lumOff val="7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71" name="Circle: Hollow 70">
            <a:extLst>
              <a:ext uri="{FF2B5EF4-FFF2-40B4-BE49-F238E27FC236}">
                <a16:creationId xmlns:a16="http://schemas.microsoft.com/office/drawing/2014/main" id="{1F91759A-B110-3E54-7CBC-0AE0A449E50B}"/>
              </a:ext>
            </a:extLst>
          </xdr:cNvPr>
          <xdr:cNvSpPr/>
        </xdr:nvSpPr>
        <xdr:spPr>
          <a:xfrm>
            <a:off x="12839700" y="472440"/>
            <a:ext cx="640080" cy="640080"/>
          </a:xfrm>
          <a:prstGeom prst="donut">
            <a:avLst>
              <a:gd name="adj" fmla="val 6442"/>
            </a:avLst>
          </a:prstGeom>
          <a:solidFill>
            <a:schemeClr val="bg1"/>
          </a:solidFill>
          <a:ln>
            <a:noFill/>
          </a:ln>
          <a:effectLst>
            <a:outerShdw blurRad="63500" sx="102000" sy="102000" algn="ctr"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solidFill>
                <a:schemeClr val="tx1"/>
              </a:solidFill>
            </a:endParaRPr>
          </a:p>
        </xdr:txBody>
      </xdr:sp>
    </xdr:grpSp>
    <xdr:clientData/>
  </xdr:twoCellAnchor>
  <xdr:twoCellAnchor>
    <xdr:from>
      <xdr:col>8</xdr:col>
      <xdr:colOff>429562</xdr:colOff>
      <xdr:row>6</xdr:row>
      <xdr:rowOff>83820</xdr:rowOff>
    </xdr:from>
    <xdr:to>
      <xdr:col>16</xdr:col>
      <xdr:colOff>460042</xdr:colOff>
      <xdr:row>18</xdr:row>
      <xdr:rowOff>160020</xdr:rowOff>
    </xdr:to>
    <xdr:graphicFrame macro="">
      <xdr:nvGraphicFramePr>
        <xdr:cNvPr id="79" name="Chart 78">
          <a:extLst>
            <a:ext uri="{FF2B5EF4-FFF2-40B4-BE49-F238E27FC236}">
              <a16:creationId xmlns:a16="http://schemas.microsoft.com/office/drawing/2014/main" id="{1FC8A25F-7923-4AFA-8013-DBA7E39A2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510540</xdr:colOff>
      <xdr:row>18</xdr:row>
      <xdr:rowOff>38100</xdr:rowOff>
    </xdr:from>
    <xdr:to>
      <xdr:col>23</xdr:col>
      <xdr:colOff>144780</xdr:colOff>
      <xdr:row>33</xdr:row>
      <xdr:rowOff>136627</xdr:rowOff>
    </xdr:to>
    <xdr:grpSp>
      <xdr:nvGrpSpPr>
        <xdr:cNvPr id="95" name="Group 94">
          <a:extLst>
            <a:ext uri="{FF2B5EF4-FFF2-40B4-BE49-F238E27FC236}">
              <a16:creationId xmlns:a16="http://schemas.microsoft.com/office/drawing/2014/main" id="{E6E5BC39-FDB1-D619-A727-260A6B2B577C}"/>
            </a:ext>
          </a:extLst>
        </xdr:cNvPr>
        <xdr:cNvGrpSpPr/>
      </xdr:nvGrpSpPr>
      <xdr:grpSpPr>
        <a:xfrm>
          <a:off x="10585873" y="3467100"/>
          <a:ext cx="3190240" cy="2956027"/>
          <a:chOff x="10835640" y="2743200"/>
          <a:chExt cx="3291840" cy="2841727"/>
        </a:xfrm>
      </xdr:grpSpPr>
      <xdr:graphicFrame macro="">
        <xdr:nvGraphicFramePr>
          <xdr:cNvPr id="80" name="Chart 79">
            <a:extLst>
              <a:ext uri="{FF2B5EF4-FFF2-40B4-BE49-F238E27FC236}">
                <a16:creationId xmlns:a16="http://schemas.microsoft.com/office/drawing/2014/main" id="{CF2BD03F-321E-4B7B-AC15-673593FA39D6}"/>
              </a:ext>
            </a:extLst>
          </xdr:cNvPr>
          <xdr:cNvGraphicFramePr>
            <a:graphicFrameLocks/>
          </xdr:cNvGraphicFramePr>
        </xdr:nvGraphicFramePr>
        <xdr:xfrm>
          <a:off x="10835640" y="2743200"/>
          <a:ext cx="3291840" cy="2841727"/>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82" name="Straight Connector 81">
            <a:extLst>
              <a:ext uri="{FF2B5EF4-FFF2-40B4-BE49-F238E27FC236}">
                <a16:creationId xmlns:a16="http://schemas.microsoft.com/office/drawing/2014/main" id="{902FE3D4-83AA-43EB-E031-6DFFC5C255E4}"/>
              </a:ext>
            </a:extLst>
          </xdr:cNvPr>
          <xdr:cNvCxnSpPr/>
        </xdr:nvCxnSpPr>
        <xdr:spPr>
          <a:xfrm>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B263B8F4-4E7F-0D9A-F521-CE7250F168E6}"/>
              </a:ext>
            </a:extLst>
          </xdr:cNvPr>
          <xdr:cNvCxnSpPr/>
        </xdr:nvCxnSpPr>
        <xdr:spPr>
          <a:xfrm rot="3600000">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7CFDEA9A-A0C8-3A6D-A359-F178CEA7D144}"/>
              </a:ext>
            </a:extLst>
          </xdr:cNvPr>
          <xdr:cNvCxnSpPr/>
        </xdr:nvCxnSpPr>
        <xdr:spPr>
          <a:xfrm rot="18000000">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94" name="Oval 93">
            <a:extLst>
              <a:ext uri="{FF2B5EF4-FFF2-40B4-BE49-F238E27FC236}">
                <a16:creationId xmlns:a16="http://schemas.microsoft.com/office/drawing/2014/main" id="{FA3CB5A1-B17C-61C7-CC02-EEF8023F71E6}"/>
              </a:ext>
            </a:extLst>
          </xdr:cNvPr>
          <xdr:cNvSpPr/>
        </xdr:nvSpPr>
        <xdr:spPr>
          <a:xfrm>
            <a:off x="11117580" y="2811780"/>
            <a:ext cx="2743200" cy="2743200"/>
          </a:xfrm>
          <a:prstGeom prst="ellipse">
            <a:avLst/>
          </a:prstGeom>
          <a:solidFill>
            <a:schemeClr val="accent1">
              <a:alpha val="0"/>
            </a:schemeClr>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6</xdr:col>
      <xdr:colOff>15240</xdr:colOff>
      <xdr:row>3</xdr:row>
      <xdr:rowOff>38100</xdr:rowOff>
    </xdr:from>
    <xdr:to>
      <xdr:col>6</xdr:col>
      <xdr:colOff>472440</xdr:colOff>
      <xdr:row>5</xdr:row>
      <xdr:rowOff>129540</xdr:rowOff>
    </xdr:to>
    <xdr:sp macro="" textlink="">
      <xdr:nvSpPr>
        <xdr:cNvPr id="100" name="Oval 99">
          <a:extLst>
            <a:ext uri="{FF2B5EF4-FFF2-40B4-BE49-F238E27FC236}">
              <a16:creationId xmlns:a16="http://schemas.microsoft.com/office/drawing/2014/main" id="{7215C723-A883-B65C-BF6F-377CCFE5CC3B}"/>
            </a:ext>
          </a:extLst>
        </xdr:cNvPr>
        <xdr:cNvSpPr/>
      </xdr:nvSpPr>
      <xdr:spPr>
        <a:xfrm>
          <a:off x="3672840" y="586740"/>
          <a:ext cx="457200" cy="457200"/>
        </a:xfrm>
        <a:prstGeom prst="ellipse">
          <a:avLst/>
        </a:prstGeom>
        <a:solidFill>
          <a:srgbClr val="06A9E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281940</xdr:colOff>
      <xdr:row>8</xdr:row>
      <xdr:rowOff>152400</xdr:rowOff>
    </xdr:from>
    <xdr:to>
      <xdr:col>7</xdr:col>
      <xdr:colOff>129540</xdr:colOff>
      <xdr:row>11</xdr:row>
      <xdr:rowOff>60960</xdr:rowOff>
    </xdr:to>
    <xdr:sp macro="" textlink="">
      <xdr:nvSpPr>
        <xdr:cNvPr id="101" name="Oval 100">
          <a:extLst>
            <a:ext uri="{FF2B5EF4-FFF2-40B4-BE49-F238E27FC236}">
              <a16:creationId xmlns:a16="http://schemas.microsoft.com/office/drawing/2014/main" id="{2BB144D7-496C-3B5E-0AB5-F0D3F2650B0E}"/>
            </a:ext>
          </a:extLst>
        </xdr:cNvPr>
        <xdr:cNvSpPr/>
      </xdr:nvSpPr>
      <xdr:spPr>
        <a:xfrm>
          <a:off x="3939540" y="1615440"/>
          <a:ext cx="457200" cy="457200"/>
        </a:xfrm>
        <a:prstGeom prst="ellipse">
          <a:avLst/>
        </a:prstGeom>
        <a:solidFill>
          <a:srgbClr val="0075A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6</xdr:col>
      <xdr:colOff>22860</xdr:colOff>
      <xdr:row>14</xdr:row>
      <xdr:rowOff>53340</xdr:rowOff>
    </xdr:from>
    <xdr:to>
      <xdr:col>6</xdr:col>
      <xdr:colOff>480060</xdr:colOff>
      <xdr:row>16</xdr:row>
      <xdr:rowOff>144780</xdr:rowOff>
    </xdr:to>
    <xdr:sp macro="" textlink="">
      <xdr:nvSpPr>
        <xdr:cNvPr id="105" name="Oval 104">
          <a:extLst>
            <a:ext uri="{FF2B5EF4-FFF2-40B4-BE49-F238E27FC236}">
              <a16:creationId xmlns:a16="http://schemas.microsoft.com/office/drawing/2014/main" id="{326747C9-4E61-FC8C-5E81-5C8B22169797}"/>
            </a:ext>
          </a:extLst>
        </xdr:cNvPr>
        <xdr:cNvSpPr/>
      </xdr:nvSpPr>
      <xdr:spPr>
        <a:xfrm>
          <a:off x="3680460" y="2613660"/>
          <a:ext cx="457200" cy="457200"/>
        </a:xfrm>
        <a:prstGeom prst="ellipse">
          <a:avLst/>
        </a:prstGeom>
        <a:solidFill>
          <a:srgbClr val="B9F5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b="1" kern="1200">
            <a:solidFill>
              <a:schemeClr val="lt1"/>
            </a:solidFill>
            <a:latin typeface="+mn-lt"/>
            <a:ea typeface="+mn-ea"/>
            <a:cs typeface="+mn-cs"/>
          </a:endParaRPr>
        </a:p>
      </xdr:txBody>
    </xdr:sp>
    <xdr:clientData/>
  </xdr:twoCellAnchor>
  <xdr:twoCellAnchor>
    <xdr:from>
      <xdr:col>6</xdr:col>
      <xdr:colOff>472440</xdr:colOff>
      <xdr:row>1</xdr:row>
      <xdr:rowOff>76200</xdr:rowOff>
    </xdr:from>
    <xdr:to>
      <xdr:col>7</xdr:col>
      <xdr:colOff>266700</xdr:colOff>
      <xdr:row>3</xdr:row>
      <xdr:rowOff>114300</xdr:rowOff>
    </xdr:to>
    <xdr:sp macro="" textlink="">
      <xdr:nvSpPr>
        <xdr:cNvPr id="106" name="Oval 105">
          <a:extLst>
            <a:ext uri="{FF2B5EF4-FFF2-40B4-BE49-F238E27FC236}">
              <a16:creationId xmlns:a16="http://schemas.microsoft.com/office/drawing/2014/main" id="{6032324F-98FF-595F-150D-4998D7A29BE0}"/>
            </a:ext>
          </a:extLst>
        </xdr:cNvPr>
        <xdr:cNvSpPr/>
      </xdr:nvSpPr>
      <xdr:spPr>
        <a:xfrm>
          <a:off x="4130040" y="259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400" b="1" kern="1200">
              <a:solidFill>
                <a:schemeClr val="tx2">
                  <a:lumMod val="75000"/>
                  <a:lumOff val="25000"/>
                </a:schemeClr>
              </a:solidFill>
            </a:rPr>
            <a:t>A</a:t>
          </a:r>
          <a:endParaRPr lang="ru-RU" sz="2400" b="1" kern="1200">
            <a:solidFill>
              <a:schemeClr val="tx2">
                <a:lumMod val="75000"/>
                <a:lumOff val="25000"/>
              </a:schemeClr>
            </a:solidFill>
          </a:endParaRPr>
        </a:p>
      </xdr:txBody>
    </xdr:sp>
    <xdr:clientData/>
  </xdr:twoCellAnchor>
  <xdr:twoCellAnchor>
    <xdr:from>
      <xdr:col>7</xdr:col>
      <xdr:colOff>213360</xdr:colOff>
      <xdr:row>8</xdr:row>
      <xdr:rowOff>175260</xdr:rowOff>
    </xdr:from>
    <xdr:to>
      <xdr:col>8</xdr:col>
      <xdr:colOff>7620</xdr:colOff>
      <xdr:row>11</xdr:row>
      <xdr:rowOff>30480</xdr:rowOff>
    </xdr:to>
    <xdr:sp macro="" textlink="">
      <xdr:nvSpPr>
        <xdr:cNvPr id="107" name="Oval 106">
          <a:extLst>
            <a:ext uri="{FF2B5EF4-FFF2-40B4-BE49-F238E27FC236}">
              <a16:creationId xmlns:a16="http://schemas.microsoft.com/office/drawing/2014/main" id="{E6763438-BFB6-3875-6ACA-0C82318FD506}"/>
            </a:ext>
          </a:extLst>
        </xdr:cNvPr>
        <xdr:cNvSpPr/>
      </xdr:nvSpPr>
      <xdr:spPr>
        <a:xfrm>
          <a:off x="4480560" y="163830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B</a:t>
          </a:r>
          <a:endParaRPr lang="ru-RU" sz="2400" b="1" kern="1200">
            <a:solidFill>
              <a:schemeClr val="tx2">
                <a:lumMod val="75000"/>
                <a:lumOff val="25000"/>
              </a:schemeClr>
            </a:solidFill>
            <a:latin typeface="+mn-lt"/>
            <a:ea typeface="+mn-ea"/>
            <a:cs typeface="+mn-cs"/>
          </a:endParaRPr>
        </a:p>
      </xdr:txBody>
    </xdr:sp>
    <xdr:clientData/>
  </xdr:twoCellAnchor>
  <xdr:twoCellAnchor>
    <xdr:from>
      <xdr:col>6</xdr:col>
      <xdr:colOff>457200</xdr:colOff>
      <xdr:row>16</xdr:row>
      <xdr:rowOff>114300</xdr:rowOff>
    </xdr:from>
    <xdr:to>
      <xdr:col>7</xdr:col>
      <xdr:colOff>251460</xdr:colOff>
      <xdr:row>18</xdr:row>
      <xdr:rowOff>152400</xdr:rowOff>
    </xdr:to>
    <xdr:sp macro="" textlink="">
      <xdr:nvSpPr>
        <xdr:cNvPr id="112" name="Oval 111">
          <a:extLst>
            <a:ext uri="{FF2B5EF4-FFF2-40B4-BE49-F238E27FC236}">
              <a16:creationId xmlns:a16="http://schemas.microsoft.com/office/drawing/2014/main" id="{107F9533-239A-02B9-EDAF-02FB57499DD4}"/>
            </a:ext>
          </a:extLst>
        </xdr:cNvPr>
        <xdr:cNvSpPr/>
      </xdr:nvSpPr>
      <xdr:spPr>
        <a:xfrm>
          <a:off x="4114800" y="30403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C</a:t>
          </a:r>
          <a:endParaRPr lang="ru-RU" sz="2400" b="1" kern="1200">
            <a:solidFill>
              <a:schemeClr val="tx2">
                <a:lumMod val="75000"/>
                <a:lumOff val="25000"/>
              </a:schemeClr>
            </a:solidFill>
            <a:latin typeface="+mn-lt"/>
            <a:ea typeface="+mn-ea"/>
            <a:cs typeface="+mn-cs"/>
          </a:endParaRPr>
        </a:p>
      </xdr:txBody>
    </xdr:sp>
    <xdr:clientData/>
  </xdr:twoCellAnchor>
  <xdr:oneCellAnchor>
    <xdr:from>
      <xdr:col>7</xdr:col>
      <xdr:colOff>268104</xdr:colOff>
      <xdr:row>0</xdr:row>
      <xdr:rowOff>0</xdr:rowOff>
    </xdr:from>
    <xdr:ext cx="6152216" cy="671018"/>
    <xdr:sp macro="" textlink="">
      <xdr:nvSpPr>
        <xdr:cNvPr id="114" name="Rectangle 113">
          <a:extLst>
            <a:ext uri="{FF2B5EF4-FFF2-40B4-BE49-F238E27FC236}">
              <a16:creationId xmlns:a16="http://schemas.microsoft.com/office/drawing/2014/main" id="{75F8DD91-23E4-7D89-F935-335E5EA65CAE}"/>
            </a:ext>
          </a:extLst>
        </xdr:cNvPr>
        <xdr:cNvSpPr/>
      </xdr:nvSpPr>
      <xdr:spPr>
        <a:xfrm>
          <a:off x="4535304" y="0"/>
          <a:ext cx="6152216" cy="671018"/>
        </a:xfrm>
        <a:prstGeom prst="rect">
          <a:avLst/>
        </a:prstGeom>
        <a:noFill/>
        <a:ln>
          <a:noFill/>
        </a:ln>
        <a:effectLst/>
      </xdr:spPr>
      <xdr:txBody>
        <a:bodyPr wrap="square" lIns="91440" tIns="45720" rIns="91440" bIns="45720">
          <a:spAutoFit/>
        </a:bodyPr>
        <a:lstStyle/>
        <a:p>
          <a:pPr algn="ctr"/>
          <a:r>
            <a:rPr lang="pl-PL" sz="32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ABC Product Analysis</a:t>
          </a:r>
          <a:endParaRPr lang="en-US" sz="32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endParaRPr>
        </a:p>
      </xdr:txBody>
    </xdr:sp>
    <xdr:clientData/>
  </xdr:oneCellAnchor>
  <xdr:twoCellAnchor>
    <xdr:from>
      <xdr:col>2</xdr:col>
      <xdr:colOff>388620</xdr:colOff>
      <xdr:row>15</xdr:row>
      <xdr:rowOff>144780</xdr:rowOff>
    </xdr:from>
    <xdr:to>
      <xdr:col>10</xdr:col>
      <xdr:colOff>487680</xdr:colOff>
      <xdr:row>43</xdr:row>
      <xdr:rowOff>0</xdr:rowOff>
    </xdr:to>
    <xdr:graphicFrame macro="">
      <xdr:nvGraphicFramePr>
        <xdr:cNvPr id="2" name="Chart 1">
          <a:extLst>
            <a:ext uri="{FF2B5EF4-FFF2-40B4-BE49-F238E27FC236}">
              <a16:creationId xmlns:a16="http://schemas.microsoft.com/office/drawing/2014/main" id="{22775B93-5599-4670-9681-D30AF5B38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556260</xdr:colOff>
      <xdr:row>14</xdr:row>
      <xdr:rowOff>121920</xdr:rowOff>
    </xdr:from>
    <xdr:to>
      <xdr:col>6</xdr:col>
      <xdr:colOff>563880</xdr:colOff>
      <xdr:row>16</xdr:row>
      <xdr:rowOff>60960</xdr:rowOff>
    </xdr:to>
    <xdr:sp macro="" textlink="Processing!B3">
      <xdr:nvSpPr>
        <xdr:cNvPr id="5" name="TextBox 4">
          <a:extLst>
            <a:ext uri="{FF2B5EF4-FFF2-40B4-BE49-F238E27FC236}">
              <a16:creationId xmlns:a16="http://schemas.microsoft.com/office/drawing/2014/main" id="{1BCB2103-5A6A-D6BF-BF96-AFD4E82D9611}"/>
            </a:ext>
          </a:extLst>
        </xdr:cNvPr>
        <xdr:cNvSpPr txBox="1"/>
      </xdr:nvSpPr>
      <xdr:spPr>
        <a:xfrm>
          <a:off x="3604260" y="268224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C542D-35F1-4AB8-9684-48687BB1F6B9}" type="TxLink">
            <a:rPr lang="en-US" sz="1400" b="1" i="0" u="none" strike="noStrike" kern="1200">
              <a:solidFill>
                <a:srgbClr val="0075AA"/>
              </a:solidFill>
              <a:latin typeface="Aptos Narrow"/>
            </a:rPr>
            <a:pPr algn="ctr"/>
            <a:t>44%</a:t>
          </a:fld>
          <a:endParaRPr lang="ru-RU" sz="1400" b="1" kern="1200">
            <a:solidFill>
              <a:srgbClr val="0075AA"/>
            </a:solidFill>
          </a:endParaRPr>
        </a:p>
      </xdr:txBody>
    </xdr:sp>
    <xdr:clientData/>
  </xdr:twoCellAnchor>
  <xdr:twoCellAnchor>
    <xdr:from>
      <xdr:col>6</xdr:col>
      <xdr:colOff>148552</xdr:colOff>
      <xdr:row>8</xdr:row>
      <xdr:rowOff>127938</xdr:rowOff>
    </xdr:from>
    <xdr:to>
      <xdr:col>7</xdr:col>
      <xdr:colOff>285788</xdr:colOff>
      <xdr:row>11</xdr:row>
      <xdr:rowOff>70182</xdr:rowOff>
    </xdr:to>
    <xdr:sp macro="" textlink="Processing!B4">
      <xdr:nvSpPr>
        <xdr:cNvPr id="9" name="TextBox 8">
          <a:extLst>
            <a:ext uri="{FF2B5EF4-FFF2-40B4-BE49-F238E27FC236}">
              <a16:creationId xmlns:a16="http://schemas.microsoft.com/office/drawing/2014/main" id="{E428E3D1-CE4D-32B1-1788-3024A46EB67A}"/>
            </a:ext>
          </a:extLst>
        </xdr:cNvPr>
        <xdr:cNvSpPr txBox="1"/>
      </xdr:nvSpPr>
      <xdr:spPr>
        <a:xfrm>
          <a:off x="3806152" y="1590978"/>
          <a:ext cx="746836" cy="49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C59C6-B73C-4885-A2B4-D97D564F334A}" type="TxLink">
            <a:rPr lang="en-US" sz="1400" b="1" i="0" u="none" strike="noStrike" kern="1200">
              <a:solidFill>
                <a:schemeClr val="bg1"/>
              </a:solidFill>
              <a:latin typeface="Aptos Narrow"/>
            </a:rPr>
            <a:pPr algn="ctr"/>
            <a:t>31%</a:t>
          </a:fld>
          <a:endParaRPr lang="ru-RU" sz="1600" b="1" kern="1200">
            <a:solidFill>
              <a:schemeClr val="bg1"/>
            </a:solidFill>
          </a:endParaRPr>
        </a:p>
      </xdr:txBody>
    </xdr:sp>
    <xdr:clientData/>
  </xdr:twoCellAnchor>
  <xdr:twoCellAnchor>
    <xdr:from>
      <xdr:col>5</xdr:col>
      <xdr:colOff>548640</xdr:colOff>
      <xdr:row>3</xdr:row>
      <xdr:rowOff>99060</xdr:rowOff>
    </xdr:from>
    <xdr:to>
      <xdr:col>6</xdr:col>
      <xdr:colOff>556260</xdr:colOff>
      <xdr:row>5</xdr:row>
      <xdr:rowOff>38100</xdr:rowOff>
    </xdr:to>
    <xdr:sp macro="" textlink="Processing!B5">
      <xdr:nvSpPr>
        <xdr:cNvPr id="10" name="TextBox 9">
          <a:extLst>
            <a:ext uri="{FF2B5EF4-FFF2-40B4-BE49-F238E27FC236}">
              <a16:creationId xmlns:a16="http://schemas.microsoft.com/office/drawing/2014/main" id="{C4FE43BB-243F-F56F-AC33-03786AE6A7E5}"/>
            </a:ext>
          </a:extLst>
        </xdr:cNvPr>
        <xdr:cNvSpPr txBox="1"/>
      </xdr:nvSpPr>
      <xdr:spPr>
        <a:xfrm>
          <a:off x="3596640" y="64770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9BCA5-D2E1-4F75-9AA4-753F08AB4141}" type="TxLink">
            <a:rPr lang="en-US" sz="1400" b="1" i="0" u="none" strike="noStrike" kern="1200">
              <a:solidFill>
                <a:schemeClr val="bg1"/>
              </a:solidFill>
              <a:latin typeface="Aptos Narrow"/>
            </a:rPr>
            <a:pPr algn="ctr"/>
            <a:t>64%</a:t>
          </a:fld>
          <a:endParaRPr lang="ru-RU" sz="1600" b="1" kern="1200">
            <a:solidFill>
              <a:schemeClr val="bg1"/>
            </a:solidFill>
          </a:endParaRPr>
        </a:p>
      </xdr:txBody>
    </xdr:sp>
    <xdr:clientData/>
  </xdr:twoCellAnchor>
  <xdr:twoCellAnchor>
    <xdr:from>
      <xdr:col>3</xdr:col>
      <xdr:colOff>403860</xdr:colOff>
      <xdr:row>13</xdr:row>
      <xdr:rowOff>68580</xdr:rowOff>
    </xdr:from>
    <xdr:to>
      <xdr:col>3</xdr:col>
      <xdr:colOff>601980</xdr:colOff>
      <xdr:row>18</xdr:row>
      <xdr:rowOff>83820</xdr:rowOff>
    </xdr:to>
    <xdr:sp macro="" textlink="">
      <xdr:nvSpPr>
        <xdr:cNvPr id="11" name="Rectangle 10">
          <a:extLst>
            <a:ext uri="{FF2B5EF4-FFF2-40B4-BE49-F238E27FC236}">
              <a16:creationId xmlns:a16="http://schemas.microsoft.com/office/drawing/2014/main" id="{D70967B4-87D1-B0D0-E49D-43F00EB5F54F}"/>
            </a:ext>
          </a:extLst>
        </xdr:cNvPr>
        <xdr:cNvSpPr/>
      </xdr:nvSpPr>
      <xdr:spPr>
        <a:xfrm>
          <a:off x="2232660" y="2446020"/>
          <a:ext cx="198120" cy="929640"/>
        </a:xfrm>
        <a:prstGeom prst="rect">
          <a:avLst/>
        </a:prstGeom>
        <a:solidFill>
          <a:schemeClr val="bg1"/>
        </a:solidFill>
        <a:ln>
          <a:noFill/>
        </a:ln>
        <a:effectLst>
          <a:outerShdw blurRad="152400" dist="1524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3</xdr:col>
      <xdr:colOff>403860</xdr:colOff>
      <xdr:row>12</xdr:row>
      <xdr:rowOff>7620</xdr:rowOff>
    </xdr:from>
    <xdr:to>
      <xdr:col>4</xdr:col>
      <xdr:colOff>7620</xdr:colOff>
      <xdr:row>19</xdr:row>
      <xdr:rowOff>152400</xdr:rowOff>
    </xdr:to>
    <xdr:sp macro="" textlink="">
      <xdr:nvSpPr>
        <xdr:cNvPr id="12" name="Rectangle 11">
          <a:extLst>
            <a:ext uri="{FF2B5EF4-FFF2-40B4-BE49-F238E27FC236}">
              <a16:creationId xmlns:a16="http://schemas.microsoft.com/office/drawing/2014/main" id="{03B307A4-93B1-0761-509A-62FF2C3E7EAB}"/>
            </a:ext>
          </a:extLst>
        </xdr:cNvPr>
        <xdr:cNvSpPr/>
      </xdr:nvSpPr>
      <xdr:spPr>
        <a:xfrm>
          <a:off x="2232660" y="2202180"/>
          <a:ext cx="213360" cy="142494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8</xdr:col>
      <xdr:colOff>381000</xdr:colOff>
      <xdr:row>24</xdr:row>
      <xdr:rowOff>68580</xdr:rowOff>
    </xdr:from>
    <xdr:to>
      <xdr:col>16</xdr:col>
      <xdr:colOff>533400</xdr:colOff>
      <xdr:row>36</xdr:row>
      <xdr:rowOff>80010</xdr:rowOff>
    </xdr:to>
    <xdr:graphicFrame macro="">
      <xdr:nvGraphicFramePr>
        <xdr:cNvPr id="15" name="Chart 14">
          <a:extLst>
            <a:ext uri="{FF2B5EF4-FFF2-40B4-BE49-F238E27FC236}">
              <a16:creationId xmlns:a16="http://schemas.microsoft.com/office/drawing/2014/main" id="{31861176-BF17-4A66-A2B4-530EFB48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198120</xdr:colOff>
      <xdr:row>24</xdr:row>
      <xdr:rowOff>45720</xdr:rowOff>
    </xdr:from>
    <xdr:to>
      <xdr:col>16</xdr:col>
      <xdr:colOff>304800</xdr:colOff>
      <xdr:row>35</xdr:row>
      <xdr:rowOff>30480</xdr:rowOff>
    </xdr:to>
    <xdr:sp macro="" textlink="">
      <xdr:nvSpPr>
        <xdr:cNvPr id="18" name="Rectangle 17">
          <a:extLst>
            <a:ext uri="{FF2B5EF4-FFF2-40B4-BE49-F238E27FC236}">
              <a16:creationId xmlns:a16="http://schemas.microsoft.com/office/drawing/2014/main" id="{BF2175EA-5B06-B3E6-EC87-AA97C36D304E}"/>
            </a:ext>
          </a:extLst>
        </xdr:cNvPr>
        <xdr:cNvSpPr/>
      </xdr:nvSpPr>
      <xdr:spPr>
        <a:xfrm>
          <a:off x="9951720" y="4434840"/>
          <a:ext cx="106680" cy="1996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editAs="oneCell">
    <xdr:from>
      <xdr:col>17</xdr:col>
      <xdr:colOff>190500</xdr:colOff>
      <xdr:row>10</xdr:row>
      <xdr:rowOff>121921</xdr:rowOff>
    </xdr:from>
    <xdr:to>
      <xdr:col>23</xdr:col>
      <xdr:colOff>434340</xdr:colOff>
      <xdr:row>13</xdr:row>
      <xdr:rowOff>160020</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BC1F7A6F-5F01-429A-BFA6-A6AE8638E6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53700" y="1914862"/>
              <a:ext cx="3901440" cy="5759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8</xdr:row>
      <xdr:rowOff>106681</xdr:rowOff>
    </xdr:from>
    <xdr:to>
      <xdr:col>20</xdr:col>
      <xdr:colOff>30480</xdr:colOff>
      <xdr:row>10</xdr:row>
      <xdr:rowOff>106680</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A9900F8A-019A-483B-A89F-E32A76AB7C2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668000" y="1569721"/>
              <a:ext cx="1554480" cy="36575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8</xdr:row>
      <xdr:rowOff>106681</xdr:rowOff>
    </xdr:from>
    <xdr:to>
      <xdr:col>23</xdr:col>
      <xdr:colOff>434340</xdr:colOff>
      <xdr:row>10</xdr:row>
      <xdr:rowOff>106681</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3521F46F-6DFC-434B-AAB3-5C63D1112D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626340" y="1541034"/>
              <a:ext cx="1828800" cy="35858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0</xdr:row>
      <xdr:rowOff>45720</xdr:rowOff>
    </xdr:from>
    <xdr:to>
      <xdr:col>20</xdr:col>
      <xdr:colOff>213360</xdr:colOff>
      <xdr:row>2</xdr:row>
      <xdr:rowOff>144780</xdr:rowOff>
    </xdr:to>
    <xdr:sp macro="" textlink="Processing!C12">
      <xdr:nvSpPr>
        <xdr:cNvPr id="23" name="TextBox 22">
          <a:extLst>
            <a:ext uri="{FF2B5EF4-FFF2-40B4-BE49-F238E27FC236}">
              <a16:creationId xmlns:a16="http://schemas.microsoft.com/office/drawing/2014/main" id="{BCD09872-E0E1-80C8-AF9B-B097AF4C7C9B}"/>
            </a:ext>
          </a:extLst>
        </xdr:cNvPr>
        <xdr:cNvSpPr txBox="1"/>
      </xdr:nvSpPr>
      <xdr:spPr>
        <a:xfrm>
          <a:off x="10683240" y="45720"/>
          <a:ext cx="17221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E1BFE-00CC-48C5-AB03-5B68B5206D7E}" type="TxLink">
            <a:rPr lang="en-US" sz="3200" b="0" i="0" u="none" strike="noStrike" kern="1200">
              <a:solidFill>
                <a:schemeClr val="bg1"/>
              </a:solidFill>
              <a:latin typeface="Aptos Narrow"/>
            </a:rPr>
            <a:pPr/>
            <a:t>$ 2.0 M</a:t>
          </a:fld>
          <a:endParaRPr lang="ru-RU" sz="3200" kern="1200">
            <a:solidFill>
              <a:schemeClr val="bg1"/>
            </a:solidFill>
          </a:endParaRPr>
        </a:p>
      </xdr:txBody>
    </xdr:sp>
    <xdr:clientData/>
  </xdr:twoCellAnchor>
  <xdr:twoCellAnchor>
    <xdr:from>
      <xdr:col>20</xdr:col>
      <xdr:colOff>552332</xdr:colOff>
      <xdr:row>3</xdr:row>
      <xdr:rowOff>81291</xdr:rowOff>
    </xdr:from>
    <xdr:to>
      <xdr:col>22</xdr:col>
      <xdr:colOff>125848</xdr:colOff>
      <xdr:row>5</xdr:row>
      <xdr:rowOff>33009</xdr:rowOff>
    </xdr:to>
    <xdr:sp macro="" textlink="Processing!A12">
      <xdr:nvSpPr>
        <xdr:cNvPr id="24" name="TextBox 23">
          <a:extLst>
            <a:ext uri="{FF2B5EF4-FFF2-40B4-BE49-F238E27FC236}">
              <a16:creationId xmlns:a16="http://schemas.microsoft.com/office/drawing/2014/main" id="{ECE80523-4D76-406A-E41A-DB92BE5ED21D}"/>
            </a:ext>
          </a:extLst>
        </xdr:cNvPr>
        <xdr:cNvSpPr txBox="1"/>
      </xdr:nvSpPr>
      <xdr:spPr>
        <a:xfrm>
          <a:off x="12744332" y="629931"/>
          <a:ext cx="792716"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1959B-1540-4DE1-AF44-4FD0DE18A8F6}" type="TxLink">
            <a:rPr lang="en-US" sz="1100" b="1" i="0" u="none" strike="noStrike" kern="1200">
              <a:solidFill>
                <a:schemeClr val="tx2">
                  <a:lumMod val="75000"/>
                  <a:lumOff val="25000"/>
                </a:schemeClr>
              </a:solidFill>
              <a:latin typeface="Aptos Narrow"/>
            </a:rPr>
            <a:pPr algn="ctr"/>
            <a:t>SALES</a:t>
          </a:fld>
          <a:endParaRPr lang="ru-RU" sz="3200" kern="1200">
            <a:solidFill>
              <a:schemeClr val="tx2">
                <a:lumMod val="75000"/>
                <a:lumOff val="25000"/>
              </a:schemeClr>
            </a:solidFill>
          </a:endParaRPr>
        </a:p>
      </xdr:txBody>
    </xdr:sp>
    <xdr:clientData/>
  </xdr:twoCellAnchor>
  <xdr:twoCellAnchor>
    <xdr:from>
      <xdr:col>18</xdr:col>
      <xdr:colOff>369452</xdr:colOff>
      <xdr:row>3</xdr:row>
      <xdr:rowOff>123990</xdr:rowOff>
    </xdr:from>
    <xdr:to>
      <xdr:col>19</xdr:col>
      <xdr:colOff>552568</xdr:colOff>
      <xdr:row>4</xdr:row>
      <xdr:rowOff>157951</xdr:rowOff>
    </xdr:to>
    <xdr:sp macro="" textlink="Processing!B8">
      <xdr:nvSpPr>
        <xdr:cNvPr id="25" name="TextBox 24">
          <a:extLst>
            <a:ext uri="{FF2B5EF4-FFF2-40B4-BE49-F238E27FC236}">
              <a16:creationId xmlns:a16="http://schemas.microsoft.com/office/drawing/2014/main" id="{CCFDBCCA-943E-4DDC-E240-1D19D2221826}"/>
            </a:ext>
          </a:extLst>
        </xdr:cNvPr>
        <xdr:cNvSpPr txBox="1"/>
      </xdr:nvSpPr>
      <xdr:spPr>
        <a:xfrm>
          <a:off x="11342252" y="67263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EC2B3A-7EF9-4A31-AB19-2FF7DAA9F7CA}" type="TxLink">
            <a:rPr lang="en-US" sz="1100" b="0" i="0" u="none" strike="noStrike" kern="1200">
              <a:solidFill>
                <a:schemeClr val="tx2">
                  <a:lumMod val="25000"/>
                  <a:lumOff val="75000"/>
                </a:schemeClr>
              </a:solidFill>
              <a:latin typeface="Aptos Narrow"/>
            </a:rPr>
            <a:pPr algn="r"/>
            <a:t>29%</a:t>
          </a:fld>
          <a:endParaRPr lang="ru-RU" sz="3200" kern="1200">
            <a:solidFill>
              <a:schemeClr val="tx2">
                <a:lumMod val="25000"/>
                <a:lumOff val="75000"/>
              </a:schemeClr>
            </a:solidFill>
          </a:endParaRPr>
        </a:p>
      </xdr:txBody>
    </xdr:sp>
    <xdr:clientData/>
  </xdr:twoCellAnchor>
  <xdr:twoCellAnchor>
    <xdr:from>
      <xdr:col>18</xdr:col>
      <xdr:colOff>369452</xdr:colOff>
      <xdr:row>4</xdr:row>
      <xdr:rowOff>149390</xdr:rowOff>
    </xdr:from>
    <xdr:to>
      <xdr:col>19</xdr:col>
      <xdr:colOff>552568</xdr:colOff>
      <xdr:row>6</xdr:row>
      <xdr:rowOff>471</xdr:rowOff>
    </xdr:to>
    <xdr:sp macro="" textlink="Processing!B9">
      <xdr:nvSpPr>
        <xdr:cNvPr id="26" name="TextBox 25">
          <a:extLst>
            <a:ext uri="{FF2B5EF4-FFF2-40B4-BE49-F238E27FC236}">
              <a16:creationId xmlns:a16="http://schemas.microsoft.com/office/drawing/2014/main" id="{CF7828FC-7879-C4DF-118C-1E6D69E63FEF}"/>
            </a:ext>
          </a:extLst>
        </xdr:cNvPr>
        <xdr:cNvSpPr txBox="1"/>
      </xdr:nvSpPr>
      <xdr:spPr>
        <a:xfrm>
          <a:off x="11342252" y="88091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8AB93D1-F445-4747-8FBE-45A33CB3C3E1}" type="TxLink">
            <a:rPr lang="en-US" sz="1100" b="0" i="0" u="none" strike="noStrike" kern="1200">
              <a:solidFill>
                <a:schemeClr val="tx2">
                  <a:lumMod val="25000"/>
                  <a:lumOff val="75000"/>
                </a:schemeClr>
              </a:solidFill>
              <a:latin typeface="Aptos Narrow"/>
            </a:rPr>
            <a:pPr algn="r"/>
            <a:t>31%</a:t>
          </a:fld>
          <a:endParaRPr lang="ru-RU" sz="3200" kern="1200">
            <a:solidFill>
              <a:schemeClr val="tx2">
                <a:lumMod val="25000"/>
                <a:lumOff val="75000"/>
              </a:schemeClr>
            </a:solidFill>
          </a:endParaRPr>
        </a:p>
      </xdr:txBody>
    </xdr:sp>
    <xdr:clientData/>
  </xdr:twoCellAnchor>
  <xdr:twoCellAnchor>
    <xdr:from>
      <xdr:col>18</xdr:col>
      <xdr:colOff>369452</xdr:colOff>
      <xdr:row>5</xdr:row>
      <xdr:rowOff>174790</xdr:rowOff>
    </xdr:from>
    <xdr:to>
      <xdr:col>19</xdr:col>
      <xdr:colOff>552568</xdr:colOff>
      <xdr:row>7</xdr:row>
      <xdr:rowOff>25871</xdr:rowOff>
    </xdr:to>
    <xdr:sp macro="" textlink="Processing!B10">
      <xdr:nvSpPr>
        <xdr:cNvPr id="27" name="TextBox 26">
          <a:extLst>
            <a:ext uri="{FF2B5EF4-FFF2-40B4-BE49-F238E27FC236}">
              <a16:creationId xmlns:a16="http://schemas.microsoft.com/office/drawing/2014/main" id="{AB25B687-959D-A079-AEDE-3363839B00DA}"/>
            </a:ext>
          </a:extLst>
        </xdr:cNvPr>
        <xdr:cNvSpPr txBox="1"/>
      </xdr:nvSpPr>
      <xdr:spPr>
        <a:xfrm>
          <a:off x="11342252" y="108919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1AD49D-8599-49E2-8D15-6D72FB20E14B}" type="TxLink">
            <a:rPr lang="en-US" sz="1100" b="0" i="0" u="none" strike="noStrike" kern="1200">
              <a:solidFill>
                <a:schemeClr val="tx2">
                  <a:lumMod val="25000"/>
                  <a:lumOff val="75000"/>
                </a:schemeClr>
              </a:solidFill>
              <a:latin typeface="Aptos Narrow"/>
            </a:rPr>
            <a:pPr algn="r"/>
            <a:t>25%</a:t>
          </a:fld>
          <a:endParaRPr lang="ru-RU" sz="3200" kern="1200">
            <a:solidFill>
              <a:schemeClr val="tx2">
                <a:lumMod val="25000"/>
                <a:lumOff val="75000"/>
              </a:schemeClr>
            </a:solidFill>
          </a:endParaRPr>
        </a:p>
      </xdr:txBody>
    </xdr:sp>
    <xdr:clientData/>
  </xdr:twoCellAnchor>
  <xdr:twoCellAnchor>
    <xdr:from>
      <xdr:col>18</xdr:col>
      <xdr:colOff>369452</xdr:colOff>
      <xdr:row>7</xdr:row>
      <xdr:rowOff>17310</xdr:rowOff>
    </xdr:from>
    <xdr:to>
      <xdr:col>19</xdr:col>
      <xdr:colOff>552568</xdr:colOff>
      <xdr:row>8</xdr:row>
      <xdr:rowOff>51271</xdr:rowOff>
    </xdr:to>
    <xdr:sp macro="" textlink="Processing!B11">
      <xdr:nvSpPr>
        <xdr:cNvPr id="28" name="TextBox 27">
          <a:extLst>
            <a:ext uri="{FF2B5EF4-FFF2-40B4-BE49-F238E27FC236}">
              <a16:creationId xmlns:a16="http://schemas.microsoft.com/office/drawing/2014/main" id="{7D3E3E31-7F16-E883-1BF3-B5CFA66D4C39}"/>
            </a:ext>
          </a:extLst>
        </xdr:cNvPr>
        <xdr:cNvSpPr txBox="1"/>
      </xdr:nvSpPr>
      <xdr:spPr>
        <a:xfrm>
          <a:off x="11342252" y="129747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rike="noStrike" kern="1200">
              <a:solidFill>
                <a:schemeClr val="tx2">
                  <a:lumMod val="25000"/>
                  <a:lumOff val="75000"/>
                </a:schemeClr>
              </a:solidFill>
              <a:latin typeface="Aptos Narrow"/>
            </a:rPr>
            <a:pPr algn="r"/>
            <a:t>15%</a:t>
          </a:fld>
          <a:endParaRPr lang="ru-RU" sz="3200" kern="1200">
            <a:solidFill>
              <a:schemeClr val="tx2">
                <a:lumMod val="25000"/>
                <a:lumOff val="75000"/>
              </a:schemeClr>
            </a:solidFill>
          </a:endParaRPr>
        </a:p>
      </xdr:txBody>
    </xdr:sp>
    <xdr:clientData/>
  </xdr:twoCellAnchor>
  <xdr:twoCellAnchor editAs="oneCell">
    <xdr:from>
      <xdr:col>8</xdr:col>
      <xdr:colOff>548640</xdr:colOff>
      <xdr:row>17</xdr:row>
      <xdr:rowOff>76201</xdr:rowOff>
    </xdr:from>
    <xdr:to>
      <xdr:col>16</xdr:col>
      <xdr:colOff>388620</xdr:colOff>
      <xdr:row>19</xdr:row>
      <xdr:rowOff>144781</xdr:rowOff>
    </xdr:to>
    <mc:AlternateContent xmlns:mc="http://schemas.openxmlformats.org/markup-compatibility/2006" xmlns:a14="http://schemas.microsoft.com/office/drawing/2010/main">
      <mc:Choice Requires="a14">
        <xdr:graphicFrame macro="">
          <xdr:nvGraphicFramePr>
            <xdr:cNvPr id="29" name="Point Of Sales">
              <a:extLst>
                <a:ext uri="{FF2B5EF4-FFF2-40B4-BE49-F238E27FC236}">
                  <a16:creationId xmlns:a16="http://schemas.microsoft.com/office/drawing/2014/main" id="{3290EE82-A42C-4B86-9A43-375203CEE7C7}"/>
                </a:ext>
              </a:extLst>
            </xdr:cNvPr>
            <xdr:cNvGraphicFramePr/>
          </xdr:nvGraphicFramePr>
          <xdr:xfrm>
            <a:off x="0" y="0"/>
            <a:ext cx="0" cy="0"/>
          </xdr:xfrm>
          <a:graphic>
            <a:graphicData uri="http://schemas.microsoft.com/office/drawing/2010/slicer">
              <sle:slicer xmlns:sle="http://schemas.microsoft.com/office/drawing/2010/slicer" name="Point Of Sales"/>
            </a:graphicData>
          </a:graphic>
        </xdr:graphicFrame>
      </mc:Choice>
      <mc:Fallback xmlns="">
        <xdr:sp macro="" textlink="">
          <xdr:nvSpPr>
            <xdr:cNvPr id="0" name=""/>
            <xdr:cNvSpPr>
              <a:spLocks noTextEdit="1"/>
            </xdr:cNvSpPr>
          </xdr:nvSpPr>
          <xdr:spPr>
            <a:xfrm>
              <a:off x="5425440" y="3185161"/>
              <a:ext cx="471678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464820</xdr:colOff>
      <xdr:row>34</xdr:row>
      <xdr:rowOff>22861</xdr:rowOff>
    </xdr:from>
    <xdr:to>
      <xdr:col>16</xdr:col>
      <xdr:colOff>462924</xdr:colOff>
      <xdr:row>36</xdr:row>
      <xdr:rowOff>83820</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F58F160D-F075-42A9-9FE8-B6AA0AA8B1F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41620" y="6240781"/>
              <a:ext cx="4874904" cy="42671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23</xdr:row>
      <xdr:rowOff>76200</xdr:rowOff>
    </xdr:from>
    <xdr:to>
      <xdr:col>9</xdr:col>
      <xdr:colOff>106680</xdr:colOff>
      <xdr:row>34</xdr:row>
      <xdr:rowOff>60960</xdr:rowOff>
    </xdr:to>
    <xdr:sp macro="" textlink="">
      <xdr:nvSpPr>
        <xdr:cNvPr id="31" name="Rectangle 30">
          <a:extLst>
            <a:ext uri="{FF2B5EF4-FFF2-40B4-BE49-F238E27FC236}">
              <a16:creationId xmlns:a16="http://schemas.microsoft.com/office/drawing/2014/main" id="{C791AACD-45DE-6BF0-C98D-9FCACA9334B6}"/>
            </a:ext>
          </a:extLst>
        </xdr:cNvPr>
        <xdr:cNvSpPr/>
      </xdr:nvSpPr>
      <xdr:spPr>
        <a:xfrm>
          <a:off x="5486400" y="4282440"/>
          <a:ext cx="106680" cy="1996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11</xdr:col>
      <xdr:colOff>182880</xdr:colOff>
      <xdr:row>23</xdr:row>
      <xdr:rowOff>96531</xdr:rowOff>
    </xdr:from>
    <xdr:to>
      <xdr:col>14</xdr:col>
      <xdr:colOff>53340</xdr:colOff>
      <xdr:row>25</xdr:row>
      <xdr:rowOff>48249</xdr:rowOff>
    </xdr:to>
    <xdr:sp macro="" textlink="Processing!M1">
      <xdr:nvSpPr>
        <xdr:cNvPr id="32" name="TextBox 31">
          <a:extLst>
            <a:ext uri="{FF2B5EF4-FFF2-40B4-BE49-F238E27FC236}">
              <a16:creationId xmlns:a16="http://schemas.microsoft.com/office/drawing/2014/main" id="{E9F106EF-2651-4386-D361-AE5637EB8723}"/>
            </a:ext>
          </a:extLst>
        </xdr:cNvPr>
        <xdr:cNvSpPr txBox="1"/>
      </xdr:nvSpPr>
      <xdr:spPr>
        <a:xfrm>
          <a:off x="6888480" y="4302771"/>
          <a:ext cx="16992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2FAE3E-8749-4DE8-A758-98AC81D6C76D}" type="TxLink">
            <a:rPr lang="en-US" sz="1400" b="0" i="0" u="none" strike="noStrike" kern="1200">
              <a:solidFill>
                <a:schemeClr val="tx2">
                  <a:lumMod val="75000"/>
                  <a:lumOff val="25000"/>
                </a:schemeClr>
              </a:solidFill>
              <a:latin typeface="Aptos Narrow"/>
            </a:rPr>
            <a:pPr algn="ctr"/>
            <a:t>Sales Dynamics</a:t>
          </a:fld>
          <a:endParaRPr lang="ru-RU" sz="4000" b="0" kern="1200">
            <a:solidFill>
              <a:schemeClr val="tx2">
                <a:lumMod val="75000"/>
                <a:lumOff val="25000"/>
              </a:schemeClr>
            </a:solidFill>
          </a:endParaRPr>
        </a:p>
      </xdr:txBody>
    </xdr:sp>
    <xdr:clientData/>
  </xdr:twoCellAnchor>
  <xdr:twoCellAnchor>
    <xdr:from>
      <xdr:col>4</xdr:col>
      <xdr:colOff>238146</xdr:colOff>
      <xdr:row>20</xdr:row>
      <xdr:rowOff>180351</xdr:rowOff>
    </xdr:from>
    <xdr:to>
      <xdr:col>8</xdr:col>
      <xdr:colOff>287634</xdr:colOff>
      <xdr:row>22</xdr:row>
      <xdr:rowOff>132069</xdr:rowOff>
    </xdr:to>
    <xdr:sp macro="" textlink="Processing!P17">
      <xdr:nvSpPr>
        <xdr:cNvPr id="33" name="TextBox 32">
          <a:extLst>
            <a:ext uri="{FF2B5EF4-FFF2-40B4-BE49-F238E27FC236}">
              <a16:creationId xmlns:a16="http://schemas.microsoft.com/office/drawing/2014/main" id="{43FB9967-A89C-ACA1-B4B3-F3D789E90E2D}"/>
            </a:ext>
          </a:extLst>
        </xdr:cNvPr>
        <xdr:cNvSpPr txBox="1"/>
      </xdr:nvSpPr>
      <xdr:spPr>
        <a:xfrm>
          <a:off x="2676546" y="3837951"/>
          <a:ext cx="2487888"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77875B-FD0C-4BB5-A345-D2BC71503D9F}" type="TxLink">
            <a:rPr lang="en-US" sz="1400" b="0" i="0" u="none" strike="noStrike" kern="1200">
              <a:solidFill>
                <a:schemeClr val="tx2">
                  <a:lumMod val="75000"/>
                  <a:lumOff val="25000"/>
                </a:schemeClr>
              </a:solidFill>
              <a:latin typeface="Aptos Narrow"/>
              <a:ea typeface="+mn-ea"/>
              <a:cs typeface="+mn-cs"/>
            </a:rPr>
            <a:pPr marL="0" indent="0" algn="ctr"/>
            <a:t>Target Audience Intersection</a:t>
          </a:fld>
          <a:endParaRPr lang="ru-RU" sz="1400" b="0" i="0" u="none" strike="noStrike" kern="1200">
            <a:solidFill>
              <a:schemeClr val="tx2">
                <a:lumMod val="75000"/>
                <a:lumOff val="25000"/>
              </a:schemeClr>
            </a:solidFill>
            <a:latin typeface="Aptos Narrow"/>
            <a:ea typeface="+mn-ea"/>
            <a:cs typeface="+mn-cs"/>
          </a:endParaRPr>
        </a:p>
      </xdr:txBody>
    </xdr:sp>
    <xdr:clientData/>
  </xdr:twoCellAnchor>
  <xdr:twoCellAnchor>
    <xdr:from>
      <xdr:col>18</xdr:col>
      <xdr:colOff>276246</xdr:colOff>
      <xdr:row>15</xdr:row>
      <xdr:rowOff>134631</xdr:rowOff>
    </xdr:from>
    <xdr:to>
      <xdr:col>22</xdr:col>
      <xdr:colOff>325734</xdr:colOff>
      <xdr:row>17</xdr:row>
      <xdr:rowOff>86349</xdr:rowOff>
    </xdr:to>
    <xdr:sp macro="" textlink="Processing!E1">
      <xdr:nvSpPr>
        <xdr:cNvPr id="62" name="TextBox 61">
          <a:extLst>
            <a:ext uri="{FF2B5EF4-FFF2-40B4-BE49-F238E27FC236}">
              <a16:creationId xmlns:a16="http://schemas.microsoft.com/office/drawing/2014/main" id="{062D6F83-00BE-A6C8-E151-F9F9B696EA04}"/>
            </a:ext>
          </a:extLst>
        </xdr:cNvPr>
        <xdr:cNvSpPr txBox="1"/>
      </xdr:nvSpPr>
      <xdr:spPr>
        <a:xfrm>
          <a:off x="11249046" y="2877831"/>
          <a:ext cx="2487888"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70D50B-3933-4BA0-8FD2-EEA6D6697D30}" type="TxLink">
            <a:rPr lang="en-US" sz="1400" b="0" i="0" u="none" strike="noStrike" kern="1200">
              <a:solidFill>
                <a:schemeClr val="tx2">
                  <a:lumMod val="75000"/>
                  <a:lumOff val="25000"/>
                </a:schemeClr>
              </a:solidFill>
              <a:latin typeface="Aptos Narrow"/>
              <a:ea typeface="+mn-ea"/>
              <a:cs typeface="+mn-cs"/>
            </a:rPr>
            <a:pPr marL="0" indent="0" algn="ctr"/>
            <a:t>Coverage of Regions</a:t>
          </a:fld>
          <a:endParaRPr lang="ru-RU" sz="1400" b="0" i="0" u="none" strike="noStrike" kern="1200">
            <a:solidFill>
              <a:schemeClr val="tx2">
                <a:lumMod val="75000"/>
                <a:lumOff val="25000"/>
              </a:schemeClr>
            </a:solidFill>
            <a:latin typeface="Aptos Narrow"/>
            <a:ea typeface="+mn-ea"/>
            <a:cs typeface="+mn-cs"/>
          </a:endParaRPr>
        </a:p>
      </xdr:txBody>
    </xdr:sp>
    <xdr:clientData/>
  </xdr:twoCellAnchor>
  <xdr:twoCellAnchor>
    <xdr:from>
      <xdr:col>11</xdr:col>
      <xdr:colOff>337957</xdr:colOff>
      <xdr:row>5</xdr:row>
      <xdr:rowOff>17476</xdr:rowOff>
    </xdr:from>
    <xdr:to>
      <xdr:col>13</xdr:col>
      <xdr:colOff>523104</xdr:colOff>
      <xdr:row>7</xdr:row>
      <xdr:rowOff>35865</xdr:rowOff>
    </xdr:to>
    <xdr:sp macro="" textlink="Processing!D23">
      <xdr:nvSpPr>
        <xdr:cNvPr id="13" name="TextBox 12">
          <a:extLst>
            <a:ext uri="{FF2B5EF4-FFF2-40B4-BE49-F238E27FC236}">
              <a16:creationId xmlns:a16="http://schemas.microsoft.com/office/drawing/2014/main" id="{0C8AA2F3-3757-2866-29BA-1D78451B663B}"/>
            </a:ext>
          </a:extLst>
        </xdr:cNvPr>
        <xdr:cNvSpPr txBox="1"/>
      </xdr:nvSpPr>
      <xdr:spPr>
        <a:xfrm>
          <a:off x="7043557" y="931876"/>
          <a:ext cx="1404347" cy="38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A59B18-0F41-4C16-A688-0601B6FF47F3}" type="TxLink">
            <a:rPr lang="en-US" sz="2400" b="0" i="0" u="none" strike="noStrike" kern="1200">
              <a:solidFill>
                <a:srgbClr val="0075AA"/>
              </a:solidFill>
              <a:latin typeface="Aptos Narrow"/>
            </a:rPr>
            <a:pPr algn="ctr"/>
            <a:t>$ 289 K</a:t>
          </a:fld>
          <a:endParaRPr lang="ru-RU" sz="11500" kern="1200">
            <a:solidFill>
              <a:srgbClr val="0075AA"/>
            </a:solidFill>
          </a:endParaRPr>
        </a:p>
      </xdr:txBody>
    </xdr:sp>
    <xdr:clientData/>
  </xdr:twoCellAnchor>
  <xdr:twoCellAnchor>
    <xdr:from>
      <xdr:col>9</xdr:col>
      <xdr:colOff>63637</xdr:colOff>
      <xdr:row>5</xdr:row>
      <xdr:rowOff>147016</xdr:rowOff>
    </xdr:from>
    <xdr:to>
      <xdr:col>11</xdr:col>
      <xdr:colOff>342900</xdr:colOff>
      <xdr:row>8</xdr:row>
      <xdr:rowOff>60959</xdr:rowOff>
    </xdr:to>
    <xdr:grpSp>
      <xdr:nvGrpSpPr>
        <xdr:cNvPr id="64" name="Group 63">
          <a:extLst>
            <a:ext uri="{FF2B5EF4-FFF2-40B4-BE49-F238E27FC236}">
              <a16:creationId xmlns:a16="http://schemas.microsoft.com/office/drawing/2014/main" id="{07BC70EB-BFDC-AA93-D2C4-50CEB5C9E739}"/>
            </a:ext>
          </a:extLst>
        </xdr:cNvPr>
        <xdr:cNvGrpSpPr/>
      </xdr:nvGrpSpPr>
      <xdr:grpSpPr>
        <a:xfrm>
          <a:off x="5397637" y="1099516"/>
          <a:ext cx="1464596" cy="485443"/>
          <a:chOff x="8544697" y="1069036"/>
          <a:chExt cx="1498463" cy="462583"/>
        </a:xfrm>
      </xdr:grpSpPr>
      <xdr:sp macro="" textlink="Processing!E14">
        <xdr:nvSpPr>
          <xdr:cNvPr id="14" name="TextBox 13">
            <a:extLst>
              <a:ext uri="{FF2B5EF4-FFF2-40B4-BE49-F238E27FC236}">
                <a16:creationId xmlns:a16="http://schemas.microsoft.com/office/drawing/2014/main" id="{FADD53F7-A980-4915-A2D9-A81AA6AC1743}"/>
              </a:ext>
            </a:extLst>
          </xdr:cNvPr>
          <xdr:cNvSpPr txBox="1"/>
        </xdr:nvSpPr>
        <xdr:spPr>
          <a:xfrm>
            <a:off x="8544697" y="1282396"/>
            <a:ext cx="94220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A07B438-38EA-4C46-9E6F-E167D9CEFC84}" type="TxLink">
              <a:rPr lang="en-US" sz="1200" b="0" i="0" u="none" strike="noStrike" kern="1200">
                <a:solidFill>
                  <a:srgbClr val="658F96"/>
                </a:solidFill>
                <a:latin typeface="Aptos Narrow"/>
              </a:rPr>
              <a:pPr algn="l"/>
              <a:t>Sales Plan</a:t>
            </a:fld>
            <a:endParaRPr lang="ru-RU" sz="7200" kern="1200">
              <a:solidFill>
                <a:srgbClr val="658F96"/>
              </a:solidFill>
            </a:endParaRPr>
          </a:p>
        </xdr:txBody>
      </xdr:sp>
      <xdr:sp macro="" textlink="Processing!D24">
        <xdr:nvSpPr>
          <xdr:cNvPr id="16" name="TextBox 15">
            <a:extLst>
              <a:ext uri="{FF2B5EF4-FFF2-40B4-BE49-F238E27FC236}">
                <a16:creationId xmlns:a16="http://schemas.microsoft.com/office/drawing/2014/main" id="{9CDA662E-0D64-7727-837B-C563CC6765C9}"/>
              </a:ext>
            </a:extLst>
          </xdr:cNvPr>
          <xdr:cNvSpPr txBox="1"/>
        </xdr:nvSpPr>
        <xdr:spPr>
          <a:xfrm>
            <a:off x="8544697" y="1069036"/>
            <a:ext cx="94220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C6E4E5F-ADF5-4AD8-B6AD-3CD091242BAF}" type="TxLink">
              <a:rPr lang="en-US" sz="1200" b="0" i="0" u="none" strike="noStrike" kern="1200">
                <a:solidFill>
                  <a:srgbClr val="658F96"/>
                </a:solidFill>
                <a:latin typeface="Aptos Narrow"/>
              </a:rPr>
              <a:pPr algn="l"/>
              <a:t>Done</a:t>
            </a:fld>
            <a:endParaRPr lang="ru-RU" sz="7200" kern="1200">
              <a:solidFill>
                <a:srgbClr val="658F96"/>
              </a:solidFill>
            </a:endParaRPr>
          </a:p>
        </xdr:txBody>
      </xdr:sp>
      <xdr:sp macro="" textlink="Processing!E23">
        <xdr:nvSpPr>
          <xdr:cNvPr id="17" name="TextBox 16">
            <a:extLst>
              <a:ext uri="{FF2B5EF4-FFF2-40B4-BE49-F238E27FC236}">
                <a16:creationId xmlns:a16="http://schemas.microsoft.com/office/drawing/2014/main" id="{AFF7660E-AA58-320F-E1D6-2D1FA88CE0C9}"/>
              </a:ext>
            </a:extLst>
          </xdr:cNvPr>
          <xdr:cNvSpPr txBox="1"/>
        </xdr:nvSpPr>
        <xdr:spPr>
          <a:xfrm>
            <a:off x="9311640" y="1282396"/>
            <a:ext cx="7315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E147B40-D638-4DCD-B8F5-B5A9BB657069}" type="TxLink">
              <a:rPr lang="en-US" sz="1200" b="0" i="0" u="none" strike="noStrike" kern="1200">
                <a:solidFill>
                  <a:srgbClr val="658F96"/>
                </a:solidFill>
                <a:latin typeface="Aptos Narrow"/>
              </a:rPr>
              <a:pPr algn="l"/>
              <a:t>$ 365 K</a:t>
            </a:fld>
            <a:endParaRPr lang="ru-RU" sz="7200" kern="1200">
              <a:solidFill>
                <a:srgbClr val="658F96"/>
              </a:solidFill>
            </a:endParaRPr>
          </a:p>
        </xdr:txBody>
      </xdr:sp>
      <xdr:sp macro="" textlink="Processing!E24">
        <xdr:nvSpPr>
          <xdr:cNvPr id="19" name="TextBox 18">
            <a:extLst>
              <a:ext uri="{FF2B5EF4-FFF2-40B4-BE49-F238E27FC236}">
                <a16:creationId xmlns:a16="http://schemas.microsoft.com/office/drawing/2014/main" id="{6B5B9B2D-31C3-DE17-F90A-73E33D9953FC}"/>
              </a:ext>
            </a:extLst>
          </xdr:cNvPr>
          <xdr:cNvSpPr txBox="1"/>
        </xdr:nvSpPr>
        <xdr:spPr>
          <a:xfrm>
            <a:off x="9311640" y="1069036"/>
            <a:ext cx="7315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7FDE2AA-6229-4CB0-9BEB-90C8995DF9B6}" type="TxLink">
              <a:rPr lang="en-US" sz="1200" b="0" i="0" u="none" strike="noStrike" kern="1200">
                <a:solidFill>
                  <a:srgbClr val="658F96"/>
                </a:solidFill>
                <a:latin typeface="Aptos Narrow"/>
              </a:rPr>
              <a:pPr algn="l"/>
              <a:t>79%</a:t>
            </a:fld>
            <a:endParaRPr lang="ru-RU" sz="7200" kern="1200">
              <a:solidFill>
                <a:srgbClr val="658F96"/>
              </a:solidFill>
            </a:endParaRPr>
          </a:p>
        </xdr:txBody>
      </xdr:sp>
    </xdr:grpSp>
    <xdr:clientData/>
  </xdr:twoCellAnchor>
  <xdr:twoCellAnchor>
    <xdr:from>
      <xdr:col>9</xdr:col>
      <xdr:colOff>83820</xdr:colOff>
      <xdr:row>22</xdr:row>
      <xdr:rowOff>15240</xdr:rowOff>
    </xdr:from>
    <xdr:to>
      <xdr:col>9</xdr:col>
      <xdr:colOff>266700</xdr:colOff>
      <xdr:row>23</xdr:row>
      <xdr:rowOff>15240</xdr:rowOff>
    </xdr:to>
    <xdr:sp macro="" textlink="">
      <xdr:nvSpPr>
        <xdr:cNvPr id="65" name="Oval 64">
          <a:extLst>
            <a:ext uri="{FF2B5EF4-FFF2-40B4-BE49-F238E27FC236}">
              <a16:creationId xmlns:a16="http://schemas.microsoft.com/office/drawing/2014/main" id="{96C44704-DA49-2253-8019-65D9B2C534E1}"/>
            </a:ext>
          </a:extLst>
        </xdr:cNvPr>
        <xdr:cNvSpPr/>
      </xdr:nvSpPr>
      <xdr:spPr>
        <a:xfrm>
          <a:off x="5570220" y="4038600"/>
          <a:ext cx="182880" cy="182880"/>
        </a:xfrm>
        <a:prstGeom prst="ellipse">
          <a:avLst/>
        </a:prstGeom>
        <a:solidFill>
          <a:srgbClr val="06A9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11</xdr:col>
      <xdr:colOff>449580</xdr:colOff>
      <xdr:row>22</xdr:row>
      <xdr:rowOff>15240</xdr:rowOff>
    </xdr:from>
    <xdr:to>
      <xdr:col>12</xdr:col>
      <xdr:colOff>22860</xdr:colOff>
      <xdr:row>23</xdr:row>
      <xdr:rowOff>15240</xdr:rowOff>
    </xdr:to>
    <xdr:sp macro="" textlink="">
      <xdr:nvSpPr>
        <xdr:cNvPr id="69" name="Oval 68">
          <a:extLst>
            <a:ext uri="{FF2B5EF4-FFF2-40B4-BE49-F238E27FC236}">
              <a16:creationId xmlns:a16="http://schemas.microsoft.com/office/drawing/2014/main" id="{BC0572BD-2F8B-1690-690C-0CE85957DF03}"/>
            </a:ext>
          </a:extLst>
        </xdr:cNvPr>
        <xdr:cNvSpPr/>
      </xdr:nvSpPr>
      <xdr:spPr>
        <a:xfrm>
          <a:off x="7155180" y="4038600"/>
          <a:ext cx="182880" cy="182880"/>
        </a:xfrm>
        <a:prstGeom prst="ellipse">
          <a:avLst/>
        </a:prstGeom>
        <a:solidFill>
          <a:srgbClr val="007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14</xdr:col>
      <xdr:colOff>281940</xdr:colOff>
      <xdr:row>22</xdr:row>
      <xdr:rowOff>15240</xdr:rowOff>
    </xdr:from>
    <xdr:to>
      <xdr:col>14</xdr:col>
      <xdr:colOff>464820</xdr:colOff>
      <xdr:row>23</xdr:row>
      <xdr:rowOff>15240</xdr:rowOff>
    </xdr:to>
    <xdr:sp macro="" textlink="">
      <xdr:nvSpPr>
        <xdr:cNvPr id="72" name="Oval 71">
          <a:extLst>
            <a:ext uri="{FF2B5EF4-FFF2-40B4-BE49-F238E27FC236}">
              <a16:creationId xmlns:a16="http://schemas.microsoft.com/office/drawing/2014/main" id="{0E4EB543-A702-43C4-F71B-78E1EFB6C046}"/>
            </a:ext>
          </a:extLst>
        </xdr:cNvPr>
        <xdr:cNvSpPr/>
      </xdr:nvSpPr>
      <xdr:spPr>
        <a:xfrm>
          <a:off x="8816340" y="4038600"/>
          <a:ext cx="182880" cy="182880"/>
        </a:xfrm>
        <a:prstGeom prst="ellipse">
          <a:avLst/>
        </a:prstGeom>
        <a:solidFill>
          <a:srgbClr val="CB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9</xdr:col>
      <xdr:colOff>205740</xdr:colOff>
      <xdr:row>21</xdr:row>
      <xdr:rowOff>91440</xdr:rowOff>
    </xdr:from>
    <xdr:to>
      <xdr:col>10</xdr:col>
      <xdr:colOff>0</xdr:colOff>
      <xdr:row>23</xdr:row>
      <xdr:rowOff>129540</xdr:rowOff>
    </xdr:to>
    <xdr:sp macro="" textlink="">
      <xdr:nvSpPr>
        <xdr:cNvPr id="73" name="Oval 72">
          <a:extLst>
            <a:ext uri="{FF2B5EF4-FFF2-40B4-BE49-F238E27FC236}">
              <a16:creationId xmlns:a16="http://schemas.microsoft.com/office/drawing/2014/main" id="{933EB44A-D9B9-82A9-E699-64A42FCAB4EC}"/>
            </a:ext>
          </a:extLst>
        </xdr:cNvPr>
        <xdr:cNvSpPr/>
      </xdr:nvSpPr>
      <xdr:spPr>
        <a:xfrm>
          <a:off x="5692140" y="393192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400" b="1" kern="1200">
              <a:solidFill>
                <a:srgbClr val="06A9E2"/>
              </a:solidFill>
            </a:rPr>
            <a:t>A</a:t>
          </a:r>
          <a:endParaRPr lang="ru-RU" sz="1400" b="1" kern="1200">
            <a:solidFill>
              <a:srgbClr val="06A9E2"/>
            </a:solidFill>
          </a:endParaRPr>
        </a:p>
      </xdr:txBody>
    </xdr:sp>
    <xdr:clientData/>
  </xdr:twoCellAnchor>
  <xdr:twoCellAnchor>
    <xdr:from>
      <xdr:col>9</xdr:col>
      <xdr:colOff>487680</xdr:colOff>
      <xdr:row>21</xdr:row>
      <xdr:rowOff>160020</xdr:rowOff>
    </xdr:from>
    <xdr:to>
      <xdr:col>11</xdr:col>
      <xdr:colOff>167640</xdr:colOff>
      <xdr:row>23</xdr:row>
      <xdr:rowOff>43483</xdr:rowOff>
    </xdr:to>
    <xdr:sp macro="" textlink="Processing!R15">
      <xdr:nvSpPr>
        <xdr:cNvPr id="76" name="TextBox 75">
          <a:extLst>
            <a:ext uri="{FF2B5EF4-FFF2-40B4-BE49-F238E27FC236}">
              <a16:creationId xmlns:a16="http://schemas.microsoft.com/office/drawing/2014/main" id="{31FFD447-2041-4FF6-A27B-779F4C56CE8A}"/>
            </a:ext>
          </a:extLst>
        </xdr:cNvPr>
        <xdr:cNvSpPr txBox="1"/>
      </xdr:nvSpPr>
      <xdr:spPr>
        <a:xfrm>
          <a:off x="5974080" y="400050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D0E8E0B-B9C5-4188-86B0-019C7A05CD9A}" type="TxLink">
            <a:rPr lang="en-US" sz="1800" b="0" i="0" u="none" strike="noStrike" kern="1200">
              <a:solidFill>
                <a:schemeClr val="tx2">
                  <a:lumMod val="75000"/>
                  <a:lumOff val="25000"/>
                </a:schemeClr>
              </a:solidFill>
              <a:latin typeface="Aptos Narrow"/>
            </a:rPr>
            <a:pPr algn="l"/>
            <a:t>$ 1.1 M</a:t>
          </a:fld>
          <a:endParaRPr lang="ru-RU" sz="9600" kern="1200">
            <a:solidFill>
              <a:schemeClr val="tx2">
                <a:lumMod val="75000"/>
                <a:lumOff val="25000"/>
              </a:schemeClr>
            </a:solidFill>
          </a:endParaRPr>
        </a:p>
      </xdr:txBody>
    </xdr:sp>
    <xdr:clientData/>
  </xdr:twoCellAnchor>
  <xdr:twoCellAnchor>
    <xdr:from>
      <xdr:col>11</xdr:col>
      <xdr:colOff>571500</xdr:colOff>
      <xdr:row>21</xdr:row>
      <xdr:rowOff>91440</xdr:rowOff>
    </xdr:from>
    <xdr:to>
      <xdr:col>12</xdr:col>
      <xdr:colOff>365760</xdr:colOff>
      <xdr:row>23</xdr:row>
      <xdr:rowOff>129540</xdr:rowOff>
    </xdr:to>
    <xdr:sp macro="" textlink="">
      <xdr:nvSpPr>
        <xdr:cNvPr id="77" name="Oval 76">
          <a:extLst>
            <a:ext uri="{FF2B5EF4-FFF2-40B4-BE49-F238E27FC236}">
              <a16:creationId xmlns:a16="http://schemas.microsoft.com/office/drawing/2014/main" id="{AC9B991F-34BC-6555-5A38-F1BBAD766049}"/>
            </a:ext>
          </a:extLst>
        </xdr:cNvPr>
        <xdr:cNvSpPr/>
      </xdr:nvSpPr>
      <xdr:spPr>
        <a:xfrm>
          <a:off x="7277100" y="393192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75AA"/>
              </a:solidFill>
            </a:rPr>
            <a:t>B</a:t>
          </a:r>
          <a:endParaRPr lang="ru-RU" sz="1400" b="1" kern="1200">
            <a:solidFill>
              <a:srgbClr val="0075AA"/>
            </a:solidFill>
          </a:endParaRPr>
        </a:p>
      </xdr:txBody>
    </xdr:sp>
    <xdr:clientData/>
  </xdr:twoCellAnchor>
  <xdr:twoCellAnchor>
    <xdr:from>
      <xdr:col>14</xdr:col>
      <xdr:colOff>396240</xdr:colOff>
      <xdr:row>21</xdr:row>
      <xdr:rowOff>91440</xdr:rowOff>
    </xdr:from>
    <xdr:to>
      <xdr:col>15</xdr:col>
      <xdr:colOff>190500</xdr:colOff>
      <xdr:row>23</xdr:row>
      <xdr:rowOff>129540</xdr:rowOff>
    </xdr:to>
    <xdr:sp macro="" textlink="">
      <xdr:nvSpPr>
        <xdr:cNvPr id="81" name="Oval 80">
          <a:extLst>
            <a:ext uri="{FF2B5EF4-FFF2-40B4-BE49-F238E27FC236}">
              <a16:creationId xmlns:a16="http://schemas.microsoft.com/office/drawing/2014/main" id="{79FC59D4-D7B5-39F2-4A40-350CE8F19C59}"/>
            </a:ext>
          </a:extLst>
        </xdr:cNvPr>
        <xdr:cNvSpPr/>
      </xdr:nvSpPr>
      <xdr:spPr>
        <a:xfrm>
          <a:off x="8930640" y="393192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B9F5FF"/>
              </a:solidFill>
            </a:rPr>
            <a:t>C</a:t>
          </a:r>
          <a:endParaRPr lang="ru-RU" sz="1400" b="1" kern="1200">
            <a:solidFill>
              <a:srgbClr val="B9F5FF"/>
            </a:solidFill>
          </a:endParaRPr>
        </a:p>
      </xdr:txBody>
    </xdr:sp>
    <xdr:clientData/>
  </xdr:twoCellAnchor>
  <xdr:twoCellAnchor>
    <xdr:from>
      <xdr:col>12</xdr:col>
      <xdr:colOff>243840</xdr:colOff>
      <xdr:row>21</xdr:row>
      <xdr:rowOff>160020</xdr:rowOff>
    </xdr:from>
    <xdr:to>
      <xdr:col>13</xdr:col>
      <xdr:colOff>533400</xdr:colOff>
      <xdr:row>23</xdr:row>
      <xdr:rowOff>43483</xdr:rowOff>
    </xdr:to>
    <xdr:sp macro="" textlink="Processing!S15">
      <xdr:nvSpPr>
        <xdr:cNvPr id="83" name="TextBox 82">
          <a:extLst>
            <a:ext uri="{FF2B5EF4-FFF2-40B4-BE49-F238E27FC236}">
              <a16:creationId xmlns:a16="http://schemas.microsoft.com/office/drawing/2014/main" id="{FBFC414E-A630-EF01-9F03-AC987A1A6022}"/>
            </a:ext>
          </a:extLst>
        </xdr:cNvPr>
        <xdr:cNvSpPr txBox="1"/>
      </xdr:nvSpPr>
      <xdr:spPr>
        <a:xfrm>
          <a:off x="7559040" y="400050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5E5B3E7-C1AD-4D98-A905-E25584401318}" type="TxLink">
            <a:rPr lang="en-US" sz="1800" b="0" i="0" u="none" strike="noStrike" kern="1200">
              <a:solidFill>
                <a:schemeClr val="tx2">
                  <a:lumMod val="75000"/>
                  <a:lumOff val="25000"/>
                </a:schemeClr>
              </a:solidFill>
              <a:latin typeface="Aptos Narrow"/>
              <a:ea typeface="+mn-ea"/>
              <a:cs typeface="+mn-cs"/>
            </a:rPr>
            <a:pPr marL="0" indent="0" algn="l"/>
            <a:t>$ 736 K</a:t>
          </a:fld>
          <a:endParaRPr lang="en-US" sz="1800" b="0" i="0" u="none" strike="noStrike" kern="1200">
            <a:solidFill>
              <a:schemeClr val="tx2">
                <a:lumMod val="75000"/>
                <a:lumOff val="25000"/>
              </a:schemeClr>
            </a:solidFill>
            <a:latin typeface="Aptos Narrow"/>
            <a:ea typeface="+mn-ea"/>
            <a:cs typeface="+mn-cs"/>
          </a:endParaRPr>
        </a:p>
      </xdr:txBody>
    </xdr:sp>
    <xdr:clientData/>
  </xdr:twoCellAnchor>
  <xdr:twoCellAnchor>
    <xdr:from>
      <xdr:col>15</xdr:col>
      <xdr:colOff>60960</xdr:colOff>
      <xdr:row>21</xdr:row>
      <xdr:rowOff>160020</xdr:rowOff>
    </xdr:from>
    <xdr:to>
      <xdr:col>16</xdr:col>
      <xdr:colOff>350520</xdr:colOff>
      <xdr:row>23</xdr:row>
      <xdr:rowOff>43483</xdr:rowOff>
    </xdr:to>
    <xdr:sp macro="" textlink="Processing!T15">
      <xdr:nvSpPr>
        <xdr:cNvPr id="84" name="TextBox 83">
          <a:extLst>
            <a:ext uri="{FF2B5EF4-FFF2-40B4-BE49-F238E27FC236}">
              <a16:creationId xmlns:a16="http://schemas.microsoft.com/office/drawing/2014/main" id="{64EE21D6-0A2A-050D-A98B-D3E97CF3143B}"/>
            </a:ext>
          </a:extLst>
        </xdr:cNvPr>
        <xdr:cNvSpPr txBox="1"/>
      </xdr:nvSpPr>
      <xdr:spPr>
        <a:xfrm>
          <a:off x="9204960" y="400050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2BD99A-7A40-4911-8849-3FC771C94EE8}" type="TxLink">
            <a:rPr lang="en-US" sz="1800" b="0" i="0" u="none" strike="noStrike" kern="1200">
              <a:solidFill>
                <a:schemeClr val="tx2">
                  <a:lumMod val="75000"/>
                  <a:lumOff val="25000"/>
                </a:schemeClr>
              </a:solidFill>
              <a:latin typeface="Aptos Narrow"/>
              <a:ea typeface="+mn-ea"/>
              <a:cs typeface="+mn-cs"/>
            </a:rPr>
            <a:pPr marL="0" indent="0" algn="l"/>
            <a:t>$ 190 K</a:t>
          </a:fld>
          <a:endParaRPr lang="ru-RU" sz="1800" b="0" i="0" u="none" strike="noStrike" kern="1200">
            <a:solidFill>
              <a:schemeClr val="tx2">
                <a:lumMod val="75000"/>
                <a:lumOff val="25000"/>
              </a:schemeClr>
            </a:solidFill>
            <a:latin typeface="Aptos Narrow"/>
            <a:ea typeface="+mn-ea"/>
            <a:cs typeface="+mn-cs"/>
          </a:endParaRPr>
        </a:p>
      </xdr:txBody>
    </xdr:sp>
    <xdr:clientData/>
  </xdr:twoCellAnchor>
  <xdr:twoCellAnchor>
    <xdr:from>
      <xdr:col>4</xdr:col>
      <xdr:colOff>228600</xdr:colOff>
      <xdr:row>34</xdr:row>
      <xdr:rowOff>148590</xdr:rowOff>
    </xdr:from>
    <xdr:to>
      <xdr:col>4</xdr:col>
      <xdr:colOff>365760</xdr:colOff>
      <xdr:row>35</xdr:row>
      <xdr:rowOff>102870</xdr:rowOff>
    </xdr:to>
    <xdr:sp macro="" textlink="">
      <xdr:nvSpPr>
        <xdr:cNvPr id="85" name="Oval 84">
          <a:extLst>
            <a:ext uri="{FF2B5EF4-FFF2-40B4-BE49-F238E27FC236}">
              <a16:creationId xmlns:a16="http://schemas.microsoft.com/office/drawing/2014/main" id="{D3602AD1-9C66-9F82-3D4C-13950CAB17A4}"/>
            </a:ext>
          </a:extLst>
        </xdr:cNvPr>
        <xdr:cNvSpPr/>
      </xdr:nvSpPr>
      <xdr:spPr>
        <a:xfrm>
          <a:off x="2667000" y="6366510"/>
          <a:ext cx="137160" cy="137160"/>
        </a:xfrm>
        <a:prstGeom prst="ellipse">
          <a:avLst/>
        </a:prstGeom>
        <a:solidFill>
          <a:srgbClr val="06A9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4</xdr:col>
      <xdr:colOff>281940</xdr:colOff>
      <xdr:row>34</xdr:row>
      <xdr:rowOff>15240</xdr:rowOff>
    </xdr:from>
    <xdr:to>
      <xdr:col>5</xdr:col>
      <xdr:colOff>76200</xdr:colOff>
      <xdr:row>36</xdr:row>
      <xdr:rowOff>53340</xdr:rowOff>
    </xdr:to>
    <xdr:sp macro="" textlink="">
      <xdr:nvSpPr>
        <xdr:cNvPr id="86" name="Oval 85">
          <a:extLst>
            <a:ext uri="{FF2B5EF4-FFF2-40B4-BE49-F238E27FC236}">
              <a16:creationId xmlns:a16="http://schemas.microsoft.com/office/drawing/2014/main" id="{1D19AE9F-2997-5E6D-72A7-988BBDD0AE0C}"/>
            </a:ext>
          </a:extLst>
        </xdr:cNvPr>
        <xdr:cNvSpPr/>
      </xdr:nvSpPr>
      <xdr:spPr>
        <a:xfrm>
          <a:off x="272034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400" b="1" kern="1200">
              <a:solidFill>
                <a:srgbClr val="06A9E2"/>
              </a:solidFill>
            </a:rPr>
            <a:t>A</a:t>
          </a:r>
          <a:endParaRPr lang="ru-RU" sz="1400" b="1" kern="1200">
            <a:solidFill>
              <a:srgbClr val="06A9E2"/>
            </a:solidFill>
          </a:endParaRPr>
        </a:p>
      </xdr:txBody>
    </xdr:sp>
    <xdr:clientData/>
  </xdr:twoCellAnchor>
  <xdr:twoCellAnchor>
    <xdr:from>
      <xdr:col>5</xdr:col>
      <xdr:colOff>472440</xdr:colOff>
      <xdr:row>34</xdr:row>
      <xdr:rowOff>148590</xdr:rowOff>
    </xdr:from>
    <xdr:to>
      <xdr:col>6</xdr:col>
      <xdr:colOff>0</xdr:colOff>
      <xdr:row>35</xdr:row>
      <xdr:rowOff>102870</xdr:rowOff>
    </xdr:to>
    <xdr:sp macro="" textlink="">
      <xdr:nvSpPr>
        <xdr:cNvPr id="87" name="Oval 86">
          <a:extLst>
            <a:ext uri="{FF2B5EF4-FFF2-40B4-BE49-F238E27FC236}">
              <a16:creationId xmlns:a16="http://schemas.microsoft.com/office/drawing/2014/main" id="{BE70B68F-B3D7-C764-509B-E06D1872FD44}"/>
            </a:ext>
          </a:extLst>
        </xdr:cNvPr>
        <xdr:cNvSpPr/>
      </xdr:nvSpPr>
      <xdr:spPr>
        <a:xfrm>
          <a:off x="3520440" y="6366510"/>
          <a:ext cx="137160" cy="137160"/>
        </a:xfrm>
        <a:prstGeom prst="ellipse">
          <a:avLst/>
        </a:prstGeom>
        <a:solidFill>
          <a:srgbClr val="007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5</xdr:col>
      <xdr:colOff>518160</xdr:colOff>
      <xdr:row>34</xdr:row>
      <xdr:rowOff>15240</xdr:rowOff>
    </xdr:from>
    <xdr:to>
      <xdr:col>6</xdr:col>
      <xdr:colOff>312420</xdr:colOff>
      <xdr:row>36</xdr:row>
      <xdr:rowOff>53340</xdr:rowOff>
    </xdr:to>
    <xdr:sp macro="" textlink="">
      <xdr:nvSpPr>
        <xdr:cNvPr id="88" name="Oval 87">
          <a:extLst>
            <a:ext uri="{FF2B5EF4-FFF2-40B4-BE49-F238E27FC236}">
              <a16:creationId xmlns:a16="http://schemas.microsoft.com/office/drawing/2014/main" id="{0558A99F-CCE4-8828-CF84-D621731F7E35}"/>
            </a:ext>
          </a:extLst>
        </xdr:cNvPr>
        <xdr:cNvSpPr/>
      </xdr:nvSpPr>
      <xdr:spPr>
        <a:xfrm>
          <a:off x="356616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75AA"/>
              </a:solidFill>
            </a:rPr>
            <a:t>B</a:t>
          </a:r>
          <a:endParaRPr lang="ru-RU" sz="1400" b="1" kern="1200">
            <a:solidFill>
              <a:srgbClr val="0075AA"/>
            </a:solidFill>
          </a:endParaRPr>
        </a:p>
      </xdr:txBody>
    </xdr:sp>
    <xdr:clientData/>
  </xdr:twoCellAnchor>
  <xdr:twoCellAnchor>
    <xdr:from>
      <xdr:col>7</xdr:col>
      <xdr:colOff>99060</xdr:colOff>
      <xdr:row>34</xdr:row>
      <xdr:rowOff>148590</xdr:rowOff>
    </xdr:from>
    <xdr:to>
      <xdr:col>7</xdr:col>
      <xdr:colOff>236220</xdr:colOff>
      <xdr:row>35</xdr:row>
      <xdr:rowOff>102870</xdr:rowOff>
    </xdr:to>
    <xdr:sp macro="" textlink="">
      <xdr:nvSpPr>
        <xdr:cNvPr id="89" name="Oval 88">
          <a:extLst>
            <a:ext uri="{FF2B5EF4-FFF2-40B4-BE49-F238E27FC236}">
              <a16:creationId xmlns:a16="http://schemas.microsoft.com/office/drawing/2014/main" id="{29758DBE-4818-66B4-AF2F-D24CA2905AB3}"/>
            </a:ext>
          </a:extLst>
        </xdr:cNvPr>
        <xdr:cNvSpPr/>
      </xdr:nvSpPr>
      <xdr:spPr>
        <a:xfrm>
          <a:off x="4366260" y="6366510"/>
          <a:ext cx="137160" cy="137160"/>
        </a:xfrm>
        <a:prstGeom prst="ellipse">
          <a:avLst/>
        </a:prstGeom>
        <a:solidFill>
          <a:srgbClr val="CB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7</xdr:col>
      <xdr:colOff>152400</xdr:colOff>
      <xdr:row>34</xdr:row>
      <xdr:rowOff>15240</xdr:rowOff>
    </xdr:from>
    <xdr:to>
      <xdr:col>7</xdr:col>
      <xdr:colOff>556260</xdr:colOff>
      <xdr:row>36</xdr:row>
      <xdr:rowOff>53340</xdr:rowOff>
    </xdr:to>
    <xdr:sp macro="" textlink="">
      <xdr:nvSpPr>
        <xdr:cNvPr id="92" name="Oval 91">
          <a:extLst>
            <a:ext uri="{FF2B5EF4-FFF2-40B4-BE49-F238E27FC236}">
              <a16:creationId xmlns:a16="http://schemas.microsoft.com/office/drawing/2014/main" id="{E79C7CD9-A8AC-3E5C-8D30-D8F798149723}"/>
            </a:ext>
          </a:extLst>
        </xdr:cNvPr>
        <xdr:cNvSpPr/>
      </xdr:nvSpPr>
      <xdr:spPr>
        <a:xfrm>
          <a:off x="441960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B9F5FF"/>
              </a:solidFill>
            </a:rPr>
            <a:t>C</a:t>
          </a:r>
          <a:endParaRPr lang="ru-RU" sz="1400" b="1" kern="1200">
            <a:solidFill>
              <a:srgbClr val="B9F5FF"/>
            </a:solidFill>
          </a:endParaRPr>
        </a:p>
      </xdr:txBody>
    </xdr:sp>
    <xdr:clientData/>
  </xdr:twoCellAnchor>
  <xdr:twoCellAnchor>
    <xdr:from>
      <xdr:col>4</xdr:col>
      <xdr:colOff>525780</xdr:colOff>
      <xdr:row>34</xdr:row>
      <xdr:rowOff>92559</xdr:rowOff>
    </xdr:from>
    <xdr:to>
      <xdr:col>5</xdr:col>
      <xdr:colOff>419100</xdr:colOff>
      <xdr:row>35</xdr:row>
      <xdr:rowOff>158902</xdr:rowOff>
    </xdr:to>
    <xdr:sp macro="" textlink="Processing!S18">
      <xdr:nvSpPr>
        <xdr:cNvPr id="93" name="TextBox 92">
          <a:extLst>
            <a:ext uri="{FF2B5EF4-FFF2-40B4-BE49-F238E27FC236}">
              <a16:creationId xmlns:a16="http://schemas.microsoft.com/office/drawing/2014/main" id="{14508FA4-4493-5E2C-A6FA-D51BA9520EA5}"/>
            </a:ext>
          </a:extLst>
        </xdr:cNvPr>
        <xdr:cNvSpPr txBox="1"/>
      </xdr:nvSpPr>
      <xdr:spPr>
        <a:xfrm>
          <a:off x="2964180" y="6310479"/>
          <a:ext cx="5029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D672DBE-DC45-46A8-9202-F70CC3EEAD67}" type="TxLink">
            <a:rPr lang="en-US" sz="1400" b="0" i="0" u="none" strike="noStrike" kern="1200">
              <a:solidFill>
                <a:srgbClr val="0075AA"/>
              </a:solidFill>
              <a:latin typeface="Aptos Narrow"/>
            </a:rPr>
            <a:pPr algn="l"/>
            <a:t>87%</a:t>
          </a:fld>
          <a:endParaRPr lang="ru-RU" sz="13800" kern="1200">
            <a:solidFill>
              <a:srgbClr val="0075AA"/>
            </a:solidFill>
          </a:endParaRPr>
        </a:p>
      </xdr:txBody>
    </xdr:sp>
    <xdr:clientData/>
  </xdr:twoCellAnchor>
  <xdr:twoCellAnchor>
    <xdr:from>
      <xdr:col>6</xdr:col>
      <xdr:colOff>167640</xdr:colOff>
      <xdr:row>34</xdr:row>
      <xdr:rowOff>92559</xdr:rowOff>
    </xdr:from>
    <xdr:to>
      <xdr:col>7</xdr:col>
      <xdr:colOff>60960</xdr:colOff>
      <xdr:row>35</xdr:row>
      <xdr:rowOff>158902</xdr:rowOff>
    </xdr:to>
    <xdr:sp macro="" textlink="Processing!S19">
      <xdr:nvSpPr>
        <xdr:cNvPr id="96" name="TextBox 95">
          <a:extLst>
            <a:ext uri="{FF2B5EF4-FFF2-40B4-BE49-F238E27FC236}">
              <a16:creationId xmlns:a16="http://schemas.microsoft.com/office/drawing/2014/main" id="{B9D624E4-73BE-8F35-B6BA-C9B6FDACB4CC}"/>
            </a:ext>
          </a:extLst>
        </xdr:cNvPr>
        <xdr:cNvSpPr txBox="1"/>
      </xdr:nvSpPr>
      <xdr:spPr>
        <a:xfrm>
          <a:off x="3825240" y="6310479"/>
          <a:ext cx="5029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5038B61-8DCA-4488-8B2B-420AE66490B0}" type="TxLink">
            <a:rPr lang="en-US" sz="1400" b="0" i="0" u="none" strike="noStrike" kern="1200">
              <a:solidFill>
                <a:srgbClr val="0075AA"/>
              </a:solidFill>
              <a:latin typeface="Aptos Narrow"/>
            </a:rPr>
            <a:pPr algn="l"/>
            <a:t>84%</a:t>
          </a:fld>
          <a:endParaRPr lang="ru-RU" sz="19900" kern="1200">
            <a:solidFill>
              <a:srgbClr val="0075AA"/>
            </a:solidFill>
          </a:endParaRPr>
        </a:p>
      </xdr:txBody>
    </xdr:sp>
    <xdr:clientData/>
  </xdr:twoCellAnchor>
  <xdr:twoCellAnchor>
    <xdr:from>
      <xdr:col>7</xdr:col>
      <xdr:colOff>381000</xdr:colOff>
      <xdr:row>34</xdr:row>
      <xdr:rowOff>92559</xdr:rowOff>
    </xdr:from>
    <xdr:to>
      <xdr:col>8</xdr:col>
      <xdr:colOff>274320</xdr:colOff>
      <xdr:row>35</xdr:row>
      <xdr:rowOff>158902</xdr:rowOff>
    </xdr:to>
    <xdr:sp macro="" textlink="Processing!S20">
      <xdr:nvSpPr>
        <xdr:cNvPr id="97" name="TextBox 96">
          <a:extLst>
            <a:ext uri="{FF2B5EF4-FFF2-40B4-BE49-F238E27FC236}">
              <a16:creationId xmlns:a16="http://schemas.microsoft.com/office/drawing/2014/main" id="{D4057CBD-0710-0622-BB1A-7626A3401A1A}"/>
            </a:ext>
          </a:extLst>
        </xdr:cNvPr>
        <xdr:cNvSpPr txBox="1"/>
      </xdr:nvSpPr>
      <xdr:spPr>
        <a:xfrm>
          <a:off x="4648200" y="6310479"/>
          <a:ext cx="5029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1F0E2-4035-478D-80CD-CC6BB4E8D7BB}" type="TxLink">
            <a:rPr lang="en-US" sz="1400" b="0" i="0" u="none" strike="noStrike" kern="1200">
              <a:solidFill>
                <a:srgbClr val="0075AA"/>
              </a:solidFill>
              <a:latin typeface="Aptos Narrow"/>
            </a:rPr>
            <a:pPr algn="l"/>
            <a:t>80%</a:t>
          </a:fld>
          <a:endParaRPr lang="ru-RU" sz="19900" kern="1200">
            <a:solidFill>
              <a:srgbClr val="0075AA"/>
            </a:solidFill>
          </a:endParaRPr>
        </a:p>
      </xdr:txBody>
    </xdr:sp>
    <xdr:clientData/>
  </xdr:twoCellAnchor>
  <xdr:twoCellAnchor>
    <xdr:from>
      <xdr:col>18</xdr:col>
      <xdr:colOff>289560</xdr:colOff>
      <xdr:row>34</xdr:row>
      <xdr:rowOff>148590</xdr:rowOff>
    </xdr:from>
    <xdr:to>
      <xdr:col>18</xdr:col>
      <xdr:colOff>426720</xdr:colOff>
      <xdr:row>35</xdr:row>
      <xdr:rowOff>102870</xdr:rowOff>
    </xdr:to>
    <xdr:sp macro="" textlink="">
      <xdr:nvSpPr>
        <xdr:cNvPr id="98" name="Oval 97">
          <a:extLst>
            <a:ext uri="{FF2B5EF4-FFF2-40B4-BE49-F238E27FC236}">
              <a16:creationId xmlns:a16="http://schemas.microsoft.com/office/drawing/2014/main" id="{23F95497-6603-6EB0-6773-28B75C322787}"/>
            </a:ext>
          </a:extLst>
        </xdr:cNvPr>
        <xdr:cNvSpPr/>
      </xdr:nvSpPr>
      <xdr:spPr>
        <a:xfrm>
          <a:off x="11262360" y="6366510"/>
          <a:ext cx="137160" cy="137160"/>
        </a:xfrm>
        <a:prstGeom prst="ellipse">
          <a:avLst/>
        </a:prstGeom>
        <a:solidFill>
          <a:srgbClr val="06A9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18</xdr:col>
      <xdr:colOff>327660</xdr:colOff>
      <xdr:row>34</xdr:row>
      <xdr:rowOff>15240</xdr:rowOff>
    </xdr:from>
    <xdr:to>
      <xdr:col>19</xdr:col>
      <xdr:colOff>121920</xdr:colOff>
      <xdr:row>36</xdr:row>
      <xdr:rowOff>53340</xdr:rowOff>
    </xdr:to>
    <xdr:sp macro="" textlink="">
      <xdr:nvSpPr>
        <xdr:cNvPr id="99" name="Oval 98">
          <a:extLst>
            <a:ext uri="{FF2B5EF4-FFF2-40B4-BE49-F238E27FC236}">
              <a16:creationId xmlns:a16="http://schemas.microsoft.com/office/drawing/2014/main" id="{C6A6CF97-BB37-D6C2-D30F-DBDFCF9C6E26}"/>
            </a:ext>
          </a:extLst>
        </xdr:cNvPr>
        <xdr:cNvSpPr/>
      </xdr:nvSpPr>
      <xdr:spPr>
        <a:xfrm>
          <a:off x="1130046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400" b="1" kern="1200">
              <a:solidFill>
                <a:srgbClr val="06A9E2"/>
              </a:solidFill>
            </a:rPr>
            <a:t>A</a:t>
          </a:r>
          <a:endParaRPr lang="ru-RU" sz="1400" b="1" kern="1200">
            <a:solidFill>
              <a:srgbClr val="06A9E2"/>
            </a:solidFill>
          </a:endParaRPr>
        </a:p>
      </xdr:txBody>
    </xdr:sp>
    <xdr:clientData/>
  </xdr:twoCellAnchor>
  <xdr:twoCellAnchor>
    <xdr:from>
      <xdr:col>20</xdr:col>
      <xdr:colOff>45720</xdr:colOff>
      <xdr:row>34</xdr:row>
      <xdr:rowOff>148590</xdr:rowOff>
    </xdr:from>
    <xdr:to>
      <xdr:col>20</xdr:col>
      <xdr:colOff>182880</xdr:colOff>
      <xdr:row>35</xdr:row>
      <xdr:rowOff>102870</xdr:rowOff>
    </xdr:to>
    <xdr:sp macro="" textlink="">
      <xdr:nvSpPr>
        <xdr:cNvPr id="102" name="Oval 101">
          <a:extLst>
            <a:ext uri="{FF2B5EF4-FFF2-40B4-BE49-F238E27FC236}">
              <a16:creationId xmlns:a16="http://schemas.microsoft.com/office/drawing/2014/main" id="{CF22B4AA-DE09-C2C8-232E-76BCDD215A4A}"/>
            </a:ext>
          </a:extLst>
        </xdr:cNvPr>
        <xdr:cNvSpPr/>
      </xdr:nvSpPr>
      <xdr:spPr>
        <a:xfrm>
          <a:off x="12237720" y="6366510"/>
          <a:ext cx="137160" cy="137160"/>
        </a:xfrm>
        <a:prstGeom prst="ellipse">
          <a:avLst/>
        </a:prstGeom>
        <a:solidFill>
          <a:srgbClr val="007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91440</xdr:colOff>
      <xdr:row>34</xdr:row>
      <xdr:rowOff>15240</xdr:rowOff>
    </xdr:from>
    <xdr:to>
      <xdr:col>20</xdr:col>
      <xdr:colOff>495300</xdr:colOff>
      <xdr:row>36</xdr:row>
      <xdr:rowOff>53340</xdr:rowOff>
    </xdr:to>
    <xdr:sp macro="" textlink="">
      <xdr:nvSpPr>
        <xdr:cNvPr id="103" name="Oval 102">
          <a:extLst>
            <a:ext uri="{FF2B5EF4-FFF2-40B4-BE49-F238E27FC236}">
              <a16:creationId xmlns:a16="http://schemas.microsoft.com/office/drawing/2014/main" id="{10637AD6-B7D1-4BDE-3F46-2C34487711FA}"/>
            </a:ext>
          </a:extLst>
        </xdr:cNvPr>
        <xdr:cNvSpPr/>
      </xdr:nvSpPr>
      <xdr:spPr>
        <a:xfrm>
          <a:off x="1228344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75AA"/>
              </a:solidFill>
            </a:rPr>
            <a:t>B</a:t>
          </a:r>
          <a:endParaRPr lang="ru-RU" sz="1400" b="1" kern="1200">
            <a:solidFill>
              <a:srgbClr val="0075AA"/>
            </a:solidFill>
          </a:endParaRPr>
        </a:p>
      </xdr:txBody>
    </xdr:sp>
    <xdr:clientData/>
  </xdr:twoCellAnchor>
  <xdr:twoCellAnchor>
    <xdr:from>
      <xdr:col>21</xdr:col>
      <xdr:colOff>381000</xdr:colOff>
      <xdr:row>34</xdr:row>
      <xdr:rowOff>148590</xdr:rowOff>
    </xdr:from>
    <xdr:to>
      <xdr:col>21</xdr:col>
      <xdr:colOff>518160</xdr:colOff>
      <xdr:row>35</xdr:row>
      <xdr:rowOff>102870</xdr:rowOff>
    </xdr:to>
    <xdr:sp macro="" textlink="">
      <xdr:nvSpPr>
        <xdr:cNvPr id="104" name="Oval 103">
          <a:extLst>
            <a:ext uri="{FF2B5EF4-FFF2-40B4-BE49-F238E27FC236}">
              <a16:creationId xmlns:a16="http://schemas.microsoft.com/office/drawing/2014/main" id="{5E054090-2451-243F-9723-36136502BF64}"/>
            </a:ext>
          </a:extLst>
        </xdr:cNvPr>
        <xdr:cNvSpPr/>
      </xdr:nvSpPr>
      <xdr:spPr>
        <a:xfrm>
          <a:off x="13182600" y="6366510"/>
          <a:ext cx="137160" cy="137160"/>
        </a:xfrm>
        <a:prstGeom prst="ellipse">
          <a:avLst/>
        </a:prstGeom>
        <a:solidFill>
          <a:srgbClr val="CB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21</xdr:col>
      <xdr:colOff>434340</xdr:colOff>
      <xdr:row>34</xdr:row>
      <xdr:rowOff>15240</xdr:rowOff>
    </xdr:from>
    <xdr:to>
      <xdr:col>22</xdr:col>
      <xdr:colOff>228600</xdr:colOff>
      <xdr:row>36</xdr:row>
      <xdr:rowOff>53340</xdr:rowOff>
    </xdr:to>
    <xdr:sp macro="" textlink="">
      <xdr:nvSpPr>
        <xdr:cNvPr id="108" name="Oval 107">
          <a:extLst>
            <a:ext uri="{FF2B5EF4-FFF2-40B4-BE49-F238E27FC236}">
              <a16:creationId xmlns:a16="http://schemas.microsoft.com/office/drawing/2014/main" id="{E27BD379-C527-53CA-DAE1-F9D081B5108E}"/>
            </a:ext>
          </a:extLst>
        </xdr:cNvPr>
        <xdr:cNvSpPr/>
      </xdr:nvSpPr>
      <xdr:spPr>
        <a:xfrm>
          <a:off x="13235940" y="623316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B9F5FF"/>
              </a:solidFill>
            </a:rPr>
            <a:t>C</a:t>
          </a:r>
          <a:endParaRPr lang="ru-RU" sz="1400" b="1" kern="1200">
            <a:solidFill>
              <a:srgbClr val="B9F5FF"/>
            </a:solidFill>
          </a:endParaRPr>
        </a:p>
      </xdr:txBody>
    </xdr:sp>
    <xdr:clientData/>
  </xdr:twoCellAnchor>
  <xdr:twoCellAnchor>
    <xdr:from>
      <xdr:col>18</xdr:col>
      <xdr:colOff>503454</xdr:colOff>
      <xdr:row>34</xdr:row>
      <xdr:rowOff>92559</xdr:rowOff>
    </xdr:from>
    <xdr:to>
      <xdr:col>19</xdr:col>
      <xdr:colOff>502387</xdr:colOff>
      <xdr:row>35</xdr:row>
      <xdr:rowOff>158902</xdr:rowOff>
    </xdr:to>
    <xdr:sp macro="" textlink="Processing!E9">
      <xdr:nvSpPr>
        <xdr:cNvPr id="109" name="TextBox 108">
          <a:extLst>
            <a:ext uri="{FF2B5EF4-FFF2-40B4-BE49-F238E27FC236}">
              <a16:creationId xmlns:a16="http://schemas.microsoft.com/office/drawing/2014/main" id="{CDBB1F20-FF3F-764E-37C0-BA25BB842637}"/>
            </a:ext>
          </a:extLst>
        </xdr:cNvPr>
        <xdr:cNvSpPr txBox="1"/>
      </xdr:nvSpPr>
      <xdr:spPr>
        <a:xfrm>
          <a:off x="11476254" y="6310479"/>
          <a:ext cx="60853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CC5836-5B03-4CB2-80A0-C7750DDA83EF}" type="TxLink">
            <a:rPr lang="en-US" sz="1200" b="0" i="0" u="none" strike="noStrike" kern="1200">
              <a:solidFill>
                <a:srgbClr val="0075AA"/>
              </a:solidFill>
              <a:latin typeface="Aptos Narrow"/>
            </a:rPr>
            <a:pPr algn="ctr"/>
            <a:t>42%</a:t>
          </a:fld>
          <a:endParaRPr lang="ru-RU" sz="16600" kern="1200">
            <a:solidFill>
              <a:srgbClr val="0075AA"/>
            </a:solidFill>
          </a:endParaRPr>
        </a:p>
      </xdr:txBody>
    </xdr:sp>
    <xdr:clientData/>
  </xdr:twoCellAnchor>
  <xdr:twoCellAnchor>
    <xdr:from>
      <xdr:col>20</xdr:col>
      <xdr:colOff>267234</xdr:colOff>
      <xdr:row>34</xdr:row>
      <xdr:rowOff>92559</xdr:rowOff>
    </xdr:from>
    <xdr:to>
      <xdr:col>21</xdr:col>
      <xdr:colOff>266167</xdr:colOff>
      <xdr:row>35</xdr:row>
      <xdr:rowOff>158902</xdr:rowOff>
    </xdr:to>
    <xdr:sp macro="" textlink="Processing!F9">
      <xdr:nvSpPr>
        <xdr:cNvPr id="110" name="TextBox 109">
          <a:extLst>
            <a:ext uri="{FF2B5EF4-FFF2-40B4-BE49-F238E27FC236}">
              <a16:creationId xmlns:a16="http://schemas.microsoft.com/office/drawing/2014/main" id="{F5FDD14D-D809-AF94-7AA2-1AE298A706EE}"/>
            </a:ext>
          </a:extLst>
        </xdr:cNvPr>
        <xdr:cNvSpPr txBox="1"/>
      </xdr:nvSpPr>
      <xdr:spPr>
        <a:xfrm>
          <a:off x="12459234" y="6310479"/>
          <a:ext cx="60853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009907-F37E-4850-B703-1C4DBBB891E8}" type="TxLink">
            <a:rPr lang="en-US" sz="1200" b="0" i="0" u="none" strike="noStrike" kern="1200">
              <a:solidFill>
                <a:srgbClr val="0075AA"/>
              </a:solidFill>
              <a:latin typeface="Aptos Narrow"/>
            </a:rPr>
            <a:pPr algn="ctr"/>
            <a:t>75%</a:t>
          </a:fld>
          <a:endParaRPr lang="ru-RU" sz="23900" kern="1200">
            <a:solidFill>
              <a:srgbClr val="0075AA"/>
            </a:solidFill>
          </a:endParaRPr>
        </a:p>
      </xdr:txBody>
    </xdr:sp>
    <xdr:clientData/>
  </xdr:twoCellAnchor>
  <xdr:twoCellAnchor>
    <xdr:from>
      <xdr:col>22</xdr:col>
      <xdr:colOff>31014</xdr:colOff>
      <xdr:row>34</xdr:row>
      <xdr:rowOff>92559</xdr:rowOff>
    </xdr:from>
    <xdr:to>
      <xdr:col>23</xdr:col>
      <xdr:colOff>29947</xdr:colOff>
      <xdr:row>35</xdr:row>
      <xdr:rowOff>158902</xdr:rowOff>
    </xdr:to>
    <xdr:sp macro="" textlink="Processing!G9">
      <xdr:nvSpPr>
        <xdr:cNvPr id="111" name="TextBox 110">
          <a:extLst>
            <a:ext uri="{FF2B5EF4-FFF2-40B4-BE49-F238E27FC236}">
              <a16:creationId xmlns:a16="http://schemas.microsoft.com/office/drawing/2014/main" id="{972B2A06-8444-777F-E587-90F3D21B109F}"/>
            </a:ext>
          </a:extLst>
        </xdr:cNvPr>
        <xdr:cNvSpPr txBox="1"/>
      </xdr:nvSpPr>
      <xdr:spPr>
        <a:xfrm>
          <a:off x="13442214" y="6310479"/>
          <a:ext cx="60853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DA567F-27DA-4120-9EBB-DDB6D5F2D43D}" type="TxLink">
            <a:rPr lang="en-US" sz="1200" b="0" i="0" u="none" strike="noStrike" kern="1200">
              <a:solidFill>
                <a:srgbClr val="0075AA"/>
              </a:solidFill>
              <a:latin typeface="Aptos Narrow"/>
            </a:rPr>
            <a:pPr algn="ctr"/>
            <a:t>73%</a:t>
          </a:fld>
          <a:endParaRPr lang="ru-RU" sz="23900" kern="1200">
            <a:solidFill>
              <a:srgbClr val="0075AA"/>
            </a:solidFill>
          </a:endParaRPr>
        </a:p>
      </xdr:txBody>
    </xdr:sp>
    <xdr:clientData/>
  </xdr:twoCellAnchor>
  <xdr:twoCellAnchor>
    <xdr:from>
      <xdr:col>21</xdr:col>
      <xdr:colOff>409078</xdr:colOff>
      <xdr:row>15</xdr:row>
      <xdr:rowOff>168759</xdr:rowOff>
    </xdr:from>
    <xdr:to>
      <xdr:col>22</xdr:col>
      <xdr:colOff>535803</xdr:colOff>
      <xdr:row>17</xdr:row>
      <xdr:rowOff>52222</xdr:rowOff>
    </xdr:to>
    <xdr:sp macro="" textlink="Processing!E10">
      <xdr:nvSpPr>
        <xdr:cNvPr id="113" name="TextBox 112">
          <a:extLst>
            <a:ext uri="{FF2B5EF4-FFF2-40B4-BE49-F238E27FC236}">
              <a16:creationId xmlns:a16="http://schemas.microsoft.com/office/drawing/2014/main" id="{73DE449A-5E03-3B50-01B9-518AA149134F}"/>
            </a:ext>
          </a:extLst>
        </xdr:cNvPr>
        <xdr:cNvSpPr txBox="1"/>
      </xdr:nvSpPr>
      <xdr:spPr>
        <a:xfrm>
          <a:off x="13210678" y="2911959"/>
          <a:ext cx="736325"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91E892-9186-4BE5-9808-5B4AA1BFA34C}" type="TxLink">
            <a:rPr lang="en-US" sz="2000" b="0" i="0" u="none" strike="noStrike" kern="1200">
              <a:solidFill>
                <a:schemeClr val="tx2">
                  <a:lumMod val="75000"/>
                  <a:lumOff val="25000"/>
                </a:schemeClr>
              </a:solidFill>
              <a:latin typeface="Aptos Narrow"/>
            </a:rPr>
            <a:pPr algn="ctr"/>
            <a:t>88%</a:t>
          </a:fld>
          <a:endParaRPr lang="ru-RU" sz="59500" kern="1200">
            <a:solidFill>
              <a:schemeClr val="tx2">
                <a:lumMod val="75000"/>
                <a:lumOff val="25000"/>
              </a:schemeClr>
            </a:solidFill>
          </a:endParaRPr>
        </a:p>
      </xdr:txBody>
    </xdr:sp>
    <xdr:clientData/>
  </xdr:twoCellAnchor>
  <xdr:twoCellAnchor>
    <xdr:from>
      <xdr:col>0</xdr:col>
      <xdr:colOff>180975</xdr:colOff>
      <xdr:row>0</xdr:row>
      <xdr:rowOff>111771</xdr:rowOff>
    </xdr:from>
    <xdr:to>
      <xdr:col>2</xdr:col>
      <xdr:colOff>99060</xdr:colOff>
      <xdr:row>2</xdr:row>
      <xdr:rowOff>63489</xdr:rowOff>
    </xdr:to>
    <xdr:grpSp>
      <xdr:nvGrpSpPr>
        <xdr:cNvPr id="127" name="Group 126">
          <a:hlinkClick xmlns:r="http://schemas.openxmlformats.org/officeDocument/2006/relationships" r:id="rId7"/>
          <a:extLst>
            <a:ext uri="{FF2B5EF4-FFF2-40B4-BE49-F238E27FC236}">
              <a16:creationId xmlns:a16="http://schemas.microsoft.com/office/drawing/2014/main" id="{D5E7151A-8215-C561-CE14-91FC222233B8}"/>
            </a:ext>
          </a:extLst>
        </xdr:cNvPr>
        <xdr:cNvGrpSpPr/>
      </xdr:nvGrpSpPr>
      <xdr:grpSpPr>
        <a:xfrm>
          <a:off x="180975" y="111771"/>
          <a:ext cx="1103418" cy="332718"/>
          <a:chOff x="180975" y="111771"/>
          <a:chExt cx="1137285" cy="317478"/>
        </a:xfrm>
      </xdr:grpSpPr>
      <xdr:sp macro="" textlink="">
        <xdr:nvSpPr>
          <xdr:cNvPr id="116" name="TextBox 115">
            <a:extLst>
              <a:ext uri="{FF2B5EF4-FFF2-40B4-BE49-F238E27FC236}">
                <a16:creationId xmlns:a16="http://schemas.microsoft.com/office/drawing/2014/main" id="{39B4C952-36A6-46AB-6ABE-C64E3DB9B40A}"/>
              </a:ext>
            </a:extLst>
          </xdr:cNvPr>
          <xdr:cNvSpPr txBox="1"/>
        </xdr:nvSpPr>
        <xdr:spPr>
          <a:xfrm>
            <a:off x="337206" y="111771"/>
            <a:ext cx="981054"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bg1"/>
                </a:solidFill>
                <a:latin typeface="Aptos Narrow"/>
                <a:ea typeface="+mn-ea"/>
                <a:cs typeface="+mn-cs"/>
              </a:rPr>
              <a:t>Dashboard</a:t>
            </a:r>
          </a:p>
        </xdr:txBody>
      </xdr:sp>
      <xdr:sp macro="" textlink="">
        <xdr:nvSpPr>
          <xdr:cNvPr id="121" name="Freeform: Shape 120">
            <a:extLst>
              <a:ext uri="{FF2B5EF4-FFF2-40B4-BE49-F238E27FC236}">
                <a16:creationId xmlns:a16="http://schemas.microsoft.com/office/drawing/2014/main" id="{EE9DC565-B9DF-51F8-F830-4B1CA341B5D8}"/>
              </a:ext>
            </a:extLst>
          </xdr:cNvPr>
          <xdr:cNvSpPr/>
        </xdr:nvSpPr>
        <xdr:spPr>
          <a:xfrm flipH="1">
            <a:off x="327932"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22" name="Freeform: Shape 121">
            <a:extLst>
              <a:ext uri="{FF2B5EF4-FFF2-40B4-BE49-F238E27FC236}">
                <a16:creationId xmlns:a16="http://schemas.microsoft.com/office/drawing/2014/main" id="{57CEC87C-42A3-B8AA-2178-41D3875210F1}"/>
              </a:ext>
            </a:extLst>
          </xdr:cNvPr>
          <xdr:cNvSpPr/>
        </xdr:nvSpPr>
        <xdr:spPr>
          <a:xfrm flipH="1">
            <a:off x="278946" y="140970"/>
            <a:ext cx="35923" cy="18288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ru-RU"/>
          </a:p>
        </xdr:txBody>
      </xdr:sp>
      <xdr:sp macro="" textlink="">
        <xdr:nvSpPr>
          <xdr:cNvPr id="123" name="Freeform: Shape 122">
            <a:extLst>
              <a:ext uri="{FF2B5EF4-FFF2-40B4-BE49-F238E27FC236}">
                <a16:creationId xmlns:a16="http://schemas.microsoft.com/office/drawing/2014/main" id="{B4FECC04-DB4D-3E05-4A31-445DE4017480}"/>
              </a:ext>
            </a:extLst>
          </xdr:cNvPr>
          <xdr:cNvSpPr/>
        </xdr:nvSpPr>
        <xdr:spPr>
          <a:xfrm flipH="1">
            <a:off x="229961"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24" name="Freeform: Shape 123">
            <a:extLst>
              <a:ext uri="{FF2B5EF4-FFF2-40B4-BE49-F238E27FC236}">
                <a16:creationId xmlns:a16="http://schemas.microsoft.com/office/drawing/2014/main" id="{E496A869-AB29-A315-7B71-6A063329389F}"/>
              </a:ext>
            </a:extLst>
          </xdr:cNvPr>
          <xdr:cNvSpPr/>
        </xdr:nvSpPr>
        <xdr:spPr>
          <a:xfrm flipH="1">
            <a:off x="180975" y="265067"/>
            <a:ext cx="35923" cy="58783"/>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1</xdr:col>
      <xdr:colOff>91440</xdr:colOff>
      <xdr:row>20</xdr:row>
      <xdr:rowOff>144780</xdr:rowOff>
    </xdr:from>
    <xdr:to>
      <xdr:col>3</xdr:col>
      <xdr:colOff>152400</xdr:colOff>
      <xdr:row>22</xdr:row>
      <xdr:rowOff>96498</xdr:rowOff>
    </xdr:to>
    <xdr:sp macro="" textlink="">
      <xdr:nvSpPr>
        <xdr:cNvPr id="128" name="TextBox 127">
          <a:hlinkClick xmlns:r="http://schemas.openxmlformats.org/officeDocument/2006/relationships" r:id="rId8"/>
          <a:extLst>
            <a:ext uri="{FF2B5EF4-FFF2-40B4-BE49-F238E27FC236}">
              <a16:creationId xmlns:a16="http://schemas.microsoft.com/office/drawing/2014/main" id="{4A0509BE-6752-43A9-9AE2-12B15EE70952}"/>
            </a:ext>
          </a:extLst>
        </xdr:cNvPr>
        <xdr:cNvSpPr txBox="1"/>
      </xdr:nvSpPr>
      <xdr:spPr>
        <a:xfrm>
          <a:off x="701040" y="380238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Point Of Sales</a:t>
          </a:r>
        </a:p>
      </xdr:txBody>
    </xdr:sp>
    <xdr:clientData/>
  </xdr:twoCellAnchor>
  <xdr:twoCellAnchor>
    <xdr:from>
      <xdr:col>1</xdr:col>
      <xdr:colOff>91440</xdr:colOff>
      <xdr:row>24</xdr:row>
      <xdr:rowOff>53340</xdr:rowOff>
    </xdr:from>
    <xdr:to>
      <xdr:col>3</xdr:col>
      <xdr:colOff>152400</xdr:colOff>
      <xdr:row>26</xdr:row>
      <xdr:rowOff>5058</xdr:rowOff>
    </xdr:to>
    <xdr:sp macro="" textlink="">
      <xdr:nvSpPr>
        <xdr:cNvPr id="129" name="TextBox 128">
          <a:hlinkClick xmlns:r="http://schemas.openxmlformats.org/officeDocument/2006/relationships" r:id="rId9"/>
          <a:extLst>
            <a:ext uri="{FF2B5EF4-FFF2-40B4-BE49-F238E27FC236}">
              <a16:creationId xmlns:a16="http://schemas.microsoft.com/office/drawing/2014/main" id="{16067FCB-481D-5D8D-B093-4761311EB264}"/>
            </a:ext>
          </a:extLst>
        </xdr:cNvPr>
        <xdr:cNvSpPr txBox="1"/>
      </xdr:nvSpPr>
      <xdr:spPr>
        <a:xfrm>
          <a:off x="701040" y="444246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Aptos Narrow"/>
              <a:ea typeface="+mn-ea"/>
              <a:cs typeface="+mn-cs"/>
            </a:rPr>
            <a:t>Targeting</a:t>
          </a:r>
        </a:p>
      </xdr:txBody>
    </xdr:sp>
    <xdr:clientData/>
  </xdr:twoCellAnchor>
  <xdr:twoCellAnchor>
    <xdr:from>
      <xdr:col>1</xdr:col>
      <xdr:colOff>91440</xdr:colOff>
      <xdr:row>27</xdr:row>
      <xdr:rowOff>152400</xdr:rowOff>
    </xdr:from>
    <xdr:to>
      <xdr:col>3</xdr:col>
      <xdr:colOff>266700</xdr:colOff>
      <xdr:row>29</xdr:row>
      <xdr:rowOff>104118</xdr:rowOff>
    </xdr:to>
    <xdr:sp macro="" textlink="">
      <xdr:nvSpPr>
        <xdr:cNvPr id="130" name="TextBox 129">
          <a:hlinkClick xmlns:r="http://schemas.openxmlformats.org/officeDocument/2006/relationships" r:id="rId10"/>
          <a:extLst>
            <a:ext uri="{FF2B5EF4-FFF2-40B4-BE49-F238E27FC236}">
              <a16:creationId xmlns:a16="http://schemas.microsoft.com/office/drawing/2014/main" id="{8B27571B-9204-B600-80B5-975E56DE7A92}"/>
            </a:ext>
          </a:extLst>
        </xdr:cNvPr>
        <xdr:cNvSpPr txBox="1"/>
      </xdr:nvSpPr>
      <xdr:spPr>
        <a:xfrm>
          <a:off x="701040" y="5090160"/>
          <a:ext cx="13944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Sales Dynamics</a:t>
          </a:r>
        </a:p>
      </xdr:txBody>
    </xdr:sp>
    <xdr:clientData/>
  </xdr:twoCellAnchor>
  <xdr:twoCellAnchor>
    <xdr:from>
      <xdr:col>1</xdr:col>
      <xdr:colOff>91440</xdr:colOff>
      <xdr:row>31</xdr:row>
      <xdr:rowOff>60960</xdr:rowOff>
    </xdr:from>
    <xdr:to>
      <xdr:col>3</xdr:col>
      <xdr:colOff>152400</xdr:colOff>
      <xdr:row>33</xdr:row>
      <xdr:rowOff>12678</xdr:rowOff>
    </xdr:to>
    <xdr:sp macro="" textlink="">
      <xdr:nvSpPr>
        <xdr:cNvPr id="131" name="TextBox 130">
          <a:hlinkClick xmlns:r="http://schemas.openxmlformats.org/officeDocument/2006/relationships" r:id="rId11"/>
          <a:extLst>
            <a:ext uri="{FF2B5EF4-FFF2-40B4-BE49-F238E27FC236}">
              <a16:creationId xmlns:a16="http://schemas.microsoft.com/office/drawing/2014/main" id="{FC0771BC-0AFC-46DF-201C-69BFBF0CCA27}"/>
            </a:ext>
          </a:extLst>
        </xdr:cNvPr>
        <xdr:cNvSpPr txBox="1"/>
      </xdr:nvSpPr>
      <xdr:spPr>
        <a:xfrm>
          <a:off x="701040" y="573024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Coverage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7620</xdr:colOff>
      <xdr:row>38</xdr:row>
      <xdr:rowOff>106680</xdr:rowOff>
    </xdr:to>
    <xdr:grpSp>
      <xdr:nvGrpSpPr>
        <xdr:cNvPr id="2" name="Group 1">
          <a:extLst>
            <a:ext uri="{FF2B5EF4-FFF2-40B4-BE49-F238E27FC236}">
              <a16:creationId xmlns:a16="http://schemas.microsoft.com/office/drawing/2014/main" id="{C0979364-3850-4C03-A229-0167012F0380}"/>
            </a:ext>
          </a:extLst>
        </xdr:cNvPr>
        <xdr:cNvGrpSpPr/>
      </xdr:nvGrpSpPr>
      <xdr:grpSpPr>
        <a:xfrm>
          <a:off x="0" y="0"/>
          <a:ext cx="2378287" cy="7345680"/>
          <a:chOff x="3703320" y="83820"/>
          <a:chExt cx="2918460" cy="4953000"/>
        </a:xfrm>
        <a:effectLst>
          <a:outerShdw blurRad="228600" dist="482600" dir="7800000" sx="93000" sy="93000" algn="r" rotWithShape="0">
            <a:prstClr val="black">
              <a:alpha val="42000"/>
            </a:prstClr>
          </a:outerShdw>
        </a:effectLst>
      </xdr:grpSpPr>
      <xdr:sp macro="" textlink="">
        <xdr:nvSpPr>
          <xdr:cNvPr id="3" name="Rectangle 2">
            <a:extLst>
              <a:ext uri="{FF2B5EF4-FFF2-40B4-BE49-F238E27FC236}">
                <a16:creationId xmlns:a16="http://schemas.microsoft.com/office/drawing/2014/main" id="{B425F1C0-1754-E301-3DF8-278768AE9363}"/>
              </a:ext>
            </a:extLst>
          </xdr:cNvPr>
          <xdr:cNvSpPr/>
        </xdr:nvSpPr>
        <xdr:spPr>
          <a:xfrm>
            <a:off x="3703320" y="83820"/>
            <a:ext cx="2910840" cy="4945380"/>
          </a:xfrm>
          <a:prstGeom prst="rect">
            <a:avLst/>
          </a:prstGeom>
          <a:solidFill>
            <a:srgbClr val="05294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Rectangle 3">
            <a:extLst>
              <a:ext uri="{FF2B5EF4-FFF2-40B4-BE49-F238E27FC236}">
                <a16:creationId xmlns:a16="http://schemas.microsoft.com/office/drawing/2014/main" id="{F7778246-D953-2BF4-53F5-E6D1BE965033}"/>
              </a:ext>
            </a:extLst>
          </xdr:cNvPr>
          <xdr:cNvSpPr/>
        </xdr:nvSpPr>
        <xdr:spPr>
          <a:xfrm>
            <a:off x="3710940" y="91440"/>
            <a:ext cx="2910840" cy="4945380"/>
          </a:xfrm>
          <a:prstGeom prst="rect">
            <a:avLst/>
          </a:prstGeom>
          <a:gradFill flip="none" rotWithShape="1">
            <a:gsLst>
              <a:gs pos="0">
                <a:srgbClr val="0C89CE"/>
              </a:gs>
              <a:gs pos="72000">
                <a:srgbClr val="05294B">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0</xdr:col>
      <xdr:colOff>152400</xdr:colOff>
      <xdr:row>24</xdr:row>
      <xdr:rowOff>10158</xdr:rowOff>
    </xdr:from>
    <xdr:to>
      <xdr:col>3</xdr:col>
      <xdr:colOff>214177</xdr:colOff>
      <xdr:row>26</xdr:row>
      <xdr:rowOff>72077</xdr:rowOff>
    </xdr:to>
    <xdr:grpSp>
      <xdr:nvGrpSpPr>
        <xdr:cNvPr id="5" name="Group 4">
          <a:extLst>
            <a:ext uri="{FF2B5EF4-FFF2-40B4-BE49-F238E27FC236}">
              <a16:creationId xmlns:a16="http://schemas.microsoft.com/office/drawing/2014/main" id="{F82A70E4-9400-428F-BCA8-8C58EBC8B8E5}"/>
            </a:ext>
          </a:extLst>
        </xdr:cNvPr>
        <xdr:cNvGrpSpPr/>
      </xdr:nvGrpSpPr>
      <xdr:grpSpPr>
        <a:xfrm>
          <a:off x="152400" y="4582158"/>
          <a:ext cx="1839777" cy="442919"/>
          <a:chOff x="0" y="0"/>
          <a:chExt cx="2501522" cy="420508"/>
        </a:xfrm>
        <a:effectLst>
          <a:outerShdw blurRad="50800" dist="38100" dir="8100000" algn="tr"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63A92226-EB7A-DE4E-25A2-D0E8CBAE6C40}"/>
              </a:ext>
            </a:extLst>
          </xdr:cNvPr>
          <xdr:cNvSpPr/>
        </xdr:nvSpPr>
        <xdr:spPr>
          <a:xfrm>
            <a:off x="0" y="5977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2BFA7108-C78A-A32C-1D7D-831428BE0481}"/>
              </a:ext>
            </a:extLst>
          </xdr:cNvPr>
          <xdr:cNvSpPr/>
        </xdr:nvSpPr>
        <xdr:spPr>
          <a:xfrm>
            <a:off x="37241" y="8348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8" name="Group 7">
            <a:extLst>
              <a:ext uri="{FF2B5EF4-FFF2-40B4-BE49-F238E27FC236}">
                <a16:creationId xmlns:a16="http://schemas.microsoft.com/office/drawing/2014/main" id="{43237309-F7A4-AF75-69E8-D97CBBDA7793}"/>
              </a:ext>
            </a:extLst>
          </xdr:cNvPr>
          <xdr:cNvGrpSpPr/>
        </xdr:nvGrpSpPr>
        <xdr:grpSpPr>
          <a:xfrm>
            <a:off x="189065" y="0"/>
            <a:ext cx="788458" cy="420508"/>
            <a:chOff x="189065" y="0"/>
            <a:chExt cx="3638263" cy="2110803"/>
          </a:xfrm>
        </xdr:grpSpPr>
        <xdr:sp macro="" textlink="">
          <xdr:nvSpPr>
            <xdr:cNvPr id="9" name="Freeform: Shape 8">
              <a:extLst>
                <a:ext uri="{FF2B5EF4-FFF2-40B4-BE49-F238E27FC236}">
                  <a16:creationId xmlns:a16="http://schemas.microsoft.com/office/drawing/2014/main" id="{7087C444-9696-E5A7-215A-AFC02841F2E5}"/>
                </a:ext>
              </a:extLst>
            </xdr:cNvPr>
            <xdr:cNvSpPr/>
          </xdr:nvSpPr>
          <xdr:spPr>
            <a:xfrm>
              <a:off x="189065" y="761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FC8049"/>
                </a:gs>
                <a:gs pos="100000">
                  <a:srgbClr val="D90D0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A19F1DE2-8F02-7330-5A65-F87A2E6AF732}"/>
                </a:ext>
              </a:extLst>
            </xdr:cNvPr>
            <xdr:cNvSpPr/>
          </xdr:nvSpPr>
          <xdr:spPr>
            <a:xfrm>
              <a:off x="3078560" y="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FC4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Freeform: Shape 10">
              <a:extLst>
                <a:ext uri="{FF2B5EF4-FFF2-40B4-BE49-F238E27FC236}">
                  <a16:creationId xmlns:a16="http://schemas.microsoft.com/office/drawing/2014/main" id="{85448419-0BE2-F726-7EAF-729123E3F04B}"/>
                </a:ext>
              </a:extLst>
            </xdr:cNvPr>
            <xdr:cNvSpPr/>
          </xdr:nvSpPr>
          <xdr:spPr>
            <a:xfrm rot="10800000">
              <a:off x="192876" y="169936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BF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20</xdr:row>
      <xdr:rowOff>99058</xdr:rowOff>
    </xdr:from>
    <xdr:to>
      <xdr:col>3</xdr:col>
      <xdr:colOff>214177</xdr:colOff>
      <xdr:row>22</xdr:row>
      <xdr:rowOff>160977</xdr:rowOff>
    </xdr:to>
    <xdr:grpSp>
      <xdr:nvGrpSpPr>
        <xdr:cNvPr id="12" name="Group 11">
          <a:extLst>
            <a:ext uri="{FF2B5EF4-FFF2-40B4-BE49-F238E27FC236}">
              <a16:creationId xmlns:a16="http://schemas.microsoft.com/office/drawing/2014/main" id="{26173F3A-C86C-4314-8D8C-1C690210F915}"/>
            </a:ext>
          </a:extLst>
        </xdr:cNvPr>
        <xdr:cNvGrpSpPr/>
      </xdr:nvGrpSpPr>
      <xdr:grpSpPr>
        <a:xfrm>
          <a:off x="152400" y="3909058"/>
          <a:ext cx="1839777" cy="442919"/>
          <a:chOff x="0" y="662940"/>
          <a:chExt cx="2501522" cy="420508"/>
        </a:xfrm>
        <a:effectLst>
          <a:outerShdw blurRad="50800" dist="38100" dir="8100000" algn="t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364BE31F-0DD9-BF70-EAFE-5A13092C5C05}"/>
              </a:ext>
            </a:extLst>
          </xdr:cNvPr>
          <xdr:cNvSpPr/>
        </xdr:nvSpPr>
        <xdr:spPr>
          <a:xfrm>
            <a:off x="0" y="72271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Rounded Corners 13">
            <a:extLst>
              <a:ext uri="{FF2B5EF4-FFF2-40B4-BE49-F238E27FC236}">
                <a16:creationId xmlns:a16="http://schemas.microsoft.com/office/drawing/2014/main" id="{7031AD32-6DE6-A4AC-6EF3-C32F18C8F571}"/>
              </a:ext>
            </a:extLst>
          </xdr:cNvPr>
          <xdr:cNvSpPr/>
        </xdr:nvSpPr>
        <xdr:spPr>
          <a:xfrm>
            <a:off x="37241" y="74642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5" name="Group 14">
            <a:extLst>
              <a:ext uri="{FF2B5EF4-FFF2-40B4-BE49-F238E27FC236}">
                <a16:creationId xmlns:a16="http://schemas.microsoft.com/office/drawing/2014/main" id="{E7500364-EFE4-1F46-A71D-9A14A8F6CE84}"/>
              </a:ext>
            </a:extLst>
          </xdr:cNvPr>
          <xdr:cNvGrpSpPr/>
        </xdr:nvGrpSpPr>
        <xdr:grpSpPr>
          <a:xfrm>
            <a:off x="189065" y="662940"/>
            <a:ext cx="788458" cy="420508"/>
            <a:chOff x="189065" y="662940"/>
            <a:chExt cx="3638263" cy="2110803"/>
          </a:xfrm>
        </xdr:grpSpPr>
        <xdr:sp macro="" textlink="">
          <xdr:nvSpPr>
            <xdr:cNvPr id="16" name="Freeform: Shape 15">
              <a:extLst>
                <a:ext uri="{FF2B5EF4-FFF2-40B4-BE49-F238E27FC236}">
                  <a16:creationId xmlns:a16="http://schemas.microsoft.com/office/drawing/2014/main" id="{013F47A2-BFFA-FB39-2A52-FB34A9EF0C0C}"/>
                </a:ext>
              </a:extLst>
            </xdr:cNvPr>
            <xdr:cNvSpPr/>
          </xdr:nvSpPr>
          <xdr:spPr>
            <a:xfrm>
              <a:off x="189065" y="67055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18CBF1"/>
                </a:gs>
                <a:gs pos="100000">
                  <a:srgbClr val="3EA7F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F67491AA-31B3-F337-C633-BB012A563379}"/>
                </a:ext>
              </a:extLst>
            </xdr:cNvPr>
            <xdr:cNvSpPr/>
          </xdr:nvSpPr>
          <xdr:spPr>
            <a:xfrm>
              <a:off x="3078560" y="66294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2E9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F820603A-A077-2A99-0374-7FF16072E071}"/>
                </a:ext>
              </a:extLst>
            </xdr:cNvPr>
            <xdr:cNvSpPr/>
          </xdr:nvSpPr>
          <xdr:spPr>
            <a:xfrm rot="10800000">
              <a:off x="192876" y="236230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E81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27</xdr:row>
      <xdr:rowOff>104138</xdr:rowOff>
    </xdr:from>
    <xdr:to>
      <xdr:col>3</xdr:col>
      <xdr:colOff>214177</xdr:colOff>
      <xdr:row>29</xdr:row>
      <xdr:rowOff>166057</xdr:rowOff>
    </xdr:to>
    <xdr:grpSp>
      <xdr:nvGrpSpPr>
        <xdr:cNvPr id="19" name="Group 18">
          <a:extLst>
            <a:ext uri="{FF2B5EF4-FFF2-40B4-BE49-F238E27FC236}">
              <a16:creationId xmlns:a16="http://schemas.microsoft.com/office/drawing/2014/main" id="{935B12F3-7B2E-42DE-BBF5-9F13B325D340}"/>
            </a:ext>
          </a:extLst>
        </xdr:cNvPr>
        <xdr:cNvGrpSpPr/>
      </xdr:nvGrpSpPr>
      <xdr:grpSpPr>
        <a:xfrm>
          <a:off x="152400" y="5247638"/>
          <a:ext cx="1839777" cy="442919"/>
          <a:chOff x="0" y="1318260"/>
          <a:chExt cx="2501522" cy="420508"/>
        </a:xfrm>
        <a:effectLst>
          <a:outerShdw blurRad="50800" dist="38100" dir="8100000" algn="tr"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4CF9BF51-5FF3-B182-52F3-2C18FA419F04}"/>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3040442B-4F61-0B3C-45B5-CB6038284A65}"/>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2" name="Group 21">
            <a:extLst>
              <a:ext uri="{FF2B5EF4-FFF2-40B4-BE49-F238E27FC236}">
                <a16:creationId xmlns:a16="http://schemas.microsoft.com/office/drawing/2014/main" id="{FDC6C43C-1052-F1AE-B7C0-C58A4610271D}"/>
              </a:ext>
            </a:extLst>
          </xdr:cNvPr>
          <xdr:cNvGrpSpPr/>
        </xdr:nvGrpSpPr>
        <xdr:grpSpPr>
          <a:xfrm>
            <a:off x="189065" y="1318260"/>
            <a:ext cx="788458" cy="420508"/>
            <a:chOff x="189065" y="1318260"/>
            <a:chExt cx="3638263" cy="2110803"/>
          </a:xfrm>
        </xdr:grpSpPr>
        <xdr:sp macro="" textlink="">
          <xdr:nvSpPr>
            <xdr:cNvPr id="23" name="Freeform: Shape 22">
              <a:extLst>
                <a:ext uri="{FF2B5EF4-FFF2-40B4-BE49-F238E27FC236}">
                  <a16:creationId xmlns:a16="http://schemas.microsoft.com/office/drawing/2014/main" id="{7A1DB2B4-E994-853D-B272-3F0FBBA02718}"/>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00FAEE"/>
                </a:gs>
                <a:gs pos="100000">
                  <a:srgbClr val="00A8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Freeform: Shape 23">
              <a:extLst>
                <a:ext uri="{FF2B5EF4-FFF2-40B4-BE49-F238E27FC236}">
                  <a16:creationId xmlns:a16="http://schemas.microsoft.com/office/drawing/2014/main" id="{14E7DE73-64E4-2A26-933A-F6FA804DBB99}"/>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C6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C17E5507-903F-F13A-E22E-03F869597BE6}"/>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31</xdr:row>
      <xdr:rowOff>15237</xdr:rowOff>
    </xdr:from>
    <xdr:to>
      <xdr:col>3</xdr:col>
      <xdr:colOff>214177</xdr:colOff>
      <xdr:row>33</xdr:row>
      <xdr:rowOff>77156</xdr:rowOff>
    </xdr:to>
    <xdr:grpSp>
      <xdr:nvGrpSpPr>
        <xdr:cNvPr id="26" name="Group 25">
          <a:extLst>
            <a:ext uri="{FF2B5EF4-FFF2-40B4-BE49-F238E27FC236}">
              <a16:creationId xmlns:a16="http://schemas.microsoft.com/office/drawing/2014/main" id="{3890704E-EEFE-49CA-A62D-3A40553637AE}"/>
            </a:ext>
          </a:extLst>
        </xdr:cNvPr>
        <xdr:cNvGrpSpPr/>
      </xdr:nvGrpSpPr>
      <xdr:grpSpPr>
        <a:xfrm>
          <a:off x="152400" y="5920737"/>
          <a:ext cx="1839777" cy="442919"/>
          <a:chOff x="0" y="1318260"/>
          <a:chExt cx="2501522" cy="420508"/>
        </a:xfrm>
        <a:effectLst>
          <a:outerShdw blurRad="50800" dist="38100" dir="8100000" algn="tr"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6714885B-D90B-A298-76DE-72ED60057F66}"/>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18CD8DC3-406C-00BD-BFE6-6233E9DE35DB}"/>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9" name="Group 28">
            <a:extLst>
              <a:ext uri="{FF2B5EF4-FFF2-40B4-BE49-F238E27FC236}">
                <a16:creationId xmlns:a16="http://schemas.microsoft.com/office/drawing/2014/main" id="{A6B636AD-0AE5-2E28-E162-37140E074FDF}"/>
              </a:ext>
            </a:extLst>
          </xdr:cNvPr>
          <xdr:cNvGrpSpPr/>
        </xdr:nvGrpSpPr>
        <xdr:grpSpPr>
          <a:xfrm>
            <a:off x="189065" y="1318260"/>
            <a:ext cx="788458" cy="420508"/>
            <a:chOff x="189065" y="1318260"/>
            <a:chExt cx="3638263" cy="2110803"/>
          </a:xfrm>
        </xdr:grpSpPr>
        <xdr:sp macro="" textlink="">
          <xdr:nvSpPr>
            <xdr:cNvPr id="30" name="Freeform: Shape 29">
              <a:extLst>
                <a:ext uri="{FF2B5EF4-FFF2-40B4-BE49-F238E27FC236}">
                  <a16:creationId xmlns:a16="http://schemas.microsoft.com/office/drawing/2014/main" id="{D7588E3B-1669-FF34-ECAE-B21933715EE2}"/>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D623A8"/>
                </a:gs>
                <a:gs pos="100000">
                  <a:srgbClr val="76027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FDE90957-E5C9-1854-44AE-79BA15881DA5}"/>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7B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CA65FF0A-F2A1-5C25-7D9E-3BC18C57C868}"/>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4D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403860</xdr:colOff>
      <xdr:row>0</xdr:row>
      <xdr:rowOff>0</xdr:rowOff>
    </xdr:from>
    <xdr:to>
      <xdr:col>23</xdr:col>
      <xdr:colOff>419100</xdr:colOff>
      <xdr:row>38</xdr:row>
      <xdr:rowOff>99060</xdr:rowOff>
    </xdr:to>
    <xdr:sp macro="" textlink="">
      <xdr:nvSpPr>
        <xdr:cNvPr id="33" name="Rectangle 32">
          <a:extLst>
            <a:ext uri="{FF2B5EF4-FFF2-40B4-BE49-F238E27FC236}">
              <a16:creationId xmlns:a16="http://schemas.microsoft.com/office/drawing/2014/main" id="{CAA941E6-C137-4C17-846E-02EF5ADAB834}"/>
            </a:ext>
          </a:extLst>
        </xdr:cNvPr>
        <xdr:cNvSpPr/>
      </xdr:nvSpPr>
      <xdr:spPr>
        <a:xfrm>
          <a:off x="2232660" y="0"/>
          <a:ext cx="12207240" cy="7048500"/>
        </a:xfrm>
        <a:prstGeom prst="rect">
          <a:avLst/>
        </a:prstGeom>
        <a:solidFill>
          <a:schemeClr val="bg1"/>
        </a:solidFill>
        <a:ln>
          <a:noFill/>
        </a:ln>
        <a:effectLst>
          <a:outerShdw blurRad="546100" dist="215900" dir="11700000" algn="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0</xdr:col>
      <xdr:colOff>0</xdr:colOff>
      <xdr:row>1</xdr:row>
      <xdr:rowOff>30480</xdr:rowOff>
    </xdr:from>
    <xdr:to>
      <xdr:col>7</xdr:col>
      <xdr:colOff>205740</xdr:colOff>
      <xdr:row>18</xdr:row>
      <xdr:rowOff>121920</xdr:rowOff>
    </xdr:to>
    <xdr:graphicFrame macro="">
      <xdr:nvGraphicFramePr>
        <xdr:cNvPr id="34" name="Chart 33">
          <a:extLst>
            <a:ext uri="{FF2B5EF4-FFF2-40B4-BE49-F238E27FC236}">
              <a16:creationId xmlns:a16="http://schemas.microsoft.com/office/drawing/2014/main" id="{711360E8-F109-4ADC-A2F2-05283464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129540</xdr:colOff>
      <xdr:row>0</xdr:row>
      <xdr:rowOff>0</xdr:rowOff>
    </xdr:from>
    <xdr:to>
      <xdr:col>23</xdr:col>
      <xdr:colOff>441960</xdr:colOff>
      <xdr:row>14</xdr:row>
      <xdr:rowOff>91440</xdr:rowOff>
    </xdr:to>
    <xdr:sp macro="" textlink="">
      <xdr:nvSpPr>
        <xdr:cNvPr id="35" name="Rectangle 34">
          <a:extLst>
            <a:ext uri="{FF2B5EF4-FFF2-40B4-BE49-F238E27FC236}">
              <a16:creationId xmlns:a16="http://schemas.microsoft.com/office/drawing/2014/main" id="{F7FB457C-A92F-48D9-BD71-4AB6A08064A8}"/>
            </a:ext>
          </a:extLst>
        </xdr:cNvPr>
        <xdr:cNvSpPr/>
      </xdr:nvSpPr>
      <xdr:spPr>
        <a:xfrm>
          <a:off x="10492740" y="0"/>
          <a:ext cx="3970020" cy="2651760"/>
        </a:xfrm>
        <a:prstGeom prst="rect">
          <a:avLst/>
        </a:prstGeom>
        <a:solidFill>
          <a:srgbClr val="052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22</xdr:col>
      <xdr:colOff>508635</xdr:colOff>
      <xdr:row>0</xdr:row>
      <xdr:rowOff>7620</xdr:rowOff>
    </xdr:from>
    <xdr:to>
      <xdr:col>23</xdr:col>
      <xdr:colOff>443865</xdr:colOff>
      <xdr:row>5</xdr:row>
      <xdr:rowOff>144780</xdr:rowOff>
    </xdr:to>
    <xdr:sp macro="" textlink="">
      <xdr:nvSpPr>
        <xdr:cNvPr id="36" name="Right Triangle 35">
          <a:extLst>
            <a:ext uri="{FF2B5EF4-FFF2-40B4-BE49-F238E27FC236}">
              <a16:creationId xmlns:a16="http://schemas.microsoft.com/office/drawing/2014/main" id="{6CCE2C8C-E209-4060-9055-ABCE07192997}"/>
            </a:ext>
          </a:extLst>
        </xdr:cNvPr>
        <xdr:cNvSpPr/>
      </xdr:nvSpPr>
      <xdr:spPr>
        <a:xfrm rot="10800000">
          <a:off x="13919835" y="7620"/>
          <a:ext cx="544830" cy="1051560"/>
        </a:xfrm>
        <a:prstGeom prst="rtTriangle">
          <a:avLst/>
        </a:prstGeom>
        <a:solidFill>
          <a:srgbClr val="0075AA">
            <a:alpha val="79000"/>
          </a:srgb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23</xdr:col>
      <xdr:colOff>51054</xdr:colOff>
      <xdr:row>2</xdr:row>
      <xdr:rowOff>129540</xdr:rowOff>
    </xdr:from>
    <xdr:to>
      <xdr:col>23</xdr:col>
      <xdr:colOff>436626</xdr:colOff>
      <xdr:row>9</xdr:row>
      <xdr:rowOff>121920</xdr:rowOff>
    </xdr:to>
    <xdr:sp macro="" textlink="">
      <xdr:nvSpPr>
        <xdr:cNvPr id="37" name="Right Triangle 36">
          <a:extLst>
            <a:ext uri="{FF2B5EF4-FFF2-40B4-BE49-F238E27FC236}">
              <a16:creationId xmlns:a16="http://schemas.microsoft.com/office/drawing/2014/main" id="{C7C5AB8F-EB6E-4377-9B8B-541D5EF67DEB}"/>
            </a:ext>
          </a:extLst>
        </xdr:cNvPr>
        <xdr:cNvSpPr/>
      </xdr:nvSpPr>
      <xdr:spPr>
        <a:xfrm flipH="1">
          <a:off x="14071854" y="495300"/>
          <a:ext cx="385572" cy="1272540"/>
        </a:xfrm>
        <a:prstGeom prst="rtTriangle">
          <a:avLst/>
        </a:prstGeom>
        <a:solidFill>
          <a:srgbClr val="CBF7FF">
            <a:alpha val="68000"/>
          </a:srgb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312420</xdr:colOff>
      <xdr:row>0</xdr:row>
      <xdr:rowOff>152400</xdr:rowOff>
    </xdr:from>
    <xdr:to>
      <xdr:col>22</xdr:col>
      <xdr:colOff>373380</xdr:colOff>
      <xdr:row>7</xdr:row>
      <xdr:rowOff>152400</xdr:rowOff>
    </xdr:to>
    <xdr:sp macro="" textlink="">
      <xdr:nvSpPr>
        <xdr:cNvPr id="38" name="Oval 37">
          <a:extLst>
            <a:ext uri="{FF2B5EF4-FFF2-40B4-BE49-F238E27FC236}">
              <a16:creationId xmlns:a16="http://schemas.microsoft.com/office/drawing/2014/main" id="{5B7124B4-BA7C-4443-83A3-6998F53295ED}"/>
            </a:ext>
          </a:extLst>
        </xdr:cNvPr>
        <xdr:cNvSpPr/>
      </xdr:nvSpPr>
      <xdr:spPr>
        <a:xfrm>
          <a:off x="12504420" y="152400"/>
          <a:ext cx="1280160" cy="1280160"/>
        </a:xfrm>
        <a:prstGeom prst="ellipse">
          <a:avLst/>
        </a:prstGeom>
        <a:solidFill>
          <a:schemeClr val="tx2">
            <a:lumMod val="10000"/>
            <a:lumOff val="90000"/>
          </a:schemeClr>
        </a:solidFill>
        <a:ln>
          <a:noFill/>
        </a:ln>
        <a:effectLst>
          <a:outerShdw blurRad="50800" dist="762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228600</xdr:colOff>
      <xdr:row>0</xdr:row>
      <xdr:rowOff>22860</xdr:rowOff>
    </xdr:from>
    <xdr:to>
      <xdr:col>24</xdr:col>
      <xdr:colOff>53340</xdr:colOff>
      <xdr:row>8</xdr:row>
      <xdr:rowOff>91440</xdr:rowOff>
    </xdr:to>
    <xdr:graphicFrame macro="">
      <xdr:nvGraphicFramePr>
        <xdr:cNvPr id="39" name="Chart 38">
          <a:extLst>
            <a:ext uri="{FF2B5EF4-FFF2-40B4-BE49-F238E27FC236}">
              <a16:creationId xmlns:a16="http://schemas.microsoft.com/office/drawing/2014/main" id="{866DF86B-36DE-48F0-9785-178E194F1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22860</xdr:colOff>
      <xdr:row>2</xdr:row>
      <xdr:rowOff>99060</xdr:rowOff>
    </xdr:from>
    <xdr:to>
      <xdr:col>22</xdr:col>
      <xdr:colOff>53340</xdr:colOff>
      <xdr:row>6</xdr:row>
      <xdr:rowOff>7620</xdr:rowOff>
    </xdr:to>
    <xdr:grpSp>
      <xdr:nvGrpSpPr>
        <xdr:cNvPr id="40" name="Group 39">
          <a:extLst>
            <a:ext uri="{FF2B5EF4-FFF2-40B4-BE49-F238E27FC236}">
              <a16:creationId xmlns:a16="http://schemas.microsoft.com/office/drawing/2014/main" id="{4C1D13DB-8792-474E-92C6-983DC3D47634}"/>
            </a:ext>
          </a:extLst>
        </xdr:cNvPr>
        <xdr:cNvGrpSpPr/>
      </xdr:nvGrpSpPr>
      <xdr:grpSpPr>
        <a:xfrm>
          <a:off x="12468860" y="480060"/>
          <a:ext cx="623147" cy="670560"/>
          <a:chOff x="12839700" y="472440"/>
          <a:chExt cx="640080" cy="640080"/>
        </a:xfrm>
      </xdr:grpSpPr>
      <xdr:sp macro="" textlink="">
        <xdr:nvSpPr>
          <xdr:cNvPr id="41" name="Oval 40">
            <a:extLst>
              <a:ext uri="{FF2B5EF4-FFF2-40B4-BE49-F238E27FC236}">
                <a16:creationId xmlns:a16="http://schemas.microsoft.com/office/drawing/2014/main" id="{6AB653F8-089F-D48C-5B9C-EA4EB34C51EC}"/>
              </a:ext>
            </a:extLst>
          </xdr:cNvPr>
          <xdr:cNvSpPr/>
        </xdr:nvSpPr>
        <xdr:spPr>
          <a:xfrm>
            <a:off x="12839700" y="472440"/>
            <a:ext cx="640080" cy="640080"/>
          </a:xfrm>
          <a:prstGeom prst="ellipse">
            <a:avLst/>
          </a:prstGeom>
          <a:solidFill>
            <a:schemeClr val="bg1"/>
          </a:solidFill>
          <a:ln>
            <a:noFill/>
          </a:ln>
          <a:effectLst>
            <a:innerShdw blurRad="279400">
              <a:schemeClr val="tx2">
                <a:lumMod val="25000"/>
                <a:lumOff val="7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2" name="Circle: Hollow 41">
            <a:extLst>
              <a:ext uri="{FF2B5EF4-FFF2-40B4-BE49-F238E27FC236}">
                <a16:creationId xmlns:a16="http://schemas.microsoft.com/office/drawing/2014/main" id="{C6F9D646-91E2-3C0B-6391-8507D8292171}"/>
              </a:ext>
            </a:extLst>
          </xdr:cNvPr>
          <xdr:cNvSpPr/>
        </xdr:nvSpPr>
        <xdr:spPr>
          <a:xfrm>
            <a:off x="12839700" y="472440"/>
            <a:ext cx="640080" cy="640080"/>
          </a:xfrm>
          <a:prstGeom prst="donut">
            <a:avLst>
              <a:gd name="adj" fmla="val 6442"/>
            </a:avLst>
          </a:prstGeom>
          <a:solidFill>
            <a:schemeClr val="bg1"/>
          </a:solidFill>
          <a:ln>
            <a:noFill/>
          </a:ln>
          <a:effectLst>
            <a:outerShdw blurRad="63500" sx="102000" sy="102000" algn="ctr"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solidFill>
                <a:schemeClr val="tx1"/>
              </a:solidFill>
            </a:endParaRPr>
          </a:p>
        </xdr:txBody>
      </xdr:sp>
    </xdr:grpSp>
    <xdr:clientData/>
  </xdr:twoCellAnchor>
  <xdr:twoCellAnchor>
    <xdr:from>
      <xdr:col>6</xdr:col>
      <xdr:colOff>15240</xdr:colOff>
      <xdr:row>3</xdr:row>
      <xdr:rowOff>38100</xdr:rowOff>
    </xdr:from>
    <xdr:to>
      <xdr:col>6</xdr:col>
      <xdr:colOff>472440</xdr:colOff>
      <xdr:row>5</xdr:row>
      <xdr:rowOff>129540</xdr:rowOff>
    </xdr:to>
    <xdr:sp macro="" textlink="">
      <xdr:nvSpPr>
        <xdr:cNvPr id="50" name="Oval 49">
          <a:extLst>
            <a:ext uri="{FF2B5EF4-FFF2-40B4-BE49-F238E27FC236}">
              <a16:creationId xmlns:a16="http://schemas.microsoft.com/office/drawing/2014/main" id="{18B9D8E5-1A84-4B2E-A53A-DD9C52408080}"/>
            </a:ext>
          </a:extLst>
        </xdr:cNvPr>
        <xdr:cNvSpPr/>
      </xdr:nvSpPr>
      <xdr:spPr>
        <a:xfrm>
          <a:off x="3672840" y="586740"/>
          <a:ext cx="457200" cy="457200"/>
        </a:xfrm>
        <a:prstGeom prst="ellipse">
          <a:avLst/>
        </a:prstGeom>
        <a:solidFill>
          <a:srgbClr val="06A9E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281940</xdr:colOff>
      <xdr:row>8</xdr:row>
      <xdr:rowOff>152400</xdr:rowOff>
    </xdr:from>
    <xdr:to>
      <xdr:col>7</xdr:col>
      <xdr:colOff>129540</xdr:colOff>
      <xdr:row>11</xdr:row>
      <xdr:rowOff>60960</xdr:rowOff>
    </xdr:to>
    <xdr:sp macro="" textlink="">
      <xdr:nvSpPr>
        <xdr:cNvPr id="51" name="Oval 50">
          <a:extLst>
            <a:ext uri="{FF2B5EF4-FFF2-40B4-BE49-F238E27FC236}">
              <a16:creationId xmlns:a16="http://schemas.microsoft.com/office/drawing/2014/main" id="{1D6BD025-F1A2-4F86-8855-7F711B755805}"/>
            </a:ext>
          </a:extLst>
        </xdr:cNvPr>
        <xdr:cNvSpPr/>
      </xdr:nvSpPr>
      <xdr:spPr>
        <a:xfrm>
          <a:off x="3939540" y="1615440"/>
          <a:ext cx="457200" cy="457200"/>
        </a:xfrm>
        <a:prstGeom prst="ellipse">
          <a:avLst/>
        </a:prstGeom>
        <a:solidFill>
          <a:srgbClr val="0075A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6</xdr:col>
      <xdr:colOff>22860</xdr:colOff>
      <xdr:row>14</xdr:row>
      <xdr:rowOff>53340</xdr:rowOff>
    </xdr:from>
    <xdr:to>
      <xdr:col>6</xdr:col>
      <xdr:colOff>480060</xdr:colOff>
      <xdr:row>16</xdr:row>
      <xdr:rowOff>144780</xdr:rowOff>
    </xdr:to>
    <xdr:sp macro="" textlink="">
      <xdr:nvSpPr>
        <xdr:cNvPr id="52" name="Oval 51">
          <a:extLst>
            <a:ext uri="{FF2B5EF4-FFF2-40B4-BE49-F238E27FC236}">
              <a16:creationId xmlns:a16="http://schemas.microsoft.com/office/drawing/2014/main" id="{DC08DD6F-A6FF-40EC-B43E-B74529B02594}"/>
            </a:ext>
          </a:extLst>
        </xdr:cNvPr>
        <xdr:cNvSpPr/>
      </xdr:nvSpPr>
      <xdr:spPr>
        <a:xfrm>
          <a:off x="3680460" y="2613660"/>
          <a:ext cx="457200" cy="457200"/>
        </a:xfrm>
        <a:prstGeom prst="ellipse">
          <a:avLst/>
        </a:prstGeom>
        <a:solidFill>
          <a:srgbClr val="B9F5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b="1" kern="1200">
            <a:solidFill>
              <a:schemeClr val="lt1"/>
            </a:solidFill>
            <a:latin typeface="+mn-lt"/>
            <a:ea typeface="+mn-ea"/>
            <a:cs typeface="+mn-cs"/>
          </a:endParaRPr>
        </a:p>
      </xdr:txBody>
    </xdr:sp>
    <xdr:clientData/>
  </xdr:twoCellAnchor>
  <xdr:twoCellAnchor>
    <xdr:from>
      <xdr:col>6</xdr:col>
      <xdr:colOff>472440</xdr:colOff>
      <xdr:row>1</xdr:row>
      <xdr:rowOff>76200</xdr:rowOff>
    </xdr:from>
    <xdr:to>
      <xdr:col>7</xdr:col>
      <xdr:colOff>266700</xdr:colOff>
      <xdr:row>3</xdr:row>
      <xdr:rowOff>114300</xdr:rowOff>
    </xdr:to>
    <xdr:sp macro="" textlink="">
      <xdr:nvSpPr>
        <xdr:cNvPr id="53" name="Oval 52">
          <a:extLst>
            <a:ext uri="{FF2B5EF4-FFF2-40B4-BE49-F238E27FC236}">
              <a16:creationId xmlns:a16="http://schemas.microsoft.com/office/drawing/2014/main" id="{C51AC360-7F5B-478F-AD93-4828A52CE225}"/>
            </a:ext>
          </a:extLst>
        </xdr:cNvPr>
        <xdr:cNvSpPr/>
      </xdr:nvSpPr>
      <xdr:spPr>
        <a:xfrm>
          <a:off x="4130040" y="259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400" b="1" kern="1200">
              <a:solidFill>
                <a:schemeClr val="tx2">
                  <a:lumMod val="75000"/>
                  <a:lumOff val="25000"/>
                </a:schemeClr>
              </a:solidFill>
            </a:rPr>
            <a:t>A</a:t>
          </a:r>
          <a:endParaRPr lang="ru-RU" sz="2400" b="1" kern="1200">
            <a:solidFill>
              <a:schemeClr val="tx2">
                <a:lumMod val="75000"/>
                <a:lumOff val="25000"/>
              </a:schemeClr>
            </a:solidFill>
          </a:endParaRPr>
        </a:p>
      </xdr:txBody>
    </xdr:sp>
    <xdr:clientData/>
  </xdr:twoCellAnchor>
  <xdr:twoCellAnchor>
    <xdr:from>
      <xdr:col>7</xdr:col>
      <xdr:colOff>213360</xdr:colOff>
      <xdr:row>8</xdr:row>
      <xdr:rowOff>175260</xdr:rowOff>
    </xdr:from>
    <xdr:to>
      <xdr:col>8</xdr:col>
      <xdr:colOff>7620</xdr:colOff>
      <xdr:row>11</xdr:row>
      <xdr:rowOff>30480</xdr:rowOff>
    </xdr:to>
    <xdr:sp macro="" textlink="">
      <xdr:nvSpPr>
        <xdr:cNvPr id="54" name="Oval 53">
          <a:extLst>
            <a:ext uri="{FF2B5EF4-FFF2-40B4-BE49-F238E27FC236}">
              <a16:creationId xmlns:a16="http://schemas.microsoft.com/office/drawing/2014/main" id="{AB51D5BE-AC5E-4296-A99F-FCCAF33B31F5}"/>
            </a:ext>
          </a:extLst>
        </xdr:cNvPr>
        <xdr:cNvSpPr/>
      </xdr:nvSpPr>
      <xdr:spPr>
        <a:xfrm>
          <a:off x="4480560" y="163830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B</a:t>
          </a:r>
          <a:endParaRPr lang="ru-RU" sz="2400" b="1" kern="1200">
            <a:solidFill>
              <a:schemeClr val="tx2">
                <a:lumMod val="75000"/>
                <a:lumOff val="25000"/>
              </a:schemeClr>
            </a:solidFill>
            <a:latin typeface="+mn-lt"/>
            <a:ea typeface="+mn-ea"/>
            <a:cs typeface="+mn-cs"/>
          </a:endParaRPr>
        </a:p>
      </xdr:txBody>
    </xdr:sp>
    <xdr:clientData/>
  </xdr:twoCellAnchor>
  <xdr:twoCellAnchor>
    <xdr:from>
      <xdr:col>6</xdr:col>
      <xdr:colOff>457200</xdr:colOff>
      <xdr:row>16</xdr:row>
      <xdr:rowOff>114300</xdr:rowOff>
    </xdr:from>
    <xdr:to>
      <xdr:col>7</xdr:col>
      <xdr:colOff>251460</xdr:colOff>
      <xdr:row>18</xdr:row>
      <xdr:rowOff>152400</xdr:rowOff>
    </xdr:to>
    <xdr:sp macro="" textlink="">
      <xdr:nvSpPr>
        <xdr:cNvPr id="55" name="Oval 54">
          <a:extLst>
            <a:ext uri="{FF2B5EF4-FFF2-40B4-BE49-F238E27FC236}">
              <a16:creationId xmlns:a16="http://schemas.microsoft.com/office/drawing/2014/main" id="{FA8D9D9C-1B64-407D-839F-409583043E1D}"/>
            </a:ext>
          </a:extLst>
        </xdr:cNvPr>
        <xdr:cNvSpPr/>
      </xdr:nvSpPr>
      <xdr:spPr>
        <a:xfrm>
          <a:off x="4114800" y="30403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C</a:t>
          </a:r>
          <a:endParaRPr lang="ru-RU" sz="2400" b="1" kern="1200">
            <a:solidFill>
              <a:schemeClr val="tx2">
                <a:lumMod val="75000"/>
                <a:lumOff val="25000"/>
              </a:schemeClr>
            </a:solidFill>
            <a:latin typeface="+mn-lt"/>
            <a:ea typeface="+mn-ea"/>
            <a:cs typeface="+mn-cs"/>
          </a:endParaRPr>
        </a:p>
      </xdr:txBody>
    </xdr:sp>
    <xdr:clientData/>
  </xdr:twoCellAnchor>
  <xdr:oneCellAnchor>
    <xdr:from>
      <xdr:col>7</xdr:col>
      <xdr:colOff>416694</xdr:colOff>
      <xdr:row>0</xdr:row>
      <xdr:rowOff>0</xdr:rowOff>
    </xdr:from>
    <xdr:ext cx="6152216" cy="598690"/>
    <xdr:sp macro="" textlink="">
      <xdr:nvSpPr>
        <xdr:cNvPr id="56" name="Rectangle 55">
          <a:extLst>
            <a:ext uri="{FF2B5EF4-FFF2-40B4-BE49-F238E27FC236}">
              <a16:creationId xmlns:a16="http://schemas.microsoft.com/office/drawing/2014/main" id="{FF0B0749-54BA-4989-8922-B61E0DABDE9C}"/>
            </a:ext>
          </a:extLst>
        </xdr:cNvPr>
        <xdr:cNvSpPr/>
      </xdr:nvSpPr>
      <xdr:spPr>
        <a:xfrm>
          <a:off x="4683894" y="0"/>
          <a:ext cx="6152216" cy="598690"/>
        </a:xfrm>
        <a:prstGeom prst="rect">
          <a:avLst/>
        </a:prstGeom>
        <a:noFill/>
        <a:ln>
          <a:noFill/>
        </a:ln>
        <a:effectLst/>
      </xdr:spPr>
      <xdr:txBody>
        <a:bodyPr wrap="square" lIns="91440" tIns="45720" rIns="91440" bIns="45720">
          <a:spAutoFit/>
        </a:bodyPr>
        <a:lstStyle/>
        <a:p>
          <a:pPr algn="ctr"/>
          <a:r>
            <a:rPr lang="pl-PL"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Point Of Sales</a:t>
          </a:r>
          <a:endParaRPr lang="en-US"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endParaRPr>
        </a:p>
      </xdr:txBody>
    </xdr:sp>
    <xdr:clientData/>
  </xdr:oneCellAnchor>
  <xdr:twoCellAnchor>
    <xdr:from>
      <xdr:col>5</xdr:col>
      <xdr:colOff>556260</xdr:colOff>
      <xdr:row>14</xdr:row>
      <xdr:rowOff>121920</xdr:rowOff>
    </xdr:from>
    <xdr:to>
      <xdr:col>6</xdr:col>
      <xdr:colOff>563880</xdr:colOff>
      <xdr:row>16</xdr:row>
      <xdr:rowOff>60960</xdr:rowOff>
    </xdr:to>
    <xdr:sp macro="" textlink="Processing!B3">
      <xdr:nvSpPr>
        <xdr:cNvPr id="58" name="TextBox 57">
          <a:extLst>
            <a:ext uri="{FF2B5EF4-FFF2-40B4-BE49-F238E27FC236}">
              <a16:creationId xmlns:a16="http://schemas.microsoft.com/office/drawing/2014/main" id="{53949C67-8605-40D3-8B9D-C7EEA031AF24}"/>
            </a:ext>
          </a:extLst>
        </xdr:cNvPr>
        <xdr:cNvSpPr txBox="1"/>
      </xdr:nvSpPr>
      <xdr:spPr>
        <a:xfrm>
          <a:off x="3604260" y="268224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C542D-35F1-4AB8-9684-48687BB1F6B9}" type="TxLink">
            <a:rPr lang="en-US" sz="1400" b="1" i="0" u="none" strike="noStrike" kern="1200">
              <a:solidFill>
                <a:srgbClr val="0075AA"/>
              </a:solidFill>
              <a:latin typeface="Aptos Narrow"/>
            </a:rPr>
            <a:pPr algn="ctr"/>
            <a:t>44%</a:t>
          </a:fld>
          <a:endParaRPr lang="ru-RU" sz="1400" b="1" kern="1200">
            <a:solidFill>
              <a:srgbClr val="0075AA"/>
            </a:solidFill>
          </a:endParaRPr>
        </a:p>
      </xdr:txBody>
    </xdr:sp>
    <xdr:clientData/>
  </xdr:twoCellAnchor>
  <xdr:twoCellAnchor>
    <xdr:from>
      <xdr:col>6</xdr:col>
      <xdr:colOff>148552</xdr:colOff>
      <xdr:row>8</xdr:row>
      <xdr:rowOff>127938</xdr:rowOff>
    </xdr:from>
    <xdr:to>
      <xdr:col>7</xdr:col>
      <xdr:colOff>285788</xdr:colOff>
      <xdr:row>11</xdr:row>
      <xdr:rowOff>70182</xdr:rowOff>
    </xdr:to>
    <xdr:sp macro="" textlink="Processing!B4">
      <xdr:nvSpPr>
        <xdr:cNvPr id="59" name="TextBox 58">
          <a:extLst>
            <a:ext uri="{FF2B5EF4-FFF2-40B4-BE49-F238E27FC236}">
              <a16:creationId xmlns:a16="http://schemas.microsoft.com/office/drawing/2014/main" id="{4A1EEB83-68A5-4CBA-89DD-28CCDF4DCA93}"/>
            </a:ext>
          </a:extLst>
        </xdr:cNvPr>
        <xdr:cNvSpPr txBox="1"/>
      </xdr:nvSpPr>
      <xdr:spPr>
        <a:xfrm>
          <a:off x="3806152" y="1590978"/>
          <a:ext cx="746836" cy="49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C59C6-B73C-4885-A2B4-D97D564F334A}" type="TxLink">
            <a:rPr lang="en-US" sz="1400" b="1" i="0" u="none" strike="noStrike" kern="1200">
              <a:solidFill>
                <a:schemeClr val="bg1"/>
              </a:solidFill>
              <a:latin typeface="Aptos Narrow"/>
            </a:rPr>
            <a:pPr algn="ctr"/>
            <a:t>31%</a:t>
          </a:fld>
          <a:endParaRPr lang="ru-RU" sz="1600" b="1" kern="1200">
            <a:solidFill>
              <a:schemeClr val="bg1"/>
            </a:solidFill>
          </a:endParaRPr>
        </a:p>
      </xdr:txBody>
    </xdr:sp>
    <xdr:clientData/>
  </xdr:twoCellAnchor>
  <xdr:twoCellAnchor>
    <xdr:from>
      <xdr:col>5</xdr:col>
      <xdr:colOff>548640</xdr:colOff>
      <xdr:row>3</xdr:row>
      <xdr:rowOff>99060</xdr:rowOff>
    </xdr:from>
    <xdr:to>
      <xdr:col>6</xdr:col>
      <xdr:colOff>556260</xdr:colOff>
      <xdr:row>5</xdr:row>
      <xdr:rowOff>38100</xdr:rowOff>
    </xdr:to>
    <xdr:sp macro="" textlink="Processing!B5">
      <xdr:nvSpPr>
        <xdr:cNvPr id="60" name="TextBox 59">
          <a:extLst>
            <a:ext uri="{FF2B5EF4-FFF2-40B4-BE49-F238E27FC236}">
              <a16:creationId xmlns:a16="http://schemas.microsoft.com/office/drawing/2014/main" id="{D24236B3-E335-432B-8E8A-21C71465C0A6}"/>
            </a:ext>
          </a:extLst>
        </xdr:cNvPr>
        <xdr:cNvSpPr txBox="1"/>
      </xdr:nvSpPr>
      <xdr:spPr>
        <a:xfrm>
          <a:off x="3596640" y="64770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9BCA5-D2E1-4F75-9AA4-753F08AB4141}" type="TxLink">
            <a:rPr lang="en-US" sz="1400" b="1" i="0" u="none" strike="noStrike" kern="1200">
              <a:solidFill>
                <a:schemeClr val="bg1"/>
              </a:solidFill>
              <a:latin typeface="Aptos Narrow"/>
            </a:rPr>
            <a:pPr algn="ctr"/>
            <a:t>64%</a:t>
          </a:fld>
          <a:endParaRPr lang="ru-RU" sz="1600" b="1" kern="1200">
            <a:solidFill>
              <a:schemeClr val="bg1"/>
            </a:solidFill>
          </a:endParaRPr>
        </a:p>
      </xdr:txBody>
    </xdr:sp>
    <xdr:clientData/>
  </xdr:twoCellAnchor>
  <xdr:twoCellAnchor>
    <xdr:from>
      <xdr:col>3</xdr:col>
      <xdr:colOff>403860</xdr:colOff>
      <xdr:row>13</xdr:row>
      <xdr:rowOff>68580</xdr:rowOff>
    </xdr:from>
    <xdr:to>
      <xdr:col>3</xdr:col>
      <xdr:colOff>601980</xdr:colOff>
      <xdr:row>18</xdr:row>
      <xdr:rowOff>83820</xdr:rowOff>
    </xdr:to>
    <xdr:sp macro="" textlink="">
      <xdr:nvSpPr>
        <xdr:cNvPr id="61" name="Rectangle 60">
          <a:extLst>
            <a:ext uri="{FF2B5EF4-FFF2-40B4-BE49-F238E27FC236}">
              <a16:creationId xmlns:a16="http://schemas.microsoft.com/office/drawing/2014/main" id="{A996FA1C-32AB-4E8A-A563-F06F799F3057}"/>
            </a:ext>
          </a:extLst>
        </xdr:cNvPr>
        <xdr:cNvSpPr/>
      </xdr:nvSpPr>
      <xdr:spPr>
        <a:xfrm>
          <a:off x="2232660" y="2446020"/>
          <a:ext cx="198120" cy="929640"/>
        </a:xfrm>
        <a:prstGeom prst="rect">
          <a:avLst/>
        </a:prstGeom>
        <a:solidFill>
          <a:schemeClr val="bg1"/>
        </a:solidFill>
        <a:ln>
          <a:noFill/>
        </a:ln>
        <a:effectLst>
          <a:outerShdw blurRad="152400" dist="1524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3</xdr:col>
      <xdr:colOff>403860</xdr:colOff>
      <xdr:row>12</xdr:row>
      <xdr:rowOff>7620</xdr:rowOff>
    </xdr:from>
    <xdr:to>
      <xdr:col>4</xdr:col>
      <xdr:colOff>7620</xdr:colOff>
      <xdr:row>19</xdr:row>
      <xdr:rowOff>152400</xdr:rowOff>
    </xdr:to>
    <xdr:sp macro="" textlink="">
      <xdr:nvSpPr>
        <xdr:cNvPr id="62" name="Rectangle 61">
          <a:extLst>
            <a:ext uri="{FF2B5EF4-FFF2-40B4-BE49-F238E27FC236}">
              <a16:creationId xmlns:a16="http://schemas.microsoft.com/office/drawing/2014/main" id="{64EB0C35-5DE5-4F44-8B0D-961BB374C230}"/>
            </a:ext>
          </a:extLst>
        </xdr:cNvPr>
        <xdr:cNvSpPr/>
      </xdr:nvSpPr>
      <xdr:spPr>
        <a:xfrm>
          <a:off x="2232660" y="2202180"/>
          <a:ext cx="213360" cy="142494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editAs="oneCell">
    <xdr:from>
      <xdr:col>17</xdr:col>
      <xdr:colOff>190500</xdr:colOff>
      <xdr:row>10</xdr:row>
      <xdr:rowOff>121921</xdr:rowOff>
    </xdr:from>
    <xdr:to>
      <xdr:col>23</xdr:col>
      <xdr:colOff>434340</xdr:colOff>
      <xdr:row>13</xdr:row>
      <xdr:rowOff>160020</xdr:rowOff>
    </xdr:to>
    <mc:AlternateContent xmlns:mc="http://schemas.openxmlformats.org/markup-compatibility/2006" xmlns:a14="http://schemas.microsoft.com/office/drawing/2010/main">
      <mc:Choice Requires="a14">
        <xdr:graphicFrame macro="">
          <xdr:nvGraphicFramePr>
            <xdr:cNvPr id="65" name="Month 2">
              <a:extLst>
                <a:ext uri="{FF2B5EF4-FFF2-40B4-BE49-F238E27FC236}">
                  <a16:creationId xmlns:a16="http://schemas.microsoft.com/office/drawing/2014/main" id="{8D9829C9-D4EC-4FF4-8BCD-51765F6344E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553700" y="1914862"/>
              <a:ext cx="3901440" cy="5759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8</xdr:row>
      <xdr:rowOff>106681</xdr:rowOff>
    </xdr:from>
    <xdr:to>
      <xdr:col>20</xdr:col>
      <xdr:colOff>30480</xdr:colOff>
      <xdr:row>10</xdr:row>
      <xdr:rowOff>106680</xdr:rowOff>
    </xdr:to>
    <mc:AlternateContent xmlns:mc="http://schemas.openxmlformats.org/markup-compatibility/2006" xmlns:a14="http://schemas.microsoft.com/office/drawing/2010/main">
      <mc:Choice Requires="a14">
        <xdr:graphicFrame macro="">
          <xdr:nvGraphicFramePr>
            <xdr:cNvPr id="66" name="Product 1">
              <a:extLst>
                <a:ext uri="{FF2B5EF4-FFF2-40B4-BE49-F238E27FC236}">
                  <a16:creationId xmlns:a16="http://schemas.microsoft.com/office/drawing/2014/main" id="{93AF752D-1C41-4D88-BE81-3D40DB0FA4E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668000" y="1541034"/>
              <a:ext cx="1554480" cy="35858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8</xdr:row>
      <xdr:rowOff>106681</xdr:rowOff>
    </xdr:from>
    <xdr:to>
      <xdr:col>23</xdr:col>
      <xdr:colOff>434340</xdr:colOff>
      <xdr:row>10</xdr:row>
      <xdr:rowOff>106681</xdr:rowOff>
    </xdr:to>
    <mc:AlternateContent xmlns:mc="http://schemas.openxmlformats.org/markup-compatibility/2006" xmlns:a14="http://schemas.microsoft.com/office/drawing/2010/main">
      <mc:Choice Requires="a14">
        <xdr:graphicFrame macro="">
          <xdr:nvGraphicFramePr>
            <xdr:cNvPr id="67" name="Year 1">
              <a:extLst>
                <a:ext uri="{FF2B5EF4-FFF2-40B4-BE49-F238E27FC236}">
                  <a16:creationId xmlns:a16="http://schemas.microsoft.com/office/drawing/2014/main" id="{403AA642-33A6-46D6-9F21-ED228DBF896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26340" y="1541034"/>
              <a:ext cx="1828800" cy="35858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0</xdr:row>
      <xdr:rowOff>45720</xdr:rowOff>
    </xdr:from>
    <xdr:to>
      <xdr:col>20</xdr:col>
      <xdr:colOff>213360</xdr:colOff>
      <xdr:row>2</xdr:row>
      <xdr:rowOff>144780</xdr:rowOff>
    </xdr:to>
    <xdr:sp macro="" textlink="Processing!C12">
      <xdr:nvSpPr>
        <xdr:cNvPr id="68" name="TextBox 67">
          <a:extLst>
            <a:ext uri="{FF2B5EF4-FFF2-40B4-BE49-F238E27FC236}">
              <a16:creationId xmlns:a16="http://schemas.microsoft.com/office/drawing/2014/main" id="{588FA673-1E31-4AB2-8BFD-BB3679571F8F}"/>
            </a:ext>
          </a:extLst>
        </xdr:cNvPr>
        <xdr:cNvSpPr txBox="1"/>
      </xdr:nvSpPr>
      <xdr:spPr>
        <a:xfrm>
          <a:off x="10683240" y="45720"/>
          <a:ext cx="17221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E1BFE-00CC-48C5-AB03-5B68B5206D7E}" type="TxLink">
            <a:rPr lang="en-US" sz="3200" b="0" i="0" u="none" strike="noStrike" kern="1200">
              <a:solidFill>
                <a:schemeClr val="bg1"/>
              </a:solidFill>
              <a:latin typeface="Aptos Narrow"/>
            </a:rPr>
            <a:pPr/>
            <a:t>$ 2.0 M</a:t>
          </a:fld>
          <a:endParaRPr lang="ru-RU" sz="3200" kern="1200">
            <a:solidFill>
              <a:schemeClr val="bg1"/>
            </a:solidFill>
          </a:endParaRPr>
        </a:p>
      </xdr:txBody>
    </xdr:sp>
    <xdr:clientData/>
  </xdr:twoCellAnchor>
  <xdr:twoCellAnchor>
    <xdr:from>
      <xdr:col>20</xdr:col>
      <xdr:colOff>552332</xdr:colOff>
      <xdr:row>3</xdr:row>
      <xdr:rowOff>81291</xdr:rowOff>
    </xdr:from>
    <xdr:to>
      <xdr:col>22</xdr:col>
      <xdr:colOff>125848</xdr:colOff>
      <xdr:row>5</xdr:row>
      <xdr:rowOff>33009</xdr:rowOff>
    </xdr:to>
    <xdr:sp macro="" textlink="Processing!A12">
      <xdr:nvSpPr>
        <xdr:cNvPr id="69" name="TextBox 68">
          <a:extLst>
            <a:ext uri="{FF2B5EF4-FFF2-40B4-BE49-F238E27FC236}">
              <a16:creationId xmlns:a16="http://schemas.microsoft.com/office/drawing/2014/main" id="{5B9AE655-6F69-4424-B76F-D2F8CB8DB292}"/>
            </a:ext>
          </a:extLst>
        </xdr:cNvPr>
        <xdr:cNvSpPr txBox="1"/>
      </xdr:nvSpPr>
      <xdr:spPr>
        <a:xfrm>
          <a:off x="12744332" y="629931"/>
          <a:ext cx="792716"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1959B-1540-4DE1-AF44-4FD0DE18A8F6}" type="TxLink">
            <a:rPr lang="en-US" sz="1100" b="1" i="0" u="none" strike="noStrike" kern="1200">
              <a:solidFill>
                <a:schemeClr val="tx2">
                  <a:lumMod val="75000"/>
                  <a:lumOff val="25000"/>
                </a:schemeClr>
              </a:solidFill>
              <a:latin typeface="Aptos Narrow"/>
            </a:rPr>
            <a:pPr algn="ctr"/>
            <a:t>SALES</a:t>
          </a:fld>
          <a:endParaRPr lang="ru-RU" sz="3200" kern="1200">
            <a:solidFill>
              <a:schemeClr val="tx2">
                <a:lumMod val="75000"/>
                <a:lumOff val="25000"/>
              </a:schemeClr>
            </a:solidFill>
          </a:endParaRPr>
        </a:p>
      </xdr:txBody>
    </xdr:sp>
    <xdr:clientData/>
  </xdr:twoCellAnchor>
  <xdr:twoCellAnchor>
    <xdr:from>
      <xdr:col>18</xdr:col>
      <xdr:colOff>369452</xdr:colOff>
      <xdr:row>3</xdr:row>
      <xdr:rowOff>123990</xdr:rowOff>
    </xdr:from>
    <xdr:to>
      <xdr:col>19</xdr:col>
      <xdr:colOff>552568</xdr:colOff>
      <xdr:row>4</xdr:row>
      <xdr:rowOff>157951</xdr:rowOff>
    </xdr:to>
    <xdr:sp macro="" textlink="Processing!B8">
      <xdr:nvSpPr>
        <xdr:cNvPr id="70" name="TextBox 69">
          <a:extLst>
            <a:ext uri="{FF2B5EF4-FFF2-40B4-BE49-F238E27FC236}">
              <a16:creationId xmlns:a16="http://schemas.microsoft.com/office/drawing/2014/main" id="{92C50981-4982-40F1-B4DF-BADE8E29A339}"/>
            </a:ext>
          </a:extLst>
        </xdr:cNvPr>
        <xdr:cNvSpPr txBox="1"/>
      </xdr:nvSpPr>
      <xdr:spPr>
        <a:xfrm>
          <a:off x="11342252" y="67263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EC2B3A-7EF9-4A31-AB19-2FF7DAA9F7CA}" type="TxLink">
            <a:rPr lang="en-US" sz="1100" b="0" i="0" u="none" strike="noStrike" kern="1200">
              <a:solidFill>
                <a:schemeClr val="tx2">
                  <a:lumMod val="25000"/>
                  <a:lumOff val="75000"/>
                </a:schemeClr>
              </a:solidFill>
              <a:latin typeface="Aptos Narrow"/>
            </a:rPr>
            <a:pPr algn="r"/>
            <a:t>29%</a:t>
          </a:fld>
          <a:endParaRPr lang="ru-RU" sz="3200" kern="1200">
            <a:solidFill>
              <a:schemeClr val="tx2">
                <a:lumMod val="25000"/>
                <a:lumOff val="75000"/>
              </a:schemeClr>
            </a:solidFill>
          </a:endParaRPr>
        </a:p>
      </xdr:txBody>
    </xdr:sp>
    <xdr:clientData/>
  </xdr:twoCellAnchor>
  <xdr:twoCellAnchor>
    <xdr:from>
      <xdr:col>18</xdr:col>
      <xdr:colOff>369452</xdr:colOff>
      <xdr:row>4</xdr:row>
      <xdr:rowOff>149390</xdr:rowOff>
    </xdr:from>
    <xdr:to>
      <xdr:col>19</xdr:col>
      <xdr:colOff>552568</xdr:colOff>
      <xdr:row>6</xdr:row>
      <xdr:rowOff>471</xdr:rowOff>
    </xdr:to>
    <xdr:sp macro="" textlink="Processing!B9">
      <xdr:nvSpPr>
        <xdr:cNvPr id="71" name="TextBox 70">
          <a:extLst>
            <a:ext uri="{FF2B5EF4-FFF2-40B4-BE49-F238E27FC236}">
              <a16:creationId xmlns:a16="http://schemas.microsoft.com/office/drawing/2014/main" id="{927F369B-6ACF-4299-ADE9-F5E2F8AB38C6}"/>
            </a:ext>
          </a:extLst>
        </xdr:cNvPr>
        <xdr:cNvSpPr txBox="1"/>
      </xdr:nvSpPr>
      <xdr:spPr>
        <a:xfrm>
          <a:off x="11342252" y="88091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8AB93D1-F445-4747-8FBE-45A33CB3C3E1}" type="TxLink">
            <a:rPr lang="en-US" sz="1100" b="0" i="0" u="none" strike="noStrike" kern="1200">
              <a:solidFill>
                <a:schemeClr val="tx2">
                  <a:lumMod val="25000"/>
                  <a:lumOff val="75000"/>
                </a:schemeClr>
              </a:solidFill>
              <a:latin typeface="Aptos Narrow"/>
            </a:rPr>
            <a:pPr algn="r"/>
            <a:t>31%</a:t>
          </a:fld>
          <a:endParaRPr lang="ru-RU" sz="3200" kern="1200">
            <a:solidFill>
              <a:schemeClr val="tx2">
                <a:lumMod val="25000"/>
                <a:lumOff val="75000"/>
              </a:schemeClr>
            </a:solidFill>
          </a:endParaRPr>
        </a:p>
      </xdr:txBody>
    </xdr:sp>
    <xdr:clientData/>
  </xdr:twoCellAnchor>
  <xdr:twoCellAnchor>
    <xdr:from>
      <xdr:col>18</xdr:col>
      <xdr:colOff>369452</xdr:colOff>
      <xdr:row>5</xdr:row>
      <xdr:rowOff>174790</xdr:rowOff>
    </xdr:from>
    <xdr:to>
      <xdr:col>19</xdr:col>
      <xdr:colOff>552568</xdr:colOff>
      <xdr:row>7</xdr:row>
      <xdr:rowOff>25871</xdr:rowOff>
    </xdr:to>
    <xdr:sp macro="" textlink="Processing!B10">
      <xdr:nvSpPr>
        <xdr:cNvPr id="72" name="TextBox 71">
          <a:extLst>
            <a:ext uri="{FF2B5EF4-FFF2-40B4-BE49-F238E27FC236}">
              <a16:creationId xmlns:a16="http://schemas.microsoft.com/office/drawing/2014/main" id="{8D750F79-CA7A-4490-83CD-233449111FFB}"/>
            </a:ext>
          </a:extLst>
        </xdr:cNvPr>
        <xdr:cNvSpPr txBox="1"/>
      </xdr:nvSpPr>
      <xdr:spPr>
        <a:xfrm>
          <a:off x="11342252" y="108919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1AD49D-8599-49E2-8D15-6D72FB20E14B}" type="TxLink">
            <a:rPr lang="en-US" sz="1100" b="0" i="0" u="none" strike="noStrike" kern="1200">
              <a:solidFill>
                <a:schemeClr val="tx2">
                  <a:lumMod val="25000"/>
                  <a:lumOff val="75000"/>
                </a:schemeClr>
              </a:solidFill>
              <a:latin typeface="Aptos Narrow"/>
            </a:rPr>
            <a:pPr algn="r"/>
            <a:t>25%</a:t>
          </a:fld>
          <a:endParaRPr lang="ru-RU" sz="3200" kern="1200">
            <a:solidFill>
              <a:schemeClr val="tx2">
                <a:lumMod val="25000"/>
                <a:lumOff val="75000"/>
              </a:schemeClr>
            </a:solidFill>
          </a:endParaRPr>
        </a:p>
      </xdr:txBody>
    </xdr:sp>
    <xdr:clientData/>
  </xdr:twoCellAnchor>
  <xdr:twoCellAnchor>
    <xdr:from>
      <xdr:col>18</xdr:col>
      <xdr:colOff>369452</xdr:colOff>
      <xdr:row>7</xdr:row>
      <xdr:rowOff>17310</xdr:rowOff>
    </xdr:from>
    <xdr:to>
      <xdr:col>19</xdr:col>
      <xdr:colOff>552568</xdr:colOff>
      <xdr:row>8</xdr:row>
      <xdr:rowOff>51271</xdr:rowOff>
    </xdr:to>
    <xdr:sp macro="" textlink="Processing!B11">
      <xdr:nvSpPr>
        <xdr:cNvPr id="73" name="TextBox 72">
          <a:extLst>
            <a:ext uri="{FF2B5EF4-FFF2-40B4-BE49-F238E27FC236}">
              <a16:creationId xmlns:a16="http://schemas.microsoft.com/office/drawing/2014/main" id="{89813E46-A10E-4CA6-B8E6-F30C570678AC}"/>
            </a:ext>
          </a:extLst>
        </xdr:cNvPr>
        <xdr:cNvSpPr txBox="1"/>
      </xdr:nvSpPr>
      <xdr:spPr>
        <a:xfrm>
          <a:off x="11342252" y="129747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rike="noStrike" kern="1200">
              <a:solidFill>
                <a:schemeClr val="tx2">
                  <a:lumMod val="25000"/>
                  <a:lumOff val="75000"/>
                </a:schemeClr>
              </a:solidFill>
              <a:latin typeface="Aptos Narrow"/>
            </a:rPr>
            <a:pPr algn="r"/>
            <a:t>15%</a:t>
          </a:fld>
          <a:endParaRPr lang="ru-RU" sz="3200" kern="1200">
            <a:solidFill>
              <a:schemeClr val="tx2">
                <a:lumMod val="25000"/>
                <a:lumOff val="75000"/>
              </a:schemeClr>
            </a:solidFill>
          </a:endParaRPr>
        </a:p>
      </xdr:txBody>
    </xdr:sp>
    <xdr:clientData/>
  </xdr:twoCellAnchor>
  <xdr:twoCellAnchor>
    <xdr:from>
      <xdr:col>0</xdr:col>
      <xdr:colOff>180975</xdr:colOff>
      <xdr:row>0</xdr:row>
      <xdr:rowOff>111771</xdr:rowOff>
    </xdr:from>
    <xdr:to>
      <xdr:col>2</xdr:col>
      <xdr:colOff>99060</xdr:colOff>
      <xdr:row>2</xdr:row>
      <xdr:rowOff>63489</xdr:rowOff>
    </xdr:to>
    <xdr:grpSp>
      <xdr:nvGrpSpPr>
        <xdr:cNvPr id="114" name="Group 113">
          <a:hlinkClick xmlns:r="http://schemas.openxmlformats.org/officeDocument/2006/relationships" r:id="rId3"/>
          <a:extLst>
            <a:ext uri="{FF2B5EF4-FFF2-40B4-BE49-F238E27FC236}">
              <a16:creationId xmlns:a16="http://schemas.microsoft.com/office/drawing/2014/main" id="{498D2F02-DAE0-4B1C-8C46-F98B726706F1}"/>
            </a:ext>
          </a:extLst>
        </xdr:cNvPr>
        <xdr:cNvGrpSpPr/>
      </xdr:nvGrpSpPr>
      <xdr:grpSpPr>
        <a:xfrm>
          <a:off x="180975" y="111771"/>
          <a:ext cx="1103418" cy="332718"/>
          <a:chOff x="180975" y="111771"/>
          <a:chExt cx="1137285" cy="317478"/>
        </a:xfrm>
      </xdr:grpSpPr>
      <xdr:sp macro="" textlink="">
        <xdr:nvSpPr>
          <xdr:cNvPr id="115" name="TextBox 114">
            <a:extLst>
              <a:ext uri="{FF2B5EF4-FFF2-40B4-BE49-F238E27FC236}">
                <a16:creationId xmlns:a16="http://schemas.microsoft.com/office/drawing/2014/main" id="{BC1FC610-91C2-CE46-48DC-7D5E720DEF2B}"/>
              </a:ext>
            </a:extLst>
          </xdr:cNvPr>
          <xdr:cNvSpPr txBox="1"/>
        </xdr:nvSpPr>
        <xdr:spPr>
          <a:xfrm>
            <a:off x="337206" y="111771"/>
            <a:ext cx="981054"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bg1"/>
                </a:solidFill>
                <a:latin typeface="Aptos Narrow"/>
                <a:ea typeface="+mn-ea"/>
                <a:cs typeface="+mn-cs"/>
              </a:rPr>
              <a:t>Dashboard</a:t>
            </a:r>
          </a:p>
        </xdr:txBody>
      </xdr:sp>
      <xdr:sp macro="" textlink="">
        <xdr:nvSpPr>
          <xdr:cNvPr id="116" name="Freeform: Shape 115">
            <a:extLst>
              <a:ext uri="{FF2B5EF4-FFF2-40B4-BE49-F238E27FC236}">
                <a16:creationId xmlns:a16="http://schemas.microsoft.com/office/drawing/2014/main" id="{23F4D505-CE31-6E3A-CBB7-00FEABE8CF60}"/>
              </a:ext>
            </a:extLst>
          </xdr:cNvPr>
          <xdr:cNvSpPr/>
        </xdr:nvSpPr>
        <xdr:spPr>
          <a:xfrm flipH="1">
            <a:off x="327932"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7" name="Freeform: Shape 116">
            <a:extLst>
              <a:ext uri="{FF2B5EF4-FFF2-40B4-BE49-F238E27FC236}">
                <a16:creationId xmlns:a16="http://schemas.microsoft.com/office/drawing/2014/main" id="{B3D80F3B-2C1A-8AD1-A26C-D950E571E39D}"/>
              </a:ext>
            </a:extLst>
          </xdr:cNvPr>
          <xdr:cNvSpPr/>
        </xdr:nvSpPr>
        <xdr:spPr>
          <a:xfrm flipH="1">
            <a:off x="278946" y="140970"/>
            <a:ext cx="35923" cy="18288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ru-RU"/>
          </a:p>
        </xdr:txBody>
      </xdr:sp>
      <xdr:sp macro="" textlink="">
        <xdr:nvSpPr>
          <xdr:cNvPr id="118" name="Freeform: Shape 117">
            <a:extLst>
              <a:ext uri="{FF2B5EF4-FFF2-40B4-BE49-F238E27FC236}">
                <a16:creationId xmlns:a16="http://schemas.microsoft.com/office/drawing/2014/main" id="{098CA5C2-A1BE-B874-0AB4-929FB6956E62}"/>
              </a:ext>
            </a:extLst>
          </xdr:cNvPr>
          <xdr:cNvSpPr/>
        </xdr:nvSpPr>
        <xdr:spPr>
          <a:xfrm flipH="1">
            <a:off x="229961"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9" name="Freeform: Shape 118">
            <a:extLst>
              <a:ext uri="{FF2B5EF4-FFF2-40B4-BE49-F238E27FC236}">
                <a16:creationId xmlns:a16="http://schemas.microsoft.com/office/drawing/2014/main" id="{FDF71229-D0C4-8906-7E84-4B8CA7A28AE7}"/>
              </a:ext>
            </a:extLst>
          </xdr:cNvPr>
          <xdr:cNvSpPr/>
        </xdr:nvSpPr>
        <xdr:spPr>
          <a:xfrm flipH="1">
            <a:off x="180975" y="265067"/>
            <a:ext cx="35923" cy="58783"/>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1</xdr:col>
      <xdr:colOff>91440</xdr:colOff>
      <xdr:row>20</xdr:row>
      <xdr:rowOff>144780</xdr:rowOff>
    </xdr:from>
    <xdr:to>
      <xdr:col>3</xdr:col>
      <xdr:colOff>152400</xdr:colOff>
      <xdr:row>22</xdr:row>
      <xdr:rowOff>96498</xdr:rowOff>
    </xdr:to>
    <xdr:sp macro="" textlink="">
      <xdr:nvSpPr>
        <xdr:cNvPr id="120" name="TextBox 119">
          <a:extLst>
            <a:ext uri="{FF2B5EF4-FFF2-40B4-BE49-F238E27FC236}">
              <a16:creationId xmlns:a16="http://schemas.microsoft.com/office/drawing/2014/main" id="{9B080246-DA7F-45B4-9DCF-D8551A912A8B}"/>
            </a:ext>
          </a:extLst>
        </xdr:cNvPr>
        <xdr:cNvSpPr txBox="1"/>
      </xdr:nvSpPr>
      <xdr:spPr>
        <a:xfrm>
          <a:off x="701040" y="380238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tx2">
                  <a:lumMod val="90000"/>
                  <a:lumOff val="10000"/>
                </a:schemeClr>
              </a:solidFill>
              <a:latin typeface="+mn-lt"/>
              <a:ea typeface="+mn-ea"/>
              <a:cs typeface="+mn-cs"/>
            </a:rPr>
            <a:t>Point Of Sales</a:t>
          </a:r>
        </a:p>
      </xdr:txBody>
    </xdr:sp>
    <xdr:clientData/>
  </xdr:twoCellAnchor>
  <xdr:twoCellAnchor>
    <xdr:from>
      <xdr:col>1</xdr:col>
      <xdr:colOff>91440</xdr:colOff>
      <xdr:row>24</xdr:row>
      <xdr:rowOff>53340</xdr:rowOff>
    </xdr:from>
    <xdr:to>
      <xdr:col>3</xdr:col>
      <xdr:colOff>152400</xdr:colOff>
      <xdr:row>26</xdr:row>
      <xdr:rowOff>5058</xdr:rowOff>
    </xdr:to>
    <xdr:sp macro="" textlink="">
      <xdr:nvSpPr>
        <xdr:cNvPr id="121" name="TextBox 120">
          <a:hlinkClick xmlns:r="http://schemas.openxmlformats.org/officeDocument/2006/relationships" r:id="rId4"/>
          <a:extLst>
            <a:ext uri="{FF2B5EF4-FFF2-40B4-BE49-F238E27FC236}">
              <a16:creationId xmlns:a16="http://schemas.microsoft.com/office/drawing/2014/main" id="{B0317CCC-D49A-427C-9BF9-34F136BD2EFF}"/>
            </a:ext>
          </a:extLst>
        </xdr:cNvPr>
        <xdr:cNvSpPr txBox="1"/>
      </xdr:nvSpPr>
      <xdr:spPr>
        <a:xfrm>
          <a:off x="701040" y="444246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Aptos Narrow"/>
              <a:ea typeface="+mn-ea"/>
              <a:cs typeface="+mn-cs"/>
            </a:rPr>
            <a:t>Targeting</a:t>
          </a:r>
        </a:p>
      </xdr:txBody>
    </xdr:sp>
    <xdr:clientData/>
  </xdr:twoCellAnchor>
  <xdr:twoCellAnchor>
    <xdr:from>
      <xdr:col>1</xdr:col>
      <xdr:colOff>91440</xdr:colOff>
      <xdr:row>27</xdr:row>
      <xdr:rowOff>152400</xdr:rowOff>
    </xdr:from>
    <xdr:to>
      <xdr:col>3</xdr:col>
      <xdr:colOff>266700</xdr:colOff>
      <xdr:row>29</xdr:row>
      <xdr:rowOff>104118</xdr:rowOff>
    </xdr:to>
    <xdr:sp macro="" textlink="">
      <xdr:nvSpPr>
        <xdr:cNvPr id="122" name="TextBox 121">
          <a:hlinkClick xmlns:r="http://schemas.openxmlformats.org/officeDocument/2006/relationships" r:id="rId5"/>
          <a:extLst>
            <a:ext uri="{FF2B5EF4-FFF2-40B4-BE49-F238E27FC236}">
              <a16:creationId xmlns:a16="http://schemas.microsoft.com/office/drawing/2014/main" id="{5C190813-610C-4C7F-996D-04ABE1015182}"/>
            </a:ext>
          </a:extLst>
        </xdr:cNvPr>
        <xdr:cNvSpPr txBox="1"/>
      </xdr:nvSpPr>
      <xdr:spPr>
        <a:xfrm>
          <a:off x="701040" y="5090160"/>
          <a:ext cx="13944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Sales Dynamics</a:t>
          </a:r>
        </a:p>
      </xdr:txBody>
    </xdr:sp>
    <xdr:clientData/>
  </xdr:twoCellAnchor>
  <xdr:twoCellAnchor>
    <xdr:from>
      <xdr:col>1</xdr:col>
      <xdr:colOff>91440</xdr:colOff>
      <xdr:row>31</xdr:row>
      <xdr:rowOff>60960</xdr:rowOff>
    </xdr:from>
    <xdr:to>
      <xdr:col>3</xdr:col>
      <xdr:colOff>152400</xdr:colOff>
      <xdr:row>33</xdr:row>
      <xdr:rowOff>12678</xdr:rowOff>
    </xdr:to>
    <xdr:sp macro="" textlink="">
      <xdr:nvSpPr>
        <xdr:cNvPr id="123" name="TextBox 122">
          <a:hlinkClick xmlns:r="http://schemas.openxmlformats.org/officeDocument/2006/relationships" r:id="rId6"/>
          <a:extLst>
            <a:ext uri="{FF2B5EF4-FFF2-40B4-BE49-F238E27FC236}">
              <a16:creationId xmlns:a16="http://schemas.microsoft.com/office/drawing/2014/main" id="{485892D3-7E84-4899-B984-D08745EE7D8A}"/>
            </a:ext>
          </a:extLst>
        </xdr:cNvPr>
        <xdr:cNvSpPr txBox="1"/>
      </xdr:nvSpPr>
      <xdr:spPr>
        <a:xfrm>
          <a:off x="701040" y="573024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Coverage</a:t>
          </a:r>
        </a:p>
      </xdr:txBody>
    </xdr:sp>
    <xdr:clientData/>
  </xdr:twoCellAnchor>
  <xdr:twoCellAnchor>
    <xdr:from>
      <xdr:col>5</xdr:col>
      <xdr:colOff>327660</xdr:colOff>
      <xdr:row>19</xdr:row>
      <xdr:rowOff>22860</xdr:rowOff>
    </xdr:from>
    <xdr:to>
      <xdr:col>22</xdr:col>
      <xdr:colOff>144780</xdr:colOff>
      <xdr:row>36</xdr:row>
      <xdr:rowOff>175260</xdr:rowOff>
    </xdr:to>
    <xdr:graphicFrame macro="">
      <xdr:nvGraphicFramePr>
        <xdr:cNvPr id="124" name="Chart 123">
          <a:extLst>
            <a:ext uri="{FF2B5EF4-FFF2-40B4-BE49-F238E27FC236}">
              <a16:creationId xmlns:a16="http://schemas.microsoft.com/office/drawing/2014/main" id="{10C1330F-924C-41AF-B67D-2736C2128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495300</xdr:colOff>
      <xdr:row>4</xdr:row>
      <xdr:rowOff>134924</xdr:rowOff>
    </xdr:from>
    <xdr:to>
      <xdr:col>16</xdr:col>
      <xdr:colOff>525780</xdr:colOff>
      <xdr:row>17</xdr:row>
      <xdr:rowOff>28244</xdr:rowOff>
    </xdr:to>
    <xdr:graphicFrame macro="">
      <xdr:nvGraphicFramePr>
        <xdr:cNvPr id="125" name="Chart 124">
          <a:extLst>
            <a:ext uri="{FF2B5EF4-FFF2-40B4-BE49-F238E27FC236}">
              <a16:creationId xmlns:a16="http://schemas.microsoft.com/office/drawing/2014/main" id="{7A8077F3-0383-484C-80FC-417C19CEA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4778</xdr:colOff>
      <xdr:row>15</xdr:row>
      <xdr:rowOff>127305</xdr:rowOff>
    </xdr:from>
    <xdr:to>
      <xdr:col>16</xdr:col>
      <xdr:colOff>454358</xdr:colOff>
      <xdr:row>18</xdr:row>
      <xdr:rowOff>13005</xdr:rowOff>
    </xdr:to>
    <mc:AlternateContent xmlns:mc="http://schemas.openxmlformats.org/markup-compatibility/2006" xmlns:a14="http://schemas.microsoft.com/office/drawing/2010/main">
      <mc:Choice Requires="a14">
        <xdr:graphicFrame macro="">
          <xdr:nvGraphicFramePr>
            <xdr:cNvPr id="126" name="Point Of Sales 1">
              <a:extLst>
                <a:ext uri="{FF2B5EF4-FFF2-40B4-BE49-F238E27FC236}">
                  <a16:creationId xmlns:a16="http://schemas.microsoft.com/office/drawing/2014/main" id="{5E9A4EC8-801B-48F7-A591-590A86F1A279}"/>
                </a:ext>
              </a:extLst>
            </xdr:cNvPr>
            <xdr:cNvGraphicFramePr/>
          </xdr:nvGraphicFramePr>
          <xdr:xfrm>
            <a:off x="0" y="0"/>
            <a:ext cx="0" cy="0"/>
          </xdr:xfrm>
          <a:graphic>
            <a:graphicData uri="http://schemas.microsoft.com/office/drawing/2010/slicer">
              <sle:slicer xmlns:sle="http://schemas.microsoft.com/office/drawing/2010/slicer" name="Point Of Sales 1"/>
            </a:graphicData>
          </a:graphic>
        </xdr:graphicFrame>
      </mc:Choice>
      <mc:Fallback xmlns="">
        <xdr:sp macro="" textlink="">
          <xdr:nvSpPr>
            <xdr:cNvPr id="0" name=""/>
            <xdr:cNvSpPr>
              <a:spLocks noTextEdit="1"/>
            </xdr:cNvSpPr>
          </xdr:nvSpPr>
          <xdr:spPr>
            <a:xfrm>
              <a:off x="5491178" y="2816717"/>
              <a:ext cx="4716780" cy="4235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403695</xdr:colOff>
      <xdr:row>3</xdr:row>
      <xdr:rowOff>68580</xdr:rowOff>
    </xdr:from>
    <xdr:to>
      <xdr:col>13</xdr:col>
      <xdr:colOff>588842</xdr:colOff>
      <xdr:row>5</xdr:row>
      <xdr:rowOff>86969</xdr:rowOff>
    </xdr:to>
    <xdr:sp macro="" textlink="Processing!D23">
      <xdr:nvSpPr>
        <xdr:cNvPr id="127" name="TextBox 126">
          <a:extLst>
            <a:ext uri="{FF2B5EF4-FFF2-40B4-BE49-F238E27FC236}">
              <a16:creationId xmlns:a16="http://schemas.microsoft.com/office/drawing/2014/main" id="{407C02F4-B4E1-4025-9F0A-A5F97FD495F3}"/>
            </a:ext>
          </a:extLst>
        </xdr:cNvPr>
        <xdr:cNvSpPr txBox="1"/>
      </xdr:nvSpPr>
      <xdr:spPr>
        <a:xfrm>
          <a:off x="7109295" y="617220"/>
          <a:ext cx="1404347" cy="38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D6BA19-4878-45B3-90A8-FC0FFB149A3B}" type="TxLink">
            <a:rPr lang="en-US" sz="2400" b="0" i="0" u="none" strike="noStrike" kern="1200">
              <a:solidFill>
                <a:schemeClr val="tx2">
                  <a:lumMod val="75000"/>
                  <a:lumOff val="25000"/>
                </a:schemeClr>
              </a:solidFill>
              <a:latin typeface="Aptos Narrow"/>
            </a:rPr>
            <a:pPr algn="ctr"/>
            <a:t>$ 289 K</a:t>
          </a:fld>
          <a:endParaRPr lang="ru-RU" sz="6000" kern="1200">
            <a:solidFill>
              <a:schemeClr val="tx2">
                <a:lumMod val="75000"/>
                <a:lumOff val="25000"/>
              </a:schemeClr>
            </a:solidFill>
          </a:endParaRPr>
        </a:p>
      </xdr:txBody>
    </xdr:sp>
    <xdr:clientData/>
  </xdr:twoCellAnchor>
  <xdr:twoCellAnchor>
    <xdr:from>
      <xdr:col>9</xdr:col>
      <xdr:colOff>129375</xdr:colOff>
      <xdr:row>4</xdr:row>
      <xdr:rowOff>15240</xdr:rowOff>
    </xdr:from>
    <xdr:to>
      <xdr:col>11</xdr:col>
      <xdr:colOff>408638</xdr:colOff>
      <xdr:row>6</xdr:row>
      <xdr:rowOff>112063</xdr:rowOff>
    </xdr:to>
    <xdr:grpSp>
      <xdr:nvGrpSpPr>
        <xdr:cNvPr id="128" name="Group 127">
          <a:extLst>
            <a:ext uri="{FF2B5EF4-FFF2-40B4-BE49-F238E27FC236}">
              <a16:creationId xmlns:a16="http://schemas.microsoft.com/office/drawing/2014/main" id="{DEBDCA36-AC96-4332-A225-08CE08E36D45}"/>
            </a:ext>
          </a:extLst>
        </xdr:cNvPr>
        <xdr:cNvGrpSpPr/>
      </xdr:nvGrpSpPr>
      <xdr:grpSpPr>
        <a:xfrm>
          <a:off x="5463375" y="777240"/>
          <a:ext cx="1464596" cy="477823"/>
          <a:chOff x="8544697" y="1069036"/>
          <a:chExt cx="1498463" cy="462583"/>
        </a:xfrm>
      </xdr:grpSpPr>
      <xdr:sp macro="" textlink="Processing!E14">
        <xdr:nvSpPr>
          <xdr:cNvPr id="129" name="TextBox 128">
            <a:extLst>
              <a:ext uri="{FF2B5EF4-FFF2-40B4-BE49-F238E27FC236}">
                <a16:creationId xmlns:a16="http://schemas.microsoft.com/office/drawing/2014/main" id="{5645C1A7-39CC-5A7E-3FC3-B3241F5BAFFA}"/>
              </a:ext>
            </a:extLst>
          </xdr:cNvPr>
          <xdr:cNvSpPr txBox="1"/>
        </xdr:nvSpPr>
        <xdr:spPr>
          <a:xfrm>
            <a:off x="8544697" y="1282396"/>
            <a:ext cx="94220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5086B-58F6-4E54-9FAE-0AB9FB6B6A7B}" type="TxLink">
              <a:rPr lang="en-US" sz="1200" b="0" i="0" u="none" strike="noStrike" kern="1200">
                <a:solidFill>
                  <a:srgbClr val="658F96"/>
                </a:solidFill>
                <a:latin typeface="Aptos Narrow"/>
              </a:rPr>
              <a:pPr algn="l"/>
              <a:t>Sales Plan</a:t>
            </a:fld>
            <a:endParaRPr lang="ru-RU" sz="6600" kern="1200">
              <a:solidFill>
                <a:srgbClr val="658F96"/>
              </a:solidFill>
            </a:endParaRPr>
          </a:p>
        </xdr:txBody>
      </xdr:sp>
      <xdr:sp macro="" textlink="Processing!D24">
        <xdr:nvSpPr>
          <xdr:cNvPr id="130" name="TextBox 129">
            <a:extLst>
              <a:ext uri="{FF2B5EF4-FFF2-40B4-BE49-F238E27FC236}">
                <a16:creationId xmlns:a16="http://schemas.microsoft.com/office/drawing/2014/main" id="{E26B2267-FA4B-BFE8-E665-3894AFB132CF}"/>
              </a:ext>
            </a:extLst>
          </xdr:cNvPr>
          <xdr:cNvSpPr txBox="1"/>
        </xdr:nvSpPr>
        <xdr:spPr>
          <a:xfrm>
            <a:off x="8544697" y="1069036"/>
            <a:ext cx="942203"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992BDD8-2D80-404D-99B9-C056425E0256}" type="TxLink">
              <a:rPr lang="en-US" sz="1200" b="0" i="0" u="none" strike="noStrike" kern="1200">
                <a:solidFill>
                  <a:srgbClr val="658F96"/>
                </a:solidFill>
                <a:latin typeface="Aptos Narrow"/>
              </a:rPr>
              <a:pPr algn="l"/>
              <a:t>Done</a:t>
            </a:fld>
            <a:endParaRPr lang="ru-RU" sz="6600" kern="1200">
              <a:solidFill>
                <a:srgbClr val="658F96"/>
              </a:solidFill>
            </a:endParaRPr>
          </a:p>
        </xdr:txBody>
      </xdr:sp>
      <xdr:sp macro="" textlink="Processing!E23">
        <xdr:nvSpPr>
          <xdr:cNvPr id="131" name="TextBox 130">
            <a:extLst>
              <a:ext uri="{FF2B5EF4-FFF2-40B4-BE49-F238E27FC236}">
                <a16:creationId xmlns:a16="http://schemas.microsoft.com/office/drawing/2014/main" id="{8B6B8BED-748A-FC90-7534-25AA0C469483}"/>
              </a:ext>
            </a:extLst>
          </xdr:cNvPr>
          <xdr:cNvSpPr txBox="1"/>
        </xdr:nvSpPr>
        <xdr:spPr>
          <a:xfrm>
            <a:off x="9311640" y="1282396"/>
            <a:ext cx="7315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9378D11-AAEF-4185-A3F7-07B62E627875}" type="TxLink">
              <a:rPr lang="en-US" sz="1200" b="0" i="0" u="none" strike="noStrike" kern="1200">
                <a:solidFill>
                  <a:srgbClr val="658F96"/>
                </a:solidFill>
                <a:latin typeface="Aptos Narrow"/>
              </a:rPr>
              <a:pPr algn="l"/>
              <a:t>$ 365 K</a:t>
            </a:fld>
            <a:endParaRPr lang="ru-RU" sz="6600" kern="1200">
              <a:solidFill>
                <a:srgbClr val="658F96"/>
              </a:solidFill>
            </a:endParaRPr>
          </a:p>
        </xdr:txBody>
      </xdr:sp>
      <xdr:sp macro="" textlink="Processing!E24">
        <xdr:nvSpPr>
          <xdr:cNvPr id="132" name="TextBox 131">
            <a:extLst>
              <a:ext uri="{FF2B5EF4-FFF2-40B4-BE49-F238E27FC236}">
                <a16:creationId xmlns:a16="http://schemas.microsoft.com/office/drawing/2014/main" id="{80DE8E87-690F-4B6B-48A6-0778472BD8FA}"/>
              </a:ext>
            </a:extLst>
          </xdr:cNvPr>
          <xdr:cNvSpPr txBox="1"/>
        </xdr:nvSpPr>
        <xdr:spPr>
          <a:xfrm>
            <a:off x="9311640" y="1069036"/>
            <a:ext cx="73152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F0F8A5A-9798-42C6-8497-CF25E8E053CC}" type="TxLink">
              <a:rPr lang="en-US" sz="1200" b="0" i="0" u="none" strike="noStrike" kern="1200">
                <a:solidFill>
                  <a:srgbClr val="658F96"/>
                </a:solidFill>
                <a:latin typeface="Aptos Narrow"/>
              </a:rPr>
              <a:pPr algn="l"/>
              <a:t>79%</a:t>
            </a:fld>
            <a:endParaRPr lang="ru-RU" sz="6600" kern="1200">
              <a:solidFill>
                <a:srgbClr val="658F96"/>
              </a:solidFill>
            </a:endParaRPr>
          </a:p>
        </xdr:txBody>
      </xdr:sp>
    </xdr:grpSp>
    <xdr:clientData/>
  </xdr:twoCellAnchor>
  <xdr:twoCellAnchor>
    <xdr:from>
      <xdr:col>0</xdr:col>
      <xdr:colOff>281940</xdr:colOff>
      <xdr:row>21</xdr:row>
      <xdr:rowOff>83820</xdr:rowOff>
    </xdr:from>
    <xdr:to>
      <xdr:col>0</xdr:col>
      <xdr:colOff>373380</xdr:colOff>
      <xdr:row>21</xdr:row>
      <xdr:rowOff>175260</xdr:rowOff>
    </xdr:to>
    <xdr:sp macro="" textlink="">
      <xdr:nvSpPr>
        <xdr:cNvPr id="133" name="Oval 132">
          <a:extLst>
            <a:ext uri="{FF2B5EF4-FFF2-40B4-BE49-F238E27FC236}">
              <a16:creationId xmlns:a16="http://schemas.microsoft.com/office/drawing/2014/main" id="{0F6212C4-B22E-4880-8F54-72BAECD1A813}"/>
            </a:ext>
          </a:extLst>
        </xdr:cNvPr>
        <xdr:cNvSpPr/>
      </xdr:nvSpPr>
      <xdr:spPr>
        <a:xfrm>
          <a:off x="281940" y="3924300"/>
          <a:ext cx="91440" cy="91440"/>
        </a:xfrm>
        <a:prstGeom prst="ellipse">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396240</xdr:colOff>
      <xdr:row>14</xdr:row>
      <xdr:rowOff>96443</xdr:rowOff>
    </xdr:from>
    <xdr:to>
      <xdr:col>23</xdr:col>
      <xdr:colOff>175260</xdr:colOff>
      <xdr:row>17</xdr:row>
      <xdr:rowOff>59105</xdr:rowOff>
    </xdr:to>
    <xdr:sp macro="" textlink="Processing!I2">
      <xdr:nvSpPr>
        <xdr:cNvPr id="134" name="TextBox 133">
          <a:extLst>
            <a:ext uri="{FF2B5EF4-FFF2-40B4-BE49-F238E27FC236}">
              <a16:creationId xmlns:a16="http://schemas.microsoft.com/office/drawing/2014/main" id="{63767B14-23D5-C72D-D887-EBE5B2A94997}"/>
            </a:ext>
          </a:extLst>
        </xdr:cNvPr>
        <xdr:cNvSpPr txBox="1"/>
      </xdr:nvSpPr>
      <xdr:spPr>
        <a:xfrm>
          <a:off x="10759440" y="2656763"/>
          <a:ext cx="3436620" cy="51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DEF4F-CE48-47C7-B2B8-BB451529D0BF}" type="TxLink">
            <a:rPr lang="en-US" sz="2400" b="0" i="0" u="none" strike="noStrike" kern="1200">
              <a:solidFill>
                <a:schemeClr val="tx2">
                  <a:lumMod val="90000"/>
                  <a:lumOff val="10000"/>
                </a:schemeClr>
              </a:solidFill>
              <a:latin typeface="Aptos Narrow"/>
            </a:rPr>
            <a:pPr algn="ctr"/>
            <a:t>OCTOBER 2027</a:t>
          </a:fld>
          <a:endParaRPr lang="ru-RU" sz="11500" kern="1200">
            <a:solidFill>
              <a:schemeClr val="tx2">
                <a:lumMod val="90000"/>
                <a:lumOff val="1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7620</xdr:colOff>
      <xdr:row>38</xdr:row>
      <xdr:rowOff>106680</xdr:rowOff>
    </xdr:to>
    <xdr:grpSp>
      <xdr:nvGrpSpPr>
        <xdr:cNvPr id="2" name="Group 1">
          <a:extLst>
            <a:ext uri="{FF2B5EF4-FFF2-40B4-BE49-F238E27FC236}">
              <a16:creationId xmlns:a16="http://schemas.microsoft.com/office/drawing/2014/main" id="{AA56A858-0E8B-4030-8570-0613B030E3A6}"/>
            </a:ext>
          </a:extLst>
        </xdr:cNvPr>
        <xdr:cNvGrpSpPr/>
      </xdr:nvGrpSpPr>
      <xdr:grpSpPr>
        <a:xfrm>
          <a:off x="0" y="0"/>
          <a:ext cx="2378287" cy="7345680"/>
          <a:chOff x="3703320" y="83820"/>
          <a:chExt cx="2918460" cy="4953000"/>
        </a:xfrm>
        <a:effectLst>
          <a:outerShdw blurRad="228600" dist="482600" dir="7800000" sx="93000" sy="93000" algn="r" rotWithShape="0">
            <a:prstClr val="black">
              <a:alpha val="42000"/>
            </a:prstClr>
          </a:outerShdw>
        </a:effectLst>
      </xdr:grpSpPr>
      <xdr:sp macro="" textlink="">
        <xdr:nvSpPr>
          <xdr:cNvPr id="3" name="Rectangle 2">
            <a:extLst>
              <a:ext uri="{FF2B5EF4-FFF2-40B4-BE49-F238E27FC236}">
                <a16:creationId xmlns:a16="http://schemas.microsoft.com/office/drawing/2014/main" id="{D294B4D2-67F1-71F5-205E-DB69097B53CC}"/>
              </a:ext>
            </a:extLst>
          </xdr:cNvPr>
          <xdr:cNvSpPr/>
        </xdr:nvSpPr>
        <xdr:spPr>
          <a:xfrm>
            <a:off x="3703320" y="83820"/>
            <a:ext cx="2910840" cy="4945380"/>
          </a:xfrm>
          <a:prstGeom prst="rect">
            <a:avLst/>
          </a:prstGeom>
          <a:solidFill>
            <a:srgbClr val="05294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Rectangle 3">
            <a:extLst>
              <a:ext uri="{FF2B5EF4-FFF2-40B4-BE49-F238E27FC236}">
                <a16:creationId xmlns:a16="http://schemas.microsoft.com/office/drawing/2014/main" id="{7610F7B9-1484-2337-235B-2EA717E32D80}"/>
              </a:ext>
            </a:extLst>
          </xdr:cNvPr>
          <xdr:cNvSpPr/>
        </xdr:nvSpPr>
        <xdr:spPr>
          <a:xfrm>
            <a:off x="3710940" y="91440"/>
            <a:ext cx="2910840" cy="4945380"/>
          </a:xfrm>
          <a:prstGeom prst="rect">
            <a:avLst/>
          </a:prstGeom>
          <a:gradFill flip="none" rotWithShape="1">
            <a:gsLst>
              <a:gs pos="0">
                <a:srgbClr val="0C89CE"/>
              </a:gs>
              <a:gs pos="72000">
                <a:srgbClr val="05294B">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0</xdr:col>
      <xdr:colOff>152400</xdr:colOff>
      <xdr:row>24</xdr:row>
      <xdr:rowOff>10158</xdr:rowOff>
    </xdr:from>
    <xdr:to>
      <xdr:col>3</xdr:col>
      <xdr:colOff>214177</xdr:colOff>
      <xdr:row>26</xdr:row>
      <xdr:rowOff>72077</xdr:rowOff>
    </xdr:to>
    <xdr:grpSp>
      <xdr:nvGrpSpPr>
        <xdr:cNvPr id="5" name="Group 4">
          <a:extLst>
            <a:ext uri="{FF2B5EF4-FFF2-40B4-BE49-F238E27FC236}">
              <a16:creationId xmlns:a16="http://schemas.microsoft.com/office/drawing/2014/main" id="{5D3337F0-B5AD-4269-A9BB-CA05FC412CC4}"/>
            </a:ext>
          </a:extLst>
        </xdr:cNvPr>
        <xdr:cNvGrpSpPr/>
      </xdr:nvGrpSpPr>
      <xdr:grpSpPr>
        <a:xfrm>
          <a:off x="152400" y="4582158"/>
          <a:ext cx="1839777" cy="442919"/>
          <a:chOff x="0" y="0"/>
          <a:chExt cx="2501522" cy="420508"/>
        </a:xfrm>
        <a:effectLst>
          <a:outerShdw blurRad="50800" dist="38100" dir="8100000" algn="tr"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9EAF7A97-7FA1-B285-9A97-9748A3EB5A81}"/>
              </a:ext>
            </a:extLst>
          </xdr:cNvPr>
          <xdr:cNvSpPr/>
        </xdr:nvSpPr>
        <xdr:spPr>
          <a:xfrm>
            <a:off x="0" y="5977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FC789A16-C32D-6728-AF64-40F86EB78D7A}"/>
              </a:ext>
            </a:extLst>
          </xdr:cNvPr>
          <xdr:cNvSpPr/>
        </xdr:nvSpPr>
        <xdr:spPr>
          <a:xfrm>
            <a:off x="37241" y="8348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8" name="Group 7">
            <a:extLst>
              <a:ext uri="{FF2B5EF4-FFF2-40B4-BE49-F238E27FC236}">
                <a16:creationId xmlns:a16="http://schemas.microsoft.com/office/drawing/2014/main" id="{CA5B84DD-460F-423F-14CB-31600FEFEAD4}"/>
              </a:ext>
            </a:extLst>
          </xdr:cNvPr>
          <xdr:cNvGrpSpPr/>
        </xdr:nvGrpSpPr>
        <xdr:grpSpPr>
          <a:xfrm>
            <a:off x="189065" y="0"/>
            <a:ext cx="788458" cy="420508"/>
            <a:chOff x="189065" y="0"/>
            <a:chExt cx="3638263" cy="2110803"/>
          </a:xfrm>
        </xdr:grpSpPr>
        <xdr:sp macro="" textlink="">
          <xdr:nvSpPr>
            <xdr:cNvPr id="9" name="Freeform: Shape 8">
              <a:extLst>
                <a:ext uri="{FF2B5EF4-FFF2-40B4-BE49-F238E27FC236}">
                  <a16:creationId xmlns:a16="http://schemas.microsoft.com/office/drawing/2014/main" id="{F607086A-2036-8D70-6E49-3915A19F4909}"/>
                </a:ext>
              </a:extLst>
            </xdr:cNvPr>
            <xdr:cNvSpPr/>
          </xdr:nvSpPr>
          <xdr:spPr>
            <a:xfrm>
              <a:off x="189065" y="761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FC8049"/>
                </a:gs>
                <a:gs pos="100000">
                  <a:srgbClr val="D90D0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75E24AF4-FF88-170E-8347-528725606BEF}"/>
                </a:ext>
              </a:extLst>
            </xdr:cNvPr>
            <xdr:cNvSpPr/>
          </xdr:nvSpPr>
          <xdr:spPr>
            <a:xfrm>
              <a:off x="3078560" y="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FC4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Freeform: Shape 10">
              <a:extLst>
                <a:ext uri="{FF2B5EF4-FFF2-40B4-BE49-F238E27FC236}">
                  <a16:creationId xmlns:a16="http://schemas.microsoft.com/office/drawing/2014/main" id="{30B5DEAD-14D7-44CD-32F9-C209BEF6C205}"/>
                </a:ext>
              </a:extLst>
            </xdr:cNvPr>
            <xdr:cNvSpPr/>
          </xdr:nvSpPr>
          <xdr:spPr>
            <a:xfrm rot="10800000">
              <a:off x="192876" y="169936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BF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20</xdr:row>
      <xdr:rowOff>99058</xdr:rowOff>
    </xdr:from>
    <xdr:to>
      <xdr:col>3</xdr:col>
      <xdr:colOff>214177</xdr:colOff>
      <xdr:row>22</xdr:row>
      <xdr:rowOff>160977</xdr:rowOff>
    </xdr:to>
    <xdr:grpSp>
      <xdr:nvGrpSpPr>
        <xdr:cNvPr id="12" name="Group 11">
          <a:extLst>
            <a:ext uri="{FF2B5EF4-FFF2-40B4-BE49-F238E27FC236}">
              <a16:creationId xmlns:a16="http://schemas.microsoft.com/office/drawing/2014/main" id="{3B6CD3E3-A57F-4C6F-9655-0364AD62F280}"/>
            </a:ext>
          </a:extLst>
        </xdr:cNvPr>
        <xdr:cNvGrpSpPr/>
      </xdr:nvGrpSpPr>
      <xdr:grpSpPr>
        <a:xfrm>
          <a:off x="152400" y="3909058"/>
          <a:ext cx="1839777" cy="442919"/>
          <a:chOff x="0" y="662940"/>
          <a:chExt cx="2501522" cy="420508"/>
        </a:xfrm>
        <a:effectLst>
          <a:outerShdw blurRad="50800" dist="38100" dir="8100000" algn="t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62BDDAE8-10B8-2949-FE07-4A73A5487843}"/>
              </a:ext>
            </a:extLst>
          </xdr:cNvPr>
          <xdr:cNvSpPr/>
        </xdr:nvSpPr>
        <xdr:spPr>
          <a:xfrm>
            <a:off x="0" y="72271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Rounded Corners 13">
            <a:extLst>
              <a:ext uri="{FF2B5EF4-FFF2-40B4-BE49-F238E27FC236}">
                <a16:creationId xmlns:a16="http://schemas.microsoft.com/office/drawing/2014/main" id="{5EFF18B4-4A3E-0C21-36DD-AEBF078BC9E6}"/>
              </a:ext>
            </a:extLst>
          </xdr:cNvPr>
          <xdr:cNvSpPr/>
        </xdr:nvSpPr>
        <xdr:spPr>
          <a:xfrm>
            <a:off x="37241" y="74642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5" name="Group 14">
            <a:extLst>
              <a:ext uri="{FF2B5EF4-FFF2-40B4-BE49-F238E27FC236}">
                <a16:creationId xmlns:a16="http://schemas.microsoft.com/office/drawing/2014/main" id="{04D0375B-9437-208E-3020-6184ABEA9041}"/>
              </a:ext>
            </a:extLst>
          </xdr:cNvPr>
          <xdr:cNvGrpSpPr/>
        </xdr:nvGrpSpPr>
        <xdr:grpSpPr>
          <a:xfrm>
            <a:off x="189065" y="662940"/>
            <a:ext cx="788458" cy="420508"/>
            <a:chOff x="189065" y="662940"/>
            <a:chExt cx="3638263" cy="2110803"/>
          </a:xfrm>
        </xdr:grpSpPr>
        <xdr:sp macro="" textlink="">
          <xdr:nvSpPr>
            <xdr:cNvPr id="16" name="Freeform: Shape 15">
              <a:extLst>
                <a:ext uri="{FF2B5EF4-FFF2-40B4-BE49-F238E27FC236}">
                  <a16:creationId xmlns:a16="http://schemas.microsoft.com/office/drawing/2014/main" id="{1A9E9A4D-4F90-785F-14CE-4103049653BA}"/>
                </a:ext>
              </a:extLst>
            </xdr:cNvPr>
            <xdr:cNvSpPr/>
          </xdr:nvSpPr>
          <xdr:spPr>
            <a:xfrm>
              <a:off x="189065" y="67055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18CBF1"/>
                </a:gs>
                <a:gs pos="100000">
                  <a:srgbClr val="3EA7F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60511A38-F0B5-2A58-60B4-F0EC52E7E8F6}"/>
                </a:ext>
              </a:extLst>
            </xdr:cNvPr>
            <xdr:cNvSpPr/>
          </xdr:nvSpPr>
          <xdr:spPr>
            <a:xfrm>
              <a:off x="3078560" y="66294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2E9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E337B702-6C3F-67E3-A469-67861D5DD9E0}"/>
                </a:ext>
              </a:extLst>
            </xdr:cNvPr>
            <xdr:cNvSpPr/>
          </xdr:nvSpPr>
          <xdr:spPr>
            <a:xfrm rot="10800000">
              <a:off x="192876" y="236230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E81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27</xdr:row>
      <xdr:rowOff>104138</xdr:rowOff>
    </xdr:from>
    <xdr:to>
      <xdr:col>3</xdr:col>
      <xdr:colOff>214177</xdr:colOff>
      <xdr:row>29</xdr:row>
      <xdr:rowOff>166057</xdr:rowOff>
    </xdr:to>
    <xdr:grpSp>
      <xdr:nvGrpSpPr>
        <xdr:cNvPr id="19" name="Group 18">
          <a:extLst>
            <a:ext uri="{FF2B5EF4-FFF2-40B4-BE49-F238E27FC236}">
              <a16:creationId xmlns:a16="http://schemas.microsoft.com/office/drawing/2014/main" id="{B968306C-E425-4258-9376-BFBD838820EC}"/>
            </a:ext>
          </a:extLst>
        </xdr:cNvPr>
        <xdr:cNvGrpSpPr/>
      </xdr:nvGrpSpPr>
      <xdr:grpSpPr>
        <a:xfrm>
          <a:off x="152400" y="5247638"/>
          <a:ext cx="1839777" cy="442919"/>
          <a:chOff x="0" y="1318260"/>
          <a:chExt cx="2501522" cy="420508"/>
        </a:xfrm>
        <a:effectLst>
          <a:outerShdw blurRad="50800" dist="38100" dir="8100000" algn="tr"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D6342C83-6801-9697-D568-E773D8076213}"/>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AB89BB6D-9D88-4E71-5847-666CCA1CF03B}"/>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2" name="Group 21">
            <a:extLst>
              <a:ext uri="{FF2B5EF4-FFF2-40B4-BE49-F238E27FC236}">
                <a16:creationId xmlns:a16="http://schemas.microsoft.com/office/drawing/2014/main" id="{96C646FF-755F-66EA-D4B2-2C727192A5FE}"/>
              </a:ext>
            </a:extLst>
          </xdr:cNvPr>
          <xdr:cNvGrpSpPr/>
        </xdr:nvGrpSpPr>
        <xdr:grpSpPr>
          <a:xfrm>
            <a:off x="189065" y="1318260"/>
            <a:ext cx="788458" cy="420508"/>
            <a:chOff x="189065" y="1318260"/>
            <a:chExt cx="3638263" cy="2110803"/>
          </a:xfrm>
        </xdr:grpSpPr>
        <xdr:sp macro="" textlink="">
          <xdr:nvSpPr>
            <xdr:cNvPr id="23" name="Freeform: Shape 22">
              <a:extLst>
                <a:ext uri="{FF2B5EF4-FFF2-40B4-BE49-F238E27FC236}">
                  <a16:creationId xmlns:a16="http://schemas.microsoft.com/office/drawing/2014/main" id="{830A034E-4F9B-262C-2CE8-27D68F1CE73E}"/>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00FAEE"/>
                </a:gs>
                <a:gs pos="100000">
                  <a:srgbClr val="00A8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Freeform: Shape 23">
              <a:extLst>
                <a:ext uri="{FF2B5EF4-FFF2-40B4-BE49-F238E27FC236}">
                  <a16:creationId xmlns:a16="http://schemas.microsoft.com/office/drawing/2014/main" id="{AD784230-F893-3B97-7834-F36BD9F52118}"/>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C6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C69AADDE-0740-1B24-A687-48DBB17281B2}"/>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31</xdr:row>
      <xdr:rowOff>15237</xdr:rowOff>
    </xdr:from>
    <xdr:to>
      <xdr:col>3</xdr:col>
      <xdr:colOff>214177</xdr:colOff>
      <xdr:row>33</xdr:row>
      <xdr:rowOff>77156</xdr:rowOff>
    </xdr:to>
    <xdr:grpSp>
      <xdr:nvGrpSpPr>
        <xdr:cNvPr id="26" name="Group 25">
          <a:extLst>
            <a:ext uri="{FF2B5EF4-FFF2-40B4-BE49-F238E27FC236}">
              <a16:creationId xmlns:a16="http://schemas.microsoft.com/office/drawing/2014/main" id="{2173CD26-87A5-44A7-8E36-A5A9AC689753}"/>
            </a:ext>
          </a:extLst>
        </xdr:cNvPr>
        <xdr:cNvGrpSpPr/>
      </xdr:nvGrpSpPr>
      <xdr:grpSpPr>
        <a:xfrm>
          <a:off x="152400" y="5920737"/>
          <a:ext cx="1839777" cy="442919"/>
          <a:chOff x="0" y="1318260"/>
          <a:chExt cx="2501522" cy="420508"/>
        </a:xfrm>
        <a:effectLst>
          <a:outerShdw blurRad="50800" dist="38100" dir="8100000" algn="tr"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5856586F-A435-11B7-5C70-F1836F7A976F}"/>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21AF4DDB-B1B1-CF6E-1DFF-E9604752A986}"/>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9" name="Group 28">
            <a:extLst>
              <a:ext uri="{FF2B5EF4-FFF2-40B4-BE49-F238E27FC236}">
                <a16:creationId xmlns:a16="http://schemas.microsoft.com/office/drawing/2014/main" id="{CAA061B2-C985-0128-D2B1-6954DCB8EBC1}"/>
              </a:ext>
            </a:extLst>
          </xdr:cNvPr>
          <xdr:cNvGrpSpPr/>
        </xdr:nvGrpSpPr>
        <xdr:grpSpPr>
          <a:xfrm>
            <a:off x="189065" y="1318260"/>
            <a:ext cx="788458" cy="420508"/>
            <a:chOff x="189065" y="1318260"/>
            <a:chExt cx="3638263" cy="2110803"/>
          </a:xfrm>
        </xdr:grpSpPr>
        <xdr:sp macro="" textlink="">
          <xdr:nvSpPr>
            <xdr:cNvPr id="30" name="Freeform: Shape 29">
              <a:extLst>
                <a:ext uri="{FF2B5EF4-FFF2-40B4-BE49-F238E27FC236}">
                  <a16:creationId xmlns:a16="http://schemas.microsoft.com/office/drawing/2014/main" id="{C9A32DDC-F663-3FE0-9BA0-AD333CFECC67}"/>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D623A8"/>
                </a:gs>
                <a:gs pos="100000">
                  <a:srgbClr val="76027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25CCF496-C321-8F21-EA97-D200793EBCBC}"/>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7B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D395A0A5-3F6C-0B7C-8E14-CE2683FE2FF6}"/>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4D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403860</xdr:colOff>
      <xdr:row>0</xdr:row>
      <xdr:rowOff>0</xdr:rowOff>
    </xdr:from>
    <xdr:to>
      <xdr:col>23</xdr:col>
      <xdr:colOff>419100</xdr:colOff>
      <xdr:row>38</xdr:row>
      <xdr:rowOff>99060</xdr:rowOff>
    </xdr:to>
    <xdr:sp macro="" textlink="">
      <xdr:nvSpPr>
        <xdr:cNvPr id="33" name="Rectangle 32">
          <a:extLst>
            <a:ext uri="{FF2B5EF4-FFF2-40B4-BE49-F238E27FC236}">
              <a16:creationId xmlns:a16="http://schemas.microsoft.com/office/drawing/2014/main" id="{EDDB8BED-EA88-40FF-8B10-F784B2AC94BA}"/>
            </a:ext>
          </a:extLst>
        </xdr:cNvPr>
        <xdr:cNvSpPr/>
      </xdr:nvSpPr>
      <xdr:spPr>
        <a:xfrm>
          <a:off x="2232660" y="0"/>
          <a:ext cx="12207240" cy="7048500"/>
        </a:xfrm>
        <a:prstGeom prst="rect">
          <a:avLst/>
        </a:prstGeom>
        <a:solidFill>
          <a:schemeClr val="bg1"/>
        </a:solidFill>
        <a:ln>
          <a:noFill/>
        </a:ln>
        <a:effectLst>
          <a:outerShdw blurRad="546100" dist="215900" dir="11700000" algn="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0</xdr:col>
      <xdr:colOff>0</xdr:colOff>
      <xdr:row>1</xdr:row>
      <xdr:rowOff>30480</xdr:rowOff>
    </xdr:from>
    <xdr:to>
      <xdr:col>7</xdr:col>
      <xdr:colOff>205740</xdr:colOff>
      <xdr:row>18</xdr:row>
      <xdr:rowOff>121920</xdr:rowOff>
    </xdr:to>
    <xdr:graphicFrame macro="">
      <xdr:nvGraphicFramePr>
        <xdr:cNvPr id="34" name="Chart 33">
          <a:extLst>
            <a:ext uri="{FF2B5EF4-FFF2-40B4-BE49-F238E27FC236}">
              <a16:creationId xmlns:a16="http://schemas.microsoft.com/office/drawing/2014/main" id="{DCC3C9D1-F43D-4EC8-9B97-74F3D71E3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129540</xdr:colOff>
      <xdr:row>0</xdr:row>
      <xdr:rowOff>0</xdr:rowOff>
    </xdr:from>
    <xdr:to>
      <xdr:col>23</xdr:col>
      <xdr:colOff>441960</xdr:colOff>
      <xdr:row>14</xdr:row>
      <xdr:rowOff>91440</xdr:rowOff>
    </xdr:to>
    <xdr:sp macro="" textlink="">
      <xdr:nvSpPr>
        <xdr:cNvPr id="35" name="Rectangle 34">
          <a:extLst>
            <a:ext uri="{FF2B5EF4-FFF2-40B4-BE49-F238E27FC236}">
              <a16:creationId xmlns:a16="http://schemas.microsoft.com/office/drawing/2014/main" id="{0BB5E7FC-8809-463E-B7BF-723E617958F4}"/>
            </a:ext>
          </a:extLst>
        </xdr:cNvPr>
        <xdr:cNvSpPr/>
      </xdr:nvSpPr>
      <xdr:spPr>
        <a:xfrm>
          <a:off x="10492740" y="0"/>
          <a:ext cx="3970020" cy="2651760"/>
        </a:xfrm>
        <a:prstGeom prst="rect">
          <a:avLst/>
        </a:prstGeom>
        <a:solidFill>
          <a:srgbClr val="052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22</xdr:col>
      <xdr:colOff>508635</xdr:colOff>
      <xdr:row>0</xdr:row>
      <xdr:rowOff>7620</xdr:rowOff>
    </xdr:from>
    <xdr:to>
      <xdr:col>23</xdr:col>
      <xdr:colOff>443865</xdr:colOff>
      <xdr:row>5</xdr:row>
      <xdr:rowOff>144780</xdr:rowOff>
    </xdr:to>
    <xdr:sp macro="" textlink="">
      <xdr:nvSpPr>
        <xdr:cNvPr id="36" name="Right Triangle 35">
          <a:extLst>
            <a:ext uri="{FF2B5EF4-FFF2-40B4-BE49-F238E27FC236}">
              <a16:creationId xmlns:a16="http://schemas.microsoft.com/office/drawing/2014/main" id="{D31046FA-B203-4592-B7AF-8D44C382413E}"/>
            </a:ext>
          </a:extLst>
        </xdr:cNvPr>
        <xdr:cNvSpPr/>
      </xdr:nvSpPr>
      <xdr:spPr>
        <a:xfrm rot="10800000">
          <a:off x="13919835" y="7620"/>
          <a:ext cx="544830" cy="1051560"/>
        </a:xfrm>
        <a:prstGeom prst="rtTriangle">
          <a:avLst/>
        </a:prstGeom>
        <a:solidFill>
          <a:srgbClr val="0075AA">
            <a:alpha val="79000"/>
          </a:srgb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23</xdr:col>
      <xdr:colOff>51054</xdr:colOff>
      <xdr:row>2</xdr:row>
      <xdr:rowOff>129540</xdr:rowOff>
    </xdr:from>
    <xdr:to>
      <xdr:col>23</xdr:col>
      <xdr:colOff>436626</xdr:colOff>
      <xdr:row>9</xdr:row>
      <xdr:rowOff>121920</xdr:rowOff>
    </xdr:to>
    <xdr:sp macro="" textlink="">
      <xdr:nvSpPr>
        <xdr:cNvPr id="37" name="Right Triangle 36">
          <a:extLst>
            <a:ext uri="{FF2B5EF4-FFF2-40B4-BE49-F238E27FC236}">
              <a16:creationId xmlns:a16="http://schemas.microsoft.com/office/drawing/2014/main" id="{C2F1BDAF-DDBE-4346-9B4D-5B031765E3AC}"/>
            </a:ext>
          </a:extLst>
        </xdr:cNvPr>
        <xdr:cNvSpPr/>
      </xdr:nvSpPr>
      <xdr:spPr>
        <a:xfrm flipH="1">
          <a:off x="14071854" y="495300"/>
          <a:ext cx="385572" cy="1272540"/>
        </a:xfrm>
        <a:prstGeom prst="rtTriangle">
          <a:avLst/>
        </a:prstGeom>
        <a:solidFill>
          <a:srgbClr val="CBF7FF">
            <a:alpha val="68000"/>
          </a:srgb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312420</xdr:colOff>
      <xdr:row>0</xdr:row>
      <xdr:rowOff>152400</xdr:rowOff>
    </xdr:from>
    <xdr:to>
      <xdr:col>22</xdr:col>
      <xdr:colOff>373380</xdr:colOff>
      <xdr:row>7</xdr:row>
      <xdr:rowOff>152400</xdr:rowOff>
    </xdr:to>
    <xdr:sp macro="" textlink="">
      <xdr:nvSpPr>
        <xdr:cNvPr id="38" name="Oval 37">
          <a:extLst>
            <a:ext uri="{FF2B5EF4-FFF2-40B4-BE49-F238E27FC236}">
              <a16:creationId xmlns:a16="http://schemas.microsoft.com/office/drawing/2014/main" id="{3380FEF2-6E0F-4F6B-B17E-64D44C3DA611}"/>
            </a:ext>
          </a:extLst>
        </xdr:cNvPr>
        <xdr:cNvSpPr/>
      </xdr:nvSpPr>
      <xdr:spPr>
        <a:xfrm>
          <a:off x="12504420" y="152400"/>
          <a:ext cx="1280160" cy="1280160"/>
        </a:xfrm>
        <a:prstGeom prst="ellipse">
          <a:avLst/>
        </a:prstGeom>
        <a:solidFill>
          <a:schemeClr val="tx2">
            <a:lumMod val="10000"/>
            <a:lumOff val="90000"/>
          </a:schemeClr>
        </a:solidFill>
        <a:ln>
          <a:noFill/>
        </a:ln>
        <a:effectLst>
          <a:outerShdw blurRad="50800" dist="762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228600</xdr:colOff>
      <xdr:row>0</xdr:row>
      <xdr:rowOff>22860</xdr:rowOff>
    </xdr:from>
    <xdr:to>
      <xdr:col>24</xdr:col>
      <xdr:colOff>53340</xdr:colOff>
      <xdr:row>8</xdr:row>
      <xdr:rowOff>91440</xdr:rowOff>
    </xdr:to>
    <xdr:graphicFrame macro="">
      <xdr:nvGraphicFramePr>
        <xdr:cNvPr id="39" name="Chart 38">
          <a:extLst>
            <a:ext uri="{FF2B5EF4-FFF2-40B4-BE49-F238E27FC236}">
              <a16:creationId xmlns:a16="http://schemas.microsoft.com/office/drawing/2014/main" id="{13DBF2E5-95F0-4FAC-9259-34CDD3ACF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22860</xdr:colOff>
      <xdr:row>2</xdr:row>
      <xdr:rowOff>99060</xdr:rowOff>
    </xdr:from>
    <xdr:to>
      <xdr:col>22</xdr:col>
      <xdr:colOff>53340</xdr:colOff>
      <xdr:row>6</xdr:row>
      <xdr:rowOff>7620</xdr:rowOff>
    </xdr:to>
    <xdr:grpSp>
      <xdr:nvGrpSpPr>
        <xdr:cNvPr id="40" name="Group 39">
          <a:extLst>
            <a:ext uri="{FF2B5EF4-FFF2-40B4-BE49-F238E27FC236}">
              <a16:creationId xmlns:a16="http://schemas.microsoft.com/office/drawing/2014/main" id="{5BA6259A-896A-4782-B3CC-A17730551853}"/>
            </a:ext>
          </a:extLst>
        </xdr:cNvPr>
        <xdr:cNvGrpSpPr/>
      </xdr:nvGrpSpPr>
      <xdr:grpSpPr>
        <a:xfrm>
          <a:off x="12468860" y="480060"/>
          <a:ext cx="623147" cy="670560"/>
          <a:chOff x="12839700" y="472440"/>
          <a:chExt cx="640080" cy="640080"/>
        </a:xfrm>
      </xdr:grpSpPr>
      <xdr:sp macro="" textlink="">
        <xdr:nvSpPr>
          <xdr:cNvPr id="41" name="Oval 40">
            <a:extLst>
              <a:ext uri="{FF2B5EF4-FFF2-40B4-BE49-F238E27FC236}">
                <a16:creationId xmlns:a16="http://schemas.microsoft.com/office/drawing/2014/main" id="{87DBAE1C-7E7E-F7F0-F0D0-C2DB0E6DA5F4}"/>
              </a:ext>
            </a:extLst>
          </xdr:cNvPr>
          <xdr:cNvSpPr/>
        </xdr:nvSpPr>
        <xdr:spPr>
          <a:xfrm>
            <a:off x="12839700" y="472440"/>
            <a:ext cx="640080" cy="640080"/>
          </a:xfrm>
          <a:prstGeom prst="ellipse">
            <a:avLst/>
          </a:prstGeom>
          <a:solidFill>
            <a:schemeClr val="bg1"/>
          </a:solidFill>
          <a:ln>
            <a:noFill/>
          </a:ln>
          <a:effectLst>
            <a:innerShdw blurRad="279400">
              <a:schemeClr val="tx2">
                <a:lumMod val="25000"/>
                <a:lumOff val="7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2" name="Circle: Hollow 41">
            <a:extLst>
              <a:ext uri="{FF2B5EF4-FFF2-40B4-BE49-F238E27FC236}">
                <a16:creationId xmlns:a16="http://schemas.microsoft.com/office/drawing/2014/main" id="{F5F25DB4-3DCC-4C05-4B1F-E17B325BE869}"/>
              </a:ext>
            </a:extLst>
          </xdr:cNvPr>
          <xdr:cNvSpPr/>
        </xdr:nvSpPr>
        <xdr:spPr>
          <a:xfrm>
            <a:off x="12839700" y="472440"/>
            <a:ext cx="640080" cy="640080"/>
          </a:xfrm>
          <a:prstGeom prst="donut">
            <a:avLst>
              <a:gd name="adj" fmla="val 6442"/>
            </a:avLst>
          </a:prstGeom>
          <a:solidFill>
            <a:schemeClr val="bg1"/>
          </a:solidFill>
          <a:ln>
            <a:noFill/>
          </a:ln>
          <a:effectLst>
            <a:outerShdw blurRad="63500" sx="102000" sy="102000" algn="ctr"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solidFill>
                <a:schemeClr val="tx1"/>
              </a:solidFill>
            </a:endParaRPr>
          </a:p>
        </xdr:txBody>
      </xdr:sp>
    </xdr:grpSp>
    <xdr:clientData/>
  </xdr:twoCellAnchor>
  <xdr:twoCellAnchor>
    <xdr:from>
      <xdr:col>6</xdr:col>
      <xdr:colOff>15240</xdr:colOff>
      <xdr:row>3</xdr:row>
      <xdr:rowOff>38100</xdr:rowOff>
    </xdr:from>
    <xdr:to>
      <xdr:col>6</xdr:col>
      <xdr:colOff>472440</xdr:colOff>
      <xdr:row>5</xdr:row>
      <xdr:rowOff>129540</xdr:rowOff>
    </xdr:to>
    <xdr:sp macro="" textlink="">
      <xdr:nvSpPr>
        <xdr:cNvPr id="50" name="Oval 49">
          <a:extLst>
            <a:ext uri="{FF2B5EF4-FFF2-40B4-BE49-F238E27FC236}">
              <a16:creationId xmlns:a16="http://schemas.microsoft.com/office/drawing/2014/main" id="{EA2316E6-9D30-4119-A323-5E75E1DFB76C}"/>
            </a:ext>
          </a:extLst>
        </xdr:cNvPr>
        <xdr:cNvSpPr/>
      </xdr:nvSpPr>
      <xdr:spPr>
        <a:xfrm>
          <a:off x="3672840" y="586740"/>
          <a:ext cx="457200" cy="457200"/>
        </a:xfrm>
        <a:prstGeom prst="ellipse">
          <a:avLst/>
        </a:prstGeom>
        <a:solidFill>
          <a:srgbClr val="06A9E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281940</xdr:colOff>
      <xdr:row>8</xdr:row>
      <xdr:rowOff>152400</xdr:rowOff>
    </xdr:from>
    <xdr:to>
      <xdr:col>7</xdr:col>
      <xdr:colOff>129540</xdr:colOff>
      <xdr:row>11</xdr:row>
      <xdr:rowOff>60960</xdr:rowOff>
    </xdr:to>
    <xdr:sp macro="" textlink="">
      <xdr:nvSpPr>
        <xdr:cNvPr id="51" name="Oval 50">
          <a:extLst>
            <a:ext uri="{FF2B5EF4-FFF2-40B4-BE49-F238E27FC236}">
              <a16:creationId xmlns:a16="http://schemas.microsoft.com/office/drawing/2014/main" id="{A1507C5F-A877-406C-ABFC-F598D1314890}"/>
            </a:ext>
          </a:extLst>
        </xdr:cNvPr>
        <xdr:cNvSpPr/>
      </xdr:nvSpPr>
      <xdr:spPr>
        <a:xfrm>
          <a:off x="3939540" y="1615440"/>
          <a:ext cx="457200" cy="457200"/>
        </a:xfrm>
        <a:prstGeom prst="ellipse">
          <a:avLst/>
        </a:prstGeom>
        <a:solidFill>
          <a:srgbClr val="0075A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6</xdr:col>
      <xdr:colOff>22860</xdr:colOff>
      <xdr:row>14</xdr:row>
      <xdr:rowOff>53340</xdr:rowOff>
    </xdr:from>
    <xdr:to>
      <xdr:col>6</xdr:col>
      <xdr:colOff>480060</xdr:colOff>
      <xdr:row>16</xdr:row>
      <xdr:rowOff>144780</xdr:rowOff>
    </xdr:to>
    <xdr:sp macro="" textlink="">
      <xdr:nvSpPr>
        <xdr:cNvPr id="52" name="Oval 51">
          <a:extLst>
            <a:ext uri="{FF2B5EF4-FFF2-40B4-BE49-F238E27FC236}">
              <a16:creationId xmlns:a16="http://schemas.microsoft.com/office/drawing/2014/main" id="{A6EE1C50-6707-4B43-81A1-8E78BAAC9719}"/>
            </a:ext>
          </a:extLst>
        </xdr:cNvPr>
        <xdr:cNvSpPr/>
      </xdr:nvSpPr>
      <xdr:spPr>
        <a:xfrm>
          <a:off x="3680460" y="2613660"/>
          <a:ext cx="457200" cy="457200"/>
        </a:xfrm>
        <a:prstGeom prst="ellipse">
          <a:avLst/>
        </a:prstGeom>
        <a:solidFill>
          <a:srgbClr val="B9F5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b="1" kern="1200">
            <a:solidFill>
              <a:schemeClr val="lt1"/>
            </a:solidFill>
            <a:latin typeface="+mn-lt"/>
            <a:ea typeface="+mn-ea"/>
            <a:cs typeface="+mn-cs"/>
          </a:endParaRPr>
        </a:p>
      </xdr:txBody>
    </xdr:sp>
    <xdr:clientData/>
  </xdr:twoCellAnchor>
  <xdr:twoCellAnchor>
    <xdr:from>
      <xdr:col>6</xdr:col>
      <xdr:colOff>472440</xdr:colOff>
      <xdr:row>1</xdr:row>
      <xdr:rowOff>76200</xdr:rowOff>
    </xdr:from>
    <xdr:to>
      <xdr:col>7</xdr:col>
      <xdr:colOff>266700</xdr:colOff>
      <xdr:row>3</xdr:row>
      <xdr:rowOff>114300</xdr:rowOff>
    </xdr:to>
    <xdr:sp macro="" textlink="">
      <xdr:nvSpPr>
        <xdr:cNvPr id="53" name="Oval 52">
          <a:extLst>
            <a:ext uri="{FF2B5EF4-FFF2-40B4-BE49-F238E27FC236}">
              <a16:creationId xmlns:a16="http://schemas.microsoft.com/office/drawing/2014/main" id="{59A26EF6-FA1E-41FF-A845-D3E0DDBB7827}"/>
            </a:ext>
          </a:extLst>
        </xdr:cNvPr>
        <xdr:cNvSpPr/>
      </xdr:nvSpPr>
      <xdr:spPr>
        <a:xfrm>
          <a:off x="4130040" y="259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400" b="1" kern="1200">
              <a:solidFill>
                <a:schemeClr val="tx2">
                  <a:lumMod val="75000"/>
                  <a:lumOff val="25000"/>
                </a:schemeClr>
              </a:solidFill>
            </a:rPr>
            <a:t>A</a:t>
          </a:r>
          <a:endParaRPr lang="ru-RU" sz="2400" b="1" kern="1200">
            <a:solidFill>
              <a:schemeClr val="tx2">
                <a:lumMod val="75000"/>
                <a:lumOff val="25000"/>
              </a:schemeClr>
            </a:solidFill>
          </a:endParaRPr>
        </a:p>
      </xdr:txBody>
    </xdr:sp>
    <xdr:clientData/>
  </xdr:twoCellAnchor>
  <xdr:twoCellAnchor>
    <xdr:from>
      <xdr:col>7</xdr:col>
      <xdr:colOff>213360</xdr:colOff>
      <xdr:row>8</xdr:row>
      <xdr:rowOff>175260</xdr:rowOff>
    </xdr:from>
    <xdr:to>
      <xdr:col>8</xdr:col>
      <xdr:colOff>7620</xdr:colOff>
      <xdr:row>11</xdr:row>
      <xdr:rowOff>30480</xdr:rowOff>
    </xdr:to>
    <xdr:sp macro="" textlink="">
      <xdr:nvSpPr>
        <xdr:cNvPr id="54" name="Oval 53">
          <a:extLst>
            <a:ext uri="{FF2B5EF4-FFF2-40B4-BE49-F238E27FC236}">
              <a16:creationId xmlns:a16="http://schemas.microsoft.com/office/drawing/2014/main" id="{C30ABB65-7227-4379-AFAA-BCFEB7D5EBF1}"/>
            </a:ext>
          </a:extLst>
        </xdr:cNvPr>
        <xdr:cNvSpPr/>
      </xdr:nvSpPr>
      <xdr:spPr>
        <a:xfrm>
          <a:off x="4480560" y="163830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B</a:t>
          </a:r>
          <a:endParaRPr lang="ru-RU" sz="2400" b="1" kern="1200">
            <a:solidFill>
              <a:schemeClr val="tx2">
                <a:lumMod val="75000"/>
                <a:lumOff val="25000"/>
              </a:schemeClr>
            </a:solidFill>
            <a:latin typeface="+mn-lt"/>
            <a:ea typeface="+mn-ea"/>
            <a:cs typeface="+mn-cs"/>
          </a:endParaRPr>
        </a:p>
      </xdr:txBody>
    </xdr:sp>
    <xdr:clientData/>
  </xdr:twoCellAnchor>
  <xdr:twoCellAnchor>
    <xdr:from>
      <xdr:col>6</xdr:col>
      <xdr:colOff>457200</xdr:colOff>
      <xdr:row>16</xdr:row>
      <xdr:rowOff>114300</xdr:rowOff>
    </xdr:from>
    <xdr:to>
      <xdr:col>7</xdr:col>
      <xdr:colOff>251460</xdr:colOff>
      <xdr:row>18</xdr:row>
      <xdr:rowOff>152400</xdr:rowOff>
    </xdr:to>
    <xdr:sp macro="" textlink="">
      <xdr:nvSpPr>
        <xdr:cNvPr id="55" name="Oval 54">
          <a:extLst>
            <a:ext uri="{FF2B5EF4-FFF2-40B4-BE49-F238E27FC236}">
              <a16:creationId xmlns:a16="http://schemas.microsoft.com/office/drawing/2014/main" id="{0530BB54-1980-4CA7-8B44-203B398220D0}"/>
            </a:ext>
          </a:extLst>
        </xdr:cNvPr>
        <xdr:cNvSpPr/>
      </xdr:nvSpPr>
      <xdr:spPr>
        <a:xfrm>
          <a:off x="4114800" y="30403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C</a:t>
          </a:r>
          <a:endParaRPr lang="ru-RU" sz="2400" b="1" kern="1200">
            <a:solidFill>
              <a:schemeClr val="tx2">
                <a:lumMod val="75000"/>
                <a:lumOff val="25000"/>
              </a:schemeClr>
            </a:solidFill>
            <a:latin typeface="+mn-lt"/>
            <a:ea typeface="+mn-ea"/>
            <a:cs typeface="+mn-cs"/>
          </a:endParaRPr>
        </a:p>
      </xdr:txBody>
    </xdr:sp>
    <xdr:clientData/>
  </xdr:twoCellAnchor>
  <xdr:oneCellAnchor>
    <xdr:from>
      <xdr:col>7</xdr:col>
      <xdr:colOff>416694</xdr:colOff>
      <xdr:row>0</xdr:row>
      <xdr:rowOff>0</xdr:rowOff>
    </xdr:from>
    <xdr:ext cx="6152216" cy="1105046"/>
    <xdr:sp macro="" textlink="">
      <xdr:nvSpPr>
        <xdr:cNvPr id="56" name="Rectangle 55">
          <a:extLst>
            <a:ext uri="{FF2B5EF4-FFF2-40B4-BE49-F238E27FC236}">
              <a16:creationId xmlns:a16="http://schemas.microsoft.com/office/drawing/2014/main" id="{69082974-A3F0-4D6F-9442-9394986D538B}"/>
            </a:ext>
          </a:extLst>
        </xdr:cNvPr>
        <xdr:cNvSpPr/>
      </xdr:nvSpPr>
      <xdr:spPr>
        <a:xfrm>
          <a:off x="4683894" y="0"/>
          <a:ext cx="6152216" cy="1105046"/>
        </a:xfrm>
        <a:prstGeom prst="rect">
          <a:avLst/>
        </a:prstGeom>
        <a:noFill/>
        <a:ln>
          <a:noFill/>
        </a:ln>
        <a:effectLst/>
      </xdr:spPr>
      <xdr:txBody>
        <a:bodyPr wrap="square" lIns="91440" tIns="45720" rIns="91440" bIns="45720">
          <a:spAutoFit/>
        </a:bodyPr>
        <a:lstStyle/>
        <a:p>
          <a:pPr algn="ctr"/>
          <a:r>
            <a:rPr lang="pl-PL"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Target Audience </a:t>
          </a:r>
        </a:p>
        <a:p>
          <a:pPr algn="ctr"/>
          <a:r>
            <a:rPr lang="pl-PL"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Intersection</a:t>
          </a:r>
          <a:endParaRPr lang="en-US"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endParaRPr>
        </a:p>
      </xdr:txBody>
    </xdr:sp>
    <xdr:clientData/>
  </xdr:oneCellAnchor>
  <xdr:twoCellAnchor>
    <xdr:from>
      <xdr:col>2</xdr:col>
      <xdr:colOff>449580</xdr:colOff>
      <xdr:row>0</xdr:row>
      <xdr:rowOff>0</xdr:rowOff>
    </xdr:from>
    <xdr:to>
      <xdr:col>23</xdr:col>
      <xdr:colOff>526473</xdr:colOff>
      <xdr:row>47</xdr:row>
      <xdr:rowOff>171287</xdr:rowOff>
    </xdr:to>
    <xdr:graphicFrame macro="">
      <xdr:nvGraphicFramePr>
        <xdr:cNvPr id="57" name="Chart 56">
          <a:extLst>
            <a:ext uri="{FF2B5EF4-FFF2-40B4-BE49-F238E27FC236}">
              <a16:creationId xmlns:a16="http://schemas.microsoft.com/office/drawing/2014/main" id="{92762A5E-365F-465B-A3DB-96916F3B1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556260</xdr:colOff>
      <xdr:row>14</xdr:row>
      <xdr:rowOff>121920</xdr:rowOff>
    </xdr:from>
    <xdr:to>
      <xdr:col>6</xdr:col>
      <xdr:colOff>563880</xdr:colOff>
      <xdr:row>16</xdr:row>
      <xdr:rowOff>60960</xdr:rowOff>
    </xdr:to>
    <xdr:sp macro="" textlink="Processing!B3">
      <xdr:nvSpPr>
        <xdr:cNvPr id="58" name="TextBox 57">
          <a:extLst>
            <a:ext uri="{FF2B5EF4-FFF2-40B4-BE49-F238E27FC236}">
              <a16:creationId xmlns:a16="http://schemas.microsoft.com/office/drawing/2014/main" id="{82020E56-F577-427B-AE8F-14E872468669}"/>
            </a:ext>
          </a:extLst>
        </xdr:cNvPr>
        <xdr:cNvSpPr txBox="1"/>
      </xdr:nvSpPr>
      <xdr:spPr>
        <a:xfrm>
          <a:off x="3604260" y="268224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C542D-35F1-4AB8-9684-48687BB1F6B9}" type="TxLink">
            <a:rPr lang="en-US" sz="1400" b="1" i="0" u="none" strike="noStrike" kern="1200">
              <a:solidFill>
                <a:srgbClr val="0075AA"/>
              </a:solidFill>
              <a:latin typeface="Aptos Narrow"/>
            </a:rPr>
            <a:pPr algn="ctr"/>
            <a:t>44%</a:t>
          </a:fld>
          <a:endParaRPr lang="ru-RU" sz="1400" b="1" kern="1200">
            <a:solidFill>
              <a:srgbClr val="0075AA"/>
            </a:solidFill>
          </a:endParaRPr>
        </a:p>
      </xdr:txBody>
    </xdr:sp>
    <xdr:clientData/>
  </xdr:twoCellAnchor>
  <xdr:twoCellAnchor>
    <xdr:from>
      <xdr:col>6</xdr:col>
      <xdr:colOff>148552</xdr:colOff>
      <xdr:row>8</xdr:row>
      <xdr:rowOff>127938</xdr:rowOff>
    </xdr:from>
    <xdr:to>
      <xdr:col>7</xdr:col>
      <xdr:colOff>285788</xdr:colOff>
      <xdr:row>11</xdr:row>
      <xdr:rowOff>70182</xdr:rowOff>
    </xdr:to>
    <xdr:sp macro="" textlink="Processing!B4">
      <xdr:nvSpPr>
        <xdr:cNvPr id="59" name="TextBox 58">
          <a:extLst>
            <a:ext uri="{FF2B5EF4-FFF2-40B4-BE49-F238E27FC236}">
              <a16:creationId xmlns:a16="http://schemas.microsoft.com/office/drawing/2014/main" id="{CFC66CD2-6C5C-4CFF-B3C7-A2104866EBD4}"/>
            </a:ext>
          </a:extLst>
        </xdr:cNvPr>
        <xdr:cNvSpPr txBox="1"/>
      </xdr:nvSpPr>
      <xdr:spPr>
        <a:xfrm>
          <a:off x="3806152" y="1590978"/>
          <a:ext cx="746836" cy="49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C59C6-B73C-4885-A2B4-D97D564F334A}" type="TxLink">
            <a:rPr lang="en-US" sz="1400" b="1" i="0" u="none" strike="noStrike" kern="1200">
              <a:solidFill>
                <a:schemeClr val="bg1"/>
              </a:solidFill>
              <a:latin typeface="Aptos Narrow"/>
            </a:rPr>
            <a:pPr algn="ctr"/>
            <a:t>31%</a:t>
          </a:fld>
          <a:endParaRPr lang="ru-RU" sz="1600" b="1" kern="1200">
            <a:solidFill>
              <a:schemeClr val="bg1"/>
            </a:solidFill>
          </a:endParaRPr>
        </a:p>
      </xdr:txBody>
    </xdr:sp>
    <xdr:clientData/>
  </xdr:twoCellAnchor>
  <xdr:twoCellAnchor>
    <xdr:from>
      <xdr:col>5</xdr:col>
      <xdr:colOff>548640</xdr:colOff>
      <xdr:row>3</xdr:row>
      <xdr:rowOff>99060</xdr:rowOff>
    </xdr:from>
    <xdr:to>
      <xdr:col>6</xdr:col>
      <xdr:colOff>556260</xdr:colOff>
      <xdr:row>5</xdr:row>
      <xdr:rowOff>38100</xdr:rowOff>
    </xdr:to>
    <xdr:sp macro="" textlink="Processing!B5">
      <xdr:nvSpPr>
        <xdr:cNvPr id="60" name="TextBox 59">
          <a:extLst>
            <a:ext uri="{FF2B5EF4-FFF2-40B4-BE49-F238E27FC236}">
              <a16:creationId xmlns:a16="http://schemas.microsoft.com/office/drawing/2014/main" id="{7087899C-418C-4248-A128-2352EA1C3838}"/>
            </a:ext>
          </a:extLst>
        </xdr:cNvPr>
        <xdr:cNvSpPr txBox="1"/>
      </xdr:nvSpPr>
      <xdr:spPr>
        <a:xfrm>
          <a:off x="3596640" y="64770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9BCA5-D2E1-4F75-9AA4-753F08AB4141}" type="TxLink">
            <a:rPr lang="en-US" sz="1400" b="1" i="0" u="none" strike="noStrike" kern="1200">
              <a:solidFill>
                <a:schemeClr val="bg1"/>
              </a:solidFill>
              <a:latin typeface="Aptos Narrow"/>
            </a:rPr>
            <a:pPr algn="ctr"/>
            <a:t>64%</a:t>
          </a:fld>
          <a:endParaRPr lang="ru-RU" sz="1600" b="1" kern="1200">
            <a:solidFill>
              <a:schemeClr val="bg1"/>
            </a:solidFill>
          </a:endParaRPr>
        </a:p>
      </xdr:txBody>
    </xdr:sp>
    <xdr:clientData/>
  </xdr:twoCellAnchor>
  <xdr:twoCellAnchor>
    <xdr:from>
      <xdr:col>3</xdr:col>
      <xdr:colOff>403860</xdr:colOff>
      <xdr:row>13</xdr:row>
      <xdr:rowOff>68580</xdr:rowOff>
    </xdr:from>
    <xdr:to>
      <xdr:col>3</xdr:col>
      <xdr:colOff>601980</xdr:colOff>
      <xdr:row>18</xdr:row>
      <xdr:rowOff>83820</xdr:rowOff>
    </xdr:to>
    <xdr:sp macro="" textlink="">
      <xdr:nvSpPr>
        <xdr:cNvPr id="61" name="Rectangle 60">
          <a:extLst>
            <a:ext uri="{FF2B5EF4-FFF2-40B4-BE49-F238E27FC236}">
              <a16:creationId xmlns:a16="http://schemas.microsoft.com/office/drawing/2014/main" id="{5B16011E-BF10-400E-8AB8-A1E4D4D069FB}"/>
            </a:ext>
          </a:extLst>
        </xdr:cNvPr>
        <xdr:cNvSpPr/>
      </xdr:nvSpPr>
      <xdr:spPr>
        <a:xfrm>
          <a:off x="2232660" y="2446020"/>
          <a:ext cx="198120" cy="929640"/>
        </a:xfrm>
        <a:prstGeom prst="rect">
          <a:avLst/>
        </a:prstGeom>
        <a:solidFill>
          <a:schemeClr val="bg1"/>
        </a:solidFill>
        <a:ln>
          <a:noFill/>
        </a:ln>
        <a:effectLst>
          <a:outerShdw blurRad="152400" dist="1524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3</xdr:col>
      <xdr:colOff>403860</xdr:colOff>
      <xdr:row>12</xdr:row>
      <xdr:rowOff>7620</xdr:rowOff>
    </xdr:from>
    <xdr:to>
      <xdr:col>4</xdr:col>
      <xdr:colOff>7620</xdr:colOff>
      <xdr:row>19</xdr:row>
      <xdr:rowOff>152400</xdr:rowOff>
    </xdr:to>
    <xdr:sp macro="" textlink="">
      <xdr:nvSpPr>
        <xdr:cNvPr id="62" name="Rectangle 61">
          <a:extLst>
            <a:ext uri="{FF2B5EF4-FFF2-40B4-BE49-F238E27FC236}">
              <a16:creationId xmlns:a16="http://schemas.microsoft.com/office/drawing/2014/main" id="{6E52F812-460A-4066-AA31-91E292897F0A}"/>
            </a:ext>
          </a:extLst>
        </xdr:cNvPr>
        <xdr:cNvSpPr/>
      </xdr:nvSpPr>
      <xdr:spPr>
        <a:xfrm>
          <a:off x="2232660" y="2202180"/>
          <a:ext cx="213360" cy="142494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16</xdr:col>
      <xdr:colOff>198120</xdr:colOff>
      <xdr:row>24</xdr:row>
      <xdr:rowOff>45720</xdr:rowOff>
    </xdr:from>
    <xdr:to>
      <xdr:col>16</xdr:col>
      <xdr:colOff>304800</xdr:colOff>
      <xdr:row>35</xdr:row>
      <xdr:rowOff>30480</xdr:rowOff>
    </xdr:to>
    <xdr:sp macro="" textlink="">
      <xdr:nvSpPr>
        <xdr:cNvPr id="64" name="Rectangle 63">
          <a:extLst>
            <a:ext uri="{FF2B5EF4-FFF2-40B4-BE49-F238E27FC236}">
              <a16:creationId xmlns:a16="http://schemas.microsoft.com/office/drawing/2014/main" id="{71C1A56F-8B35-4CF6-8967-6C5B65727B63}"/>
            </a:ext>
          </a:extLst>
        </xdr:cNvPr>
        <xdr:cNvSpPr/>
      </xdr:nvSpPr>
      <xdr:spPr>
        <a:xfrm>
          <a:off x="9951720" y="4434840"/>
          <a:ext cx="106680" cy="1996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editAs="oneCell">
    <xdr:from>
      <xdr:col>17</xdr:col>
      <xdr:colOff>190500</xdr:colOff>
      <xdr:row>10</xdr:row>
      <xdr:rowOff>121921</xdr:rowOff>
    </xdr:from>
    <xdr:to>
      <xdr:col>23</xdr:col>
      <xdr:colOff>434340</xdr:colOff>
      <xdr:row>13</xdr:row>
      <xdr:rowOff>160020</xdr:rowOff>
    </xdr:to>
    <mc:AlternateContent xmlns:mc="http://schemas.openxmlformats.org/markup-compatibility/2006" xmlns:a14="http://schemas.microsoft.com/office/drawing/2010/main">
      <mc:Choice Requires="a14">
        <xdr:graphicFrame macro="">
          <xdr:nvGraphicFramePr>
            <xdr:cNvPr id="65" name="Month 3">
              <a:extLst>
                <a:ext uri="{FF2B5EF4-FFF2-40B4-BE49-F238E27FC236}">
                  <a16:creationId xmlns:a16="http://schemas.microsoft.com/office/drawing/2014/main" id="{717AC1DA-225D-4445-B99F-01659EBAF78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553700" y="1914862"/>
              <a:ext cx="3901440" cy="5759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8</xdr:row>
      <xdr:rowOff>106681</xdr:rowOff>
    </xdr:from>
    <xdr:to>
      <xdr:col>20</xdr:col>
      <xdr:colOff>30480</xdr:colOff>
      <xdr:row>10</xdr:row>
      <xdr:rowOff>106680</xdr:rowOff>
    </xdr:to>
    <mc:AlternateContent xmlns:mc="http://schemas.openxmlformats.org/markup-compatibility/2006" xmlns:a14="http://schemas.microsoft.com/office/drawing/2010/main">
      <mc:Choice Requires="a14">
        <xdr:graphicFrame macro="">
          <xdr:nvGraphicFramePr>
            <xdr:cNvPr id="66" name="Product 2">
              <a:extLst>
                <a:ext uri="{FF2B5EF4-FFF2-40B4-BE49-F238E27FC236}">
                  <a16:creationId xmlns:a16="http://schemas.microsoft.com/office/drawing/2014/main" id="{E6EF6F18-2571-477A-A0A1-E503C72CD1A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668000" y="1541034"/>
              <a:ext cx="1554480" cy="35858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8</xdr:row>
      <xdr:rowOff>106681</xdr:rowOff>
    </xdr:from>
    <xdr:to>
      <xdr:col>23</xdr:col>
      <xdr:colOff>434340</xdr:colOff>
      <xdr:row>10</xdr:row>
      <xdr:rowOff>106681</xdr:rowOff>
    </xdr:to>
    <mc:AlternateContent xmlns:mc="http://schemas.openxmlformats.org/markup-compatibility/2006" xmlns:a14="http://schemas.microsoft.com/office/drawing/2010/main">
      <mc:Choice Requires="a14">
        <xdr:graphicFrame macro="">
          <xdr:nvGraphicFramePr>
            <xdr:cNvPr id="67" name="Year 2">
              <a:extLst>
                <a:ext uri="{FF2B5EF4-FFF2-40B4-BE49-F238E27FC236}">
                  <a16:creationId xmlns:a16="http://schemas.microsoft.com/office/drawing/2014/main" id="{E88B6C2C-3FC1-4C5D-B589-4E8AB9795E1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626340" y="1541034"/>
              <a:ext cx="1828800" cy="35858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0</xdr:row>
      <xdr:rowOff>45720</xdr:rowOff>
    </xdr:from>
    <xdr:to>
      <xdr:col>20</xdr:col>
      <xdr:colOff>213360</xdr:colOff>
      <xdr:row>2</xdr:row>
      <xdr:rowOff>144780</xdr:rowOff>
    </xdr:to>
    <xdr:sp macro="" textlink="Processing!C12">
      <xdr:nvSpPr>
        <xdr:cNvPr id="68" name="TextBox 67">
          <a:extLst>
            <a:ext uri="{FF2B5EF4-FFF2-40B4-BE49-F238E27FC236}">
              <a16:creationId xmlns:a16="http://schemas.microsoft.com/office/drawing/2014/main" id="{769DE692-06C2-4233-8C50-A4E39A1EB7D6}"/>
            </a:ext>
          </a:extLst>
        </xdr:cNvPr>
        <xdr:cNvSpPr txBox="1"/>
      </xdr:nvSpPr>
      <xdr:spPr>
        <a:xfrm>
          <a:off x="10683240" y="45720"/>
          <a:ext cx="17221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E1BFE-00CC-48C5-AB03-5B68B5206D7E}" type="TxLink">
            <a:rPr lang="en-US" sz="3200" b="0" i="0" u="none" strike="noStrike" kern="1200">
              <a:solidFill>
                <a:schemeClr val="bg1"/>
              </a:solidFill>
              <a:latin typeface="Aptos Narrow"/>
            </a:rPr>
            <a:pPr/>
            <a:t>$ 2.0 M</a:t>
          </a:fld>
          <a:endParaRPr lang="ru-RU" sz="3200" kern="1200">
            <a:solidFill>
              <a:schemeClr val="bg1"/>
            </a:solidFill>
          </a:endParaRPr>
        </a:p>
      </xdr:txBody>
    </xdr:sp>
    <xdr:clientData/>
  </xdr:twoCellAnchor>
  <xdr:twoCellAnchor>
    <xdr:from>
      <xdr:col>20</xdr:col>
      <xdr:colOff>552332</xdr:colOff>
      <xdr:row>3</xdr:row>
      <xdr:rowOff>81291</xdr:rowOff>
    </xdr:from>
    <xdr:to>
      <xdr:col>22</xdr:col>
      <xdr:colOff>125848</xdr:colOff>
      <xdr:row>5</xdr:row>
      <xdr:rowOff>33009</xdr:rowOff>
    </xdr:to>
    <xdr:sp macro="" textlink="Processing!A12">
      <xdr:nvSpPr>
        <xdr:cNvPr id="69" name="TextBox 68">
          <a:extLst>
            <a:ext uri="{FF2B5EF4-FFF2-40B4-BE49-F238E27FC236}">
              <a16:creationId xmlns:a16="http://schemas.microsoft.com/office/drawing/2014/main" id="{03EC37A1-C092-4CC8-9AFD-99B59AA403F5}"/>
            </a:ext>
          </a:extLst>
        </xdr:cNvPr>
        <xdr:cNvSpPr txBox="1"/>
      </xdr:nvSpPr>
      <xdr:spPr>
        <a:xfrm>
          <a:off x="12744332" y="629931"/>
          <a:ext cx="792716"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1959B-1540-4DE1-AF44-4FD0DE18A8F6}" type="TxLink">
            <a:rPr lang="en-US" sz="1100" b="1" i="0" u="none" strike="noStrike" kern="1200">
              <a:solidFill>
                <a:schemeClr val="tx2">
                  <a:lumMod val="75000"/>
                  <a:lumOff val="25000"/>
                </a:schemeClr>
              </a:solidFill>
              <a:latin typeface="Aptos Narrow"/>
            </a:rPr>
            <a:pPr algn="ctr"/>
            <a:t>SALES</a:t>
          </a:fld>
          <a:endParaRPr lang="ru-RU" sz="3200" kern="1200">
            <a:solidFill>
              <a:schemeClr val="tx2">
                <a:lumMod val="75000"/>
                <a:lumOff val="25000"/>
              </a:schemeClr>
            </a:solidFill>
          </a:endParaRPr>
        </a:p>
      </xdr:txBody>
    </xdr:sp>
    <xdr:clientData/>
  </xdr:twoCellAnchor>
  <xdr:twoCellAnchor>
    <xdr:from>
      <xdr:col>18</xdr:col>
      <xdr:colOff>369452</xdr:colOff>
      <xdr:row>3</xdr:row>
      <xdr:rowOff>123990</xdr:rowOff>
    </xdr:from>
    <xdr:to>
      <xdr:col>19</xdr:col>
      <xdr:colOff>552568</xdr:colOff>
      <xdr:row>4</xdr:row>
      <xdr:rowOff>157951</xdr:rowOff>
    </xdr:to>
    <xdr:sp macro="" textlink="Processing!B8">
      <xdr:nvSpPr>
        <xdr:cNvPr id="70" name="TextBox 69">
          <a:extLst>
            <a:ext uri="{FF2B5EF4-FFF2-40B4-BE49-F238E27FC236}">
              <a16:creationId xmlns:a16="http://schemas.microsoft.com/office/drawing/2014/main" id="{E9485729-DC1B-484F-BD2F-B12315826602}"/>
            </a:ext>
          </a:extLst>
        </xdr:cNvPr>
        <xdr:cNvSpPr txBox="1"/>
      </xdr:nvSpPr>
      <xdr:spPr>
        <a:xfrm>
          <a:off x="11342252" y="67263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EC2B3A-7EF9-4A31-AB19-2FF7DAA9F7CA}" type="TxLink">
            <a:rPr lang="en-US" sz="1100" b="0" i="0" u="none" strike="noStrike" kern="1200">
              <a:solidFill>
                <a:schemeClr val="tx2">
                  <a:lumMod val="25000"/>
                  <a:lumOff val="75000"/>
                </a:schemeClr>
              </a:solidFill>
              <a:latin typeface="Aptos Narrow"/>
            </a:rPr>
            <a:pPr algn="r"/>
            <a:t>29%</a:t>
          </a:fld>
          <a:endParaRPr lang="ru-RU" sz="3200" kern="1200">
            <a:solidFill>
              <a:schemeClr val="tx2">
                <a:lumMod val="25000"/>
                <a:lumOff val="75000"/>
              </a:schemeClr>
            </a:solidFill>
          </a:endParaRPr>
        </a:p>
      </xdr:txBody>
    </xdr:sp>
    <xdr:clientData/>
  </xdr:twoCellAnchor>
  <xdr:twoCellAnchor>
    <xdr:from>
      <xdr:col>18</xdr:col>
      <xdr:colOff>369452</xdr:colOff>
      <xdr:row>4</xdr:row>
      <xdr:rowOff>149390</xdr:rowOff>
    </xdr:from>
    <xdr:to>
      <xdr:col>19</xdr:col>
      <xdr:colOff>552568</xdr:colOff>
      <xdr:row>6</xdr:row>
      <xdr:rowOff>471</xdr:rowOff>
    </xdr:to>
    <xdr:sp macro="" textlink="Processing!B9">
      <xdr:nvSpPr>
        <xdr:cNvPr id="71" name="TextBox 70">
          <a:extLst>
            <a:ext uri="{FF2B5EF4-FFF2-40B4-BE49-F238E27FC236}">
              <a16:creationId xmlns:a16="http://schemas.microsoft.com/office/drawing/2014/main" id="{F6644E5A-6767-4D07-8752-F684031F1564}"/>
            </a:ext>
          </a:extLst>
        </xdr:cNvPr>
        <xdr:cNvSpPr txBox="1"/>
      </xdr:nvSpPr>
      <xdr:spPr>
        <a:xfrm>
          <a:off x="11342252" y="88091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8AB93D1-F445-4747-8FBE-45A33CB3C3E1}" type="TxLink">
            <a:rPr lang="en-US" sz="1100" b="0" i="0" u="none" strike="noStrike" kern="1200">
              <a:solidFill>
                <a:schemeClr val="tx2">
                  <a:lumMod val="25000"/>
                  <a:lumOff val="75000"/>
                </a:schemeClr>
              </a:solidFill>
              <a:latin typeface="Aptos Narrow"/>
            </a:rPr>
            <a:pPr algn="r"/>
            <a:t>31%</a:t>
          </a:fld>
          <a:endParaRPr lang="ru-RU" sz="3200" kern="1200">
            <a:solidFill>
              <a:schemeClr val="tx2">
                <a:lumMod val="25000"/>
                <a:lumOff val="75000"/>
              </a:schemeClr>
            </a:solidFill>
          </a:endParaRPr>
        </a:p>
      </xdr:txBody>
    </xdr:sp>
    <xdr:clientData/>
  </xdr:twoCellAnchor>
  <xdr:twoCellAnchor>
    <xdr:from>
      <xdr:col>18</xdr:col>
      <xdr:colOff>369452</xdr:colOff>
      <xdr:row>5</xdr:row>
      <xdr:rowOff>174790</xdr:rowOff>
    </xdr:from>
    <xdr:to>
      <xdr:col>19</xdr:col>
      <xdr:colOff>552568</xdr:colOff>
      <xdr:row>7</xdr:row>
      <xdr:rowOff>25871</xdr:rowOff>
    </xdr:to>
    <xdr:sp macro="" textlink="Processing!B10">
      <xdr:nvSpPr>
        <xdr:cNvPr id="72" name="TextBox 71">
          <a:extLst>
            <a:ext uri="{FF2B5EF4-FFF2-40B4-BE49-F238E27FC236}">
              <a16:creationId xmlns:a16="http://schemas.microsoft.com/office/drawing/2014/main" id="{4092CB4D-8A40-4327-887A-40FA91E236C2}"/>
            </a:ext>
          </a:extLst>
        </xdr:cNvPr>
        <xdr:cNvSpPr txBox="1"/>
      </xdr:nvSpPr>
      <xdr:spPr>
        <a:xfrm>
          <a:off x="11342252" y="108919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1AD49D-8599-49E2-8D15-6D72FB20E14B}" type="TxLink">
            <a:rPr lang="en-US" sz="1100" b="0" i="0" u="none" strike="noStrike" kern="1200">
              <a:solidFill>
                <a:schemeClr val="tx2">
                  <a:lumMod val="25000"/>
                  <a:lumOff val="75000"/>
                </a:schemeClr>
              </a:solidFill>
              <a:latin typeface="Aptos Narrow"/>
            </a:rPr>
            <a:pPr algn="r"/>
            <a:t>25%</a:t>
          </a:fld>
          <a:endParaRPr lang="ru-RU" sz="3200" kern="1200">
            <a:solidFill>
              <a:schemeClr val="tx2">
                <a:lumMod val="25000"/>
                <a:lumOff val="75000"/>
              </a:schemeClr>
            </a:solidFill>
          </a:endParaRPr>
        </a:p>
      </xdr:txBody>
    </xdr:sp>
    <xdr:clientData/>
  </xdr:twoCellAnchor>
  <xdr:twoCellAnchor>
    <xdr:from>
      <xdr:col>18</xdr:col>
      <xdr:colOff>369452</xdr:colOff>
      <xdr:row>7</xdr:row>
      <xdr:rowOff>17310</xdr:rowOff>
    </xdr:from>
    <xdr:to>
      <xdr:col>19</xdr:col>
      <xdr:colOff>552568</xdr:colOff>
      <xdr:row>8</xdr:row>
      <xdr:rowOff>51271</xdr:rowOff>
    </xdr:to>
    <xdr:sp macro="" textlink="Processing!B11">
      <xdr:nvSpPr>
        <xdr:cNvPr id="73" name="TextBox 72">
          <a:extLst>
            <a:ext uri="{FF2B5EF4-FFF2-40B4-BE49-F238E27FC236}">
              <a16:creationId xmlns:a16="http://schemas.microsoft.com/office/drawing/2014/main" id="{8EBC4716-9F74-4747-AF5A-AA92E87B5A1D}"/>
            </a:ext>
          </a:extLst>
        </xdr:cNvPr>
        <xdr:cNvSpPr txBox="1"/>
      </xdr:nvSpPr>
      <xdr:spPr>
        <a:xfrm>
          <a:off x="11342252" y="129747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rike="noStrike" kern="1200">
              <a:solidFill>
                <a:schemeClr val="tx2">
                  <a:lumMod val="25000"/>
                  <a:lumOff val="75000"/>
                </a:schemeClr>
              </a:solidFill>
              <a:latin typeface="Aptos Narrow"/>
            </a:rPr>
            <a:pPr algn="r"/>
            <a:t>15%</a:t>
          </a:fld>
          <a:endParaRPr lang="ru-RU" sz="3200" kern="1200">
            <a:solidFill>
              <a:schemeClr val="tx2">
                <a:lumMod val="25000"/>
                <a:lumOff val="75000"/>
              </a:schemeClr>
            </a:solidFill>
          </a:endParaRPr>
        </a:p>
      </xdr:txBody>
    </xdr:sp>
    <xdr:clientData/>
  </xdr:twoCellAnchor>
  <xdr:twoCellAnchor>
    <xdr:from>
      <xdr:col>9</xdr:col>
      <xdr:colOff>0</xdr:colOff>
      <xdr:row>23</xdr:row>
      <xdr:rowOff>76200</xdr:rowOff>
    </xdr:from>
    <xdr:to>
      <xdr:col>9</xdr:col>
      <xdr:colOff>106680</xdr:colOff>
      <xdr:row>34</xdr:row>
      <xdr:rowOff>60960</xdr:rowOff>
    </xdr:to>
    <xdr:sp macro="" textlink="">
      <xdr:nvSpPr>
        <xdr:cNvPr id="76" name="Rectangle 75">
          <a:extLst>
            <a:ext uri="{FF2B5EF4-FFF2-40B4-BE49-F238E27FC236}">
              <a16:creationId xmlns:a16="http://schemas.microsoft.com/office/drawing/2014/main" id="{099FA1A5-D860-4A9D-8098-44BCE8E4C23F}"/>
            </a:ext>
          </a:extLst>
        </xdr:cNvPr>
        <xdr:cNvSpPr/>
      </xdr:nvSpPr>
      <xdr:spPr>
        <a:xfrm>
          <a:off x="5486400" y="4282440"/>
          <a:ext cx="106680" cy="19964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15</xdr:col>
      <xdr:colOff>259080</xdr:colOff>
      <xdr:row>32</xdr:row>
      <xdr:rowOff>41910</xdr:rowOff>
    </xdr:from>
    <xdr:to>
      <xdr:col>15</xdr:col>
      <xdr:colOff>441960</xdr:colOff>
      <xdr:row>33</xdr:row>
      <xdr:rowOff>41910</xdr:rowOff>
    </xdr:to>
    <xdr:sp macro="" textlink="">
      <xdr:nvSpPr>
        <xdr:cNvPr id="99" name="Oval 98">
          <a:extLst>
            <a:ext uri="{FF2B5EF4-FFF2-40B4-BE49-F238E27FC236}">
              <a16:creationId xmlns:a16="http://schemas.microsoft.com/office/drawing/2014/main" id="{36F9484E-359C-4613-AD60-4349992B0450}"/>
            </a:ext>
          </a:extLst>
        </xdr:cNvPr>
        <xdr:cNvSpPr/>
      </xdr:nvSpPr>
      <xdr:spPr>
        <a:xfrm>
          <a:off x="9403080" y="5894070"/>
          <a:ext cx="182880" cy="182880"/>
        </a:xfrm>
        <a:prstGeom prst="ellipse">
          <a:avLst/>
        </a:prstGeom>
        <a:solidFill>
          <a:srgbClr val="CBF7FF"/>
        </a:solidFill>
        <a:ln w="31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15</xdr:col>
      <xdr:colOff>106680</xdr:colOff>
      <xdr:row>31</xdr:row>
      <xdr:rowOff>121920</xdr:rowOff>
    </xdr:from>
    <xdr:to>
      <xdr:col>18</xdr:col>
      <xdr:colOff>259080</xdr:colOff>
      <xdr:row>33</xdr:row>
      <xdr:rowOff>160020</xdr:rowOff>
    </xdr:to>
    <xdr:sp macro="" textlink="">
      <xdr:nvSpPr>
        <xdr:cNvPr id="100" name="Oval 99">
          <a:extLst>
            <a:ext uri="{FF2B5EF4-FFF2-40B4-BE49-F238E27FC236}">
              <a16:creationId xmlns:a16="http://schemas.microsoft.com/office/drawing/2014/main" id="{E9197305-14CF-409D-A7D0-F6340F2C8229}"/>
            </a:ext>
          </a:extLst>
        </xdr:cNvPr>
        <xdr:cNvSpPr/>
      </xdr:nvSpPr>
      <xdr:spPr>
        <a:xfrm>
          <a:off x="9250680" y="5791200"/>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solidFill>
                  <a:schemeClr val="accent1">
                    <a:lumMod val="60000"/>
                    <a:lumOff val="40000"/>
                  </a:schemeClr>
                </a:solidFill>
              </a:ln>
              <a:solidFill>
                <a:srgbClr val="B9F5FF"/>
              </a:solidFill>
            </a:rPr>
            <a:t>Products C</a:t>
          </a:r>
          <a:endParaRPr lang="ru-RU" sz="2000" b="1" kern="1200">
            <a:ln w="3175">
              <a:solidFill>
                <a:schemeClr val="accent1">
                  <a:lumMod val="60000"/>
                  <a:lumOff val="40000"/>
                </a:schemeClr>
              </a:solidFill>
            </a:ln>
            <a:solidFill>
              <a:srgbClr val="B9F5FF"/>
            </a:solidFill>
          </a:endParaRPr>
        </a:p>
      </xdr:txBody>
    </xdr:sp>
    <xdr:clientData/>
  </xdr:twoCellAnchor>
  <xdr:twoCellAnchor>
    <xdr:from>
      <xdr:col>17</xdr:col>
      <xdr:colOff>554914</xdr:colOff>
      <xdr:row>31</xdr:row>
      <xdr:rowOff>84939</xdr:rowOff>
    </xdr:from>
    <xdr:to>
      <xdr:col>19</xdr:col>
      <xdr:colOff>209773</xdr:colOff>
      <xdr:row>33</xdr:row>
      <xdr:rowOff>153260</xdr:rowOff>
    </xdr:to>
    <xdr:sp macro="" textlink="Processing!S20">
      <xdr:nvSpPr>
        <xdr:cNvPr id="103" name="TextBox 102">
          <a:extLst>
            <a:ext uri="{FF2B5EF4-FFF2-40B4-BE49-F238E27FC236}">
              <a16:creationId xmlns:a16="http://schemas.microsoft.com/office/drawing/2014/main" id="{7304911C-840B-425C-923D-0D315B84CD05}"/>
            </a:ext>
          </a:extLst>
        </xdr:cNvPr>
        <xdr:cNvSpPr txBox="1"/>
      </xdr:nvSpPr>
      <xdr:spPr>
        <a:xfrm>
          <a:off x="10918114" y="5754219"/>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1F0E2-4035-478D-80CD-CC6BB4E8D7BB}" type="TxLink">
            <a:rPr lang="en-US" sz="2400" b="0" i="0" u="none" strike="noStrike" kern="1200">
              <a:solidFill>
                <a:srgbClr val="0075AA"/>
              </a:solidFill>
              <a:latin typeface="Aptos Narrow"/>
            </a:rPr>
            <a:pPr algn="l"/>
            <a:t>80%</a:t>
          </a:fld>
          <a:endParaRPr lang="ru-RU" sz="41300" kern="1200">
            <a:solidFill>
              <a:srgbClr val="0075AA"/>
            </a:solidFill>
          </a:endParaRPr>
        </a:p>
      </xdr:txBody>
    </xdr:sp>
    <xdr:clientData/>
  </xdr:twoCellAnchor>
  <xdr:twoCellAnchor>
    <xdr:from>
      <xdr:col>0</xdr:col>
      <xdr:colOff>180975</xdr:colOff>
      <xdr:row>0</xdr:row>
      <xdr:rowOff>111771</xdr:rowOff>
    </xdr:from>
    <xdr:to>
      <xdr:col>2</xdr:col>
      <xdr:colOff>99060</xdr:colOff>
      <xdr:row>2</xdr:row>
      <xdr:rowOff>63489</xdr:rowOff>
    </xdr:to>
    <xdr:grpSp>
      <xdr:nvGrpSpPr>
        <xdr:cNvPr id="114" name="Group 113">
          <a:hlinkClick xmlns:r="http://schemas.openxmlformats.org/officeDocument/2006/relationships" r:id="rId4"/>
          <a:extLst>
            <a:ext uri="{FF2B5EF4-FFF2-40B4-BE49-F238E27FC236}">
              <a16:creationId xmlns:a16="http://schemas.microsoft.com/office/drawing/2014/main" id="{85C3775B-B788-430C-B08E-DF7245BBD0BE}"/>
            </a:ext>
          </a:extLst>
        </xdr:cNvPr>
        <xdr:cNvGrpSpPr/>
      </xdr:nvGrpSpPr>
      <xdr:grpSpPr>
        <a:xfrm>
          <a:off x="180975" y="111771"/>
          <a:ext cx="1103418" cy="332718"/>
          <a:chOff x="180975" y="111771"/>
          <a:chExt cx="1137285" cy="317478"/>
        </a:xfrm>
      </xdr:grpSpPr>
      <xdr:sp macro="" textlink="">
        <xdr:nvSpPr>
          <xdr:cNvPr id="115" name="TextBox 114">
            <a:extLst>
              <a:ext uri="{FF2B5EF4-FFF2-40B4-BE49-F238E27FC236}">
                <a16:creationId xmlns:a16="http://schemas.microsoft.com/office/drawing/2014/main" id="{5DFFFC7C-4436-8A16-B60B-737A683E6751}"/>
              </a:ext>
            </a:extLst>
          </xdr:cNvPr>
          <xdr:cNvSpPr txBox="1"/>
        </xdr:nvSpPr>
        <xdr:spPr>
          <a:xfrm>
            <a:off x="337206" y="111771"/>
            <a:ext cx="981054"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bg1"/>
                </a:solidFill>
                <a:latin typeface="Aptos Narrow"/>
                <a:ea typeface="+mn-ea"/>
                <a:cs typeface="+mn-cs"/>
              </a:rPr>
              <a:t>Dashboard</a:t>
            </a:r>
          </a:p>
        </xdr:txBody>
      </xdr:sp>
      <xdr:sp macro="" textlink="">
        <xdr:nvSpPr>
          <xdr:cNvPr id="116" name="Freeform: Shape 115">
            <a:extLst>
              <a:ext uri="{FF2B5EF4-FFF2-40B4-BE49-F238E27FC236}">
                <a16:creationId xmlns:a16="http://schemas.microsoft.com/office/drawing/2014/main" id="{BF8C0362-39E6-A70D-CEFF-D4FC12DAADDC}"/>
              </a:ext>
            </a:extLst>
          </xdr:cNvPr>
          <xdr:cNvSpPr/>
        </xdr:nvSpPr>
        <xdr:spPr>
          <a:xfrm flipH="1">
            <a:off x="327932"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7" name="Freeform: Shape 116">
            <a:extLst>
              <a:ext uri="{FF2B5EF4-FFF2-40B4-BE49-F238E27FC236}">
                <a16:creationId xmlns:a16="http://schemas.microsoft.com/office/drawing/2014/main" id="{EF993C5E-D009-340A-3FEA-C7E252D648F7}"/>
              </a:ext>
            </a:extLst>
          </xdr:cNvPr>
          <xdr:cNvSpPr/>
        </xdr:nvSpPr>
        <xdr:spPr>
          <a:xfrm flipH="1">
            <a:off x="278946" y="140970"/>
            <a:ext cx="35923" cy="18288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ru-RU"/>
          </a:p>
        </xdr:txBody>
      </xdr:sp>
      <xdr:sp macro="" textlink="">
        <xdr:nvSpPr>
          <xdr:cNvPr id="118" name="Freeform: Shape 117">
            <a:extLst>
              <a:ext uri="{FF2B5EF4-FFF2-40B4-BE49-F238E27FC236}">
                <a16:creationId xmlns:a16="http://schemas.microsoft.com/office/drawing/2014/main" id="{018605FF-D34D-7C30-0F2A-65672D4E7DE8}"/>
              </a:ext>
            </a:extLst>
          </xdr:cNvPr>
          <xdr:cNvSpPr/>
        </xdr:nvSpPr>
        <xdr:spPr>
          <a:xfrm flipH="1">
            <a:off x="229961"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9" name="Freeform: Shape 118">
            <a:extLst>
              <a:ext uri="{FF2B5EF4-FFF2-40B4-BE49-F238E27FC236}">
                <a16:creationId xmlns:a16="http://schemas.microsoft.com/office/drawing/2014/main" id="{1250A7DA-BF2D-FA3D-566C-55257EA7A840}"/>
              </a:ext>
            </a:extLst>
          </xdr:cNvPr>
          <xdr:cNvSpPr/>
        </xdr:nvSpPr>
        <xdr:spPr>
          <a:xfrm flipH="1">
            <a:off x="180975" y="265067"/>
            <a:ext cx="35923" cy="58783"/>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1</xdr:col>
      <xdr:colOff>91440</xdr:colOff>
      <xdr:row>20</xdr:row>
      <xdr:rowOff>144780</xdr:rowOff>
    </xdr:from>
    <xdr:to>
      <xdr:col>3</xdr:col>
      <xdr:colOff>152400</xdr:colOff>
      <xdr:row>22</xdr:row>
      <xdr:rowOff>96498</xdr:rowOff>
    </xdr:to>
    <xdr:sp macro="" textlink="">
      <xdr:nvSpPr>
        <xdr:cNvPr id="120" name="TextBox 119">
          <a:hlinkClick xmlns:r="http://schemas.openxmlformats.org/officeDocument/2006/relationships" r:id="rId5"/>
          <a:extLst>
            <a:ext uri="{FF2B5EF4-FFF2-40B4-BE49-F238E27FC236}">
              <a16:creationId xmlns:a16="http://schemas.microsoft.com/office/drawing/2014/main" id="{48740110-2353-4F9B-AEF1-3EC6E0704DA5}"/>
            </a:ext>
          </a:extLst>
        </xdr:cNvPr>
        <xdr:cNvSpPr txBox="1"/>
      </xdr:nvSpPr>
      <xdr:spPr>
        <a:xfrm>
          <a:off x="701040" y="380238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Point Of Sales</a:t>
          </a:r>
        </a:p>
      </xdr:txBody>
    </xdr:sp>
    <xdr:clientData/>
  </xdr:twoCellAnchor>
  <xdr:twoCellAnchor>
    <xdr:from>
      <xdr:col>1</xdr:col>
      <xdr:colOff>91440</xdr:colOff>
      <xdr:row>24</xdr:row>
      <xdr:rowOff>53340</xdr:rowOff>
    </xdr:from>
    <xdr:to>
      <xdr:col>3</xdr:col>
      <xdr:colOff>152400</xdr:colOff>
      <xdr:row>26</xdr:row>
      <xdr:rowOff>5058</xdr:rowOff>
    </xdr:to>
    <xdr:sp macro="" textlink="">
      <xdr:nvSpPr>
        <xdr:cNvPr id="121" name="TextBox 120">
          <a:extLst>
            <a:ext uri="{FF2B5EF4-FFF2-40B4-BE49-F238E27FC236}">
              <a16:creationId xmlns:a16="http://schemas.microsoft.com/office/drawing/2014/main" id="{B8B48C34-282F-4250-A184-A95F30A03281}"/>
            </a:ext>
          </a:extLst>
        </xdr:cNvPr>
        <xdr:cNvSpPr txBox="1"/>
      </xdr:nvSpPr>
      <xdr:spPr>
        <a:xfrm>
          <a:off x="701040" y="444246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tx2">
                  <a:lumMod val="90000"/>
                  <a:lumOff val="10000"/>
                </a:schemeClr>
              </a:solidFill>
              <a:latin typeface="Aptos Narrow"/>
              <a:ea typeface="+mn-ea"/>
              <a:cs typeface="+mn-cs"/>
            </a:rPr>
            <a:t>Targeting</a:t>
          </a:r>
        </a:p>
      </xdr:txBody>
    </xdr:sp>
    <xdr:clientData/>
  </xdr:twoCellAnchor>
  <xdr:twoCellAnchor>
    <xdr:from>
      <xdr:col>1</xdr:col>
      <xdr:colOff>91440</xdr:colOff>
      <xdr:row>27</xdr:row>
      <xdr:rowOff>152400</xdr:rowOff>
    </xdr:from>
    <xdr:to>
      <xdr:col>3</xdr:col>
      <xdr:colOff>266700</xdr:colOff>
      <xdr:row>29</xdr:row>
      <xdr:rowOff>104118</xdr:rowOff>
    </xdr:to>
    <xdr:sp macro="" textlink="">
      <xdr:nvSpPr>
        <xdr:cNvPr id="122" name="TextBox 121">
          <a:hlinkClick xmlns:r="http://schemas.openxmlformats.org/officeDocument/2006/relationships" r:id="rId6"/>
          <a:extLst>
            <a:ext uri="{FF2B5EF4-FFF2-40B4-BE49-F238E27FC236}">
              <a16:creationId xmlns:a16="http://schemas.microsoft.com/office/drawing/2014/main" id="{07657B14-C2FE-4F7D-B8A0-FDE2EEC32F1C}"/>
            </a:ext>
          </a:extLst>
        </xdr:cNvPr>
        <xdr:cNvSpPr txBox="1"/>
      </xdr:nvSpPr>
      <xdr:spPr>
        <a:xfrm>
          <a:off x="701040" y="5090160"/>
          <a:ext cx="13944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Sales Dynamics</a:t>
          </a:r>
        </a:p>
      </xdr:txBody>
    </xdr:sp>
    <xdr:clientData/>
  </xdr:twoCellAnchor>
  <xdr:twoCellAnchor>
    <xdr:from>
      <xdr:col>1</xdr:col>
      <xdr:colOff>91440</xdr:colOff>
      <xdr:row>31</xdr:row>
      <xdr:rowOff>60960</xdr:rowOff>
    </xdr:from>
    <xdr:to>
      <xdr:col>3</xdr:col>
      <xdr:colOff>152400</xdr:colOff>
      <xdr:row>33</xdr:row>
      <xdr:rowOff>12678</xdr:rowOff>
    </xdr:to>
    <xdr:sp macro="" textlink="">
      <xdr:nvSpPr>
        <xdr:cNvPr id="123" name="TextBox 122">
          <a:hlinkClick xmlns:r="http://schemas.openxmlformats.org/officeDocument/2006/relationships" r:id="rId7"/>
          <a:extLst>
            <a:ext uri="{FF2B5EF4-FFF2-40B4-BE49-F238E27FC236}">
              <a16:creationId xmlns:a16="http://schemas.microsoft.com/office/drawing/2014/main" id="{70B34FF2-D98A-4BAE-98EA-1CF826B13C15}"/>
            </a:ext>
          </a:extLst>
        </xdr:cNvPr>
        <xdr:cNvSpPr txBox="1"/>
      </xdr:nvSpPr>
      <xdr:spPr>
        <a:xfrm>
          <a:off x="701040" y="573024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Coverage</a:t>
          </a:r>
        </a:p>
      </xdr:txBody>
    </xdr:sp>
    <xdr:clientData/>
  </xdr:twoCellAnchor>
  <xdr:twoCellAnchor>
    <xdr:from>
      <xdr:col>11</xdr:col>
      <xdr:colOff>186690</xdr:colOff>
      <xdr:row>32</xdr:row>
      <xdr:rowOff>41910</xdr:rowOff>
    </xdr:from>
    <xdr:to>
      <xdr:col>11</xdr:col>
      <xdr:colOff>369570</xdr:colOff>
      <xdr:row>33</xdr:row>
      <xdr:rowOff>41910</xdr:rowOff>
    </xdr:to>
    <xdr:sp macro="" textlink="">
      <xdr:nvSpPr>
        <xdr:cNvPr id="127" name="Oval 126">
          <a:extLst>
            <a:ext uri="{FF2B5EF4-FFF2-40B4-BE49-F238E27FC236}">
              <a16:creationId xmlns:a16="http://schemas.microsoft.com/office/drawing/2014/main" id="{3868C3D5-271B-BDED-DCB4-5531D4A81B6A}"/>
            </a:ext>
          </a:extLst>
        </xdr:cNvPr>
        <xdr:cNvSpPr/>
      </xdr:nvSpPr>
      <xdr:spPr>
        <a:xfrm>
          <a:off x="6892290" y="5894070"/>
          <a:ext cx="182880" cy="182880"/>
        </a:xfrm>
        <a:prstGeom prst="ellipse">
          <a:avLst/>
        </a:prstGeom>
        <a:solidFill>
          <a:srgbClr val="0075AA"/>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11</xdr:col>
      <xdr:colOff>34290</xdr:colOff>
      <xdr:row>31</xdr:row>
      <xdr:rowOff>121920</xdr:rowOff>
    </xdr:from>
    <xdr:to>
      <xdr:col>14</xdr:col>
      <xdr:colOff>186690</xdr:colOff>
      <xdr:row>33</xdr:row>
      <xdr:rowOff>160020</xdr:rowOff>
    </xdr:to>
    <xdr:sp macro="" textlink="">
      <xdr:nvSpPr>
        <xdr:cNvPr id="128" name="Oval 127">
          <a:extLst>
            <a:ext uri="{FF2B5EF4-FFF2-40B4-BE49-F238E27FC236}">
              <a16:creationId xmlns:a16="http://schemas.microsoft.com/office/drawing/2014/main" id="{C9B42405-FA82-0336-E11A-5259517E7AF4}"/>
            </a:ext>
          </a:extLst>
        </xdr:cNvPr>
        <xdr:cNvSpPr/>
      </xdr:nvSpPr>
      <xdr:spPr>
        <a:xfrm>
          <a:off x="6739890" y="5791200"/>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noFill/>
              </a:ln>
              <a:solidFill>
                <a:srgbClr val="0075AA"/>
              </a:solidFill>
            </a:rPr>
            <a:t>Products</a:t>
          </a:r>
          <a:r>
            <a:rPr lang="pl-PL" sz="2000" b="1" kern="1200">
              <a:ln w="3175">
                <a:solidFill>
                  <a:schemeClr val="accent1">
                    <a:lumMod val="60000"/>
                    <a:lumOff val="40000"/>
                  </a:schemeClr>
                </a:solidFill>
              </a:ln>
              <a:solidFill>
                <a:srgbClr val="0075AA"/>
              </a:solidFill>
            </a:rPr>
            <a:t> </a:t>
          </a:r>
          <a:r>
            <a:rPr lang="pl-PL" sz="2000" b="1" kern="1200">
              <a:ln w="3175">
                <a:noFill/>
              </a:ln>
              <a:solidFill>
                <a:srgbClr val="0075AA"/>
              </a:solidFill>
            </a:rPr>
            <a:t>B</a:t>
          </a:r>
          <a:endParaRPr lang="ru-RU" sz="2000" b="1" kern="1200">
            <a:ln w="3175">
              <a:noFill/>
            </a:ln>
            <a:solidFill>
              <a:srgbClr val="0075AA"/>
            </a:solidFill>
          </a:endParaRPr>
        </a:p>
      </xdr:txBody>
    </xdr:sp>
    <xdr:clientData/>
  </xdr:twoCellAnchor>
  <xdr:twoCellAnchor>
    <xdr:from>
      <xdr:col>13</xdr:col>
      <xdr:colOff>482524</xdr:colOff>
      <xdr:row>31</xdr:row>
      <xdr:rowOff>84939</xdr:rowOff>
    </xdr:from>
    <xdr:to>
      <xdr:col>15</xdr:col>
      <xdr:colOff>137383</xdr:colOff>
      <xdr:row>33</xdr:row>
      <xdr:rowOff>153260</xdr:rowOff>
    </xdr:to>
    <xdr:sp macro="" textlink="Processing!S19">
      <xdr:nvSpPr>
        <xdr:cNvPr id="129" name="TextBox 128">
          <a:extLst>
            <a:ext uri="{FF2B5EF4-FFF2-40B4-BE49-F238E27FC236}">
              <a16:creationId xmlns:a16="http://schemas.microsoft.com/office/drawing/2014/main" id="{7822D301-F7C8-4A22-E721-ED3128BD10D1}"/>
            </a:ext>
          </a:extLst>
        </xdr:cNvPr>
        <xdr:cNvSpPr txBox="1"/>
      </xdr:nvSpPr>
      <xdr:spPr>
        <a:xfrm>
          <a:off x="8407324" y="5754219"/>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54CB55-6405-4B85-9912-FF2E294C9691}" type="TxLink">
            <a:rPr lang="en-US" sz="2400" b="0" i="0" u="none" strike="noStrike" kern="1200">
              <a:solidFill>
                <a:srgbClr val="0075AA"/>
              </a:solidFill>
              <a:latin typeface="Aptos Narrow"/>
              <a:ea typeface="+mn-ea"/>
              <a:cs typeface="+mn-cs"/>
            </a:rPr>
            <a:pPr marL="0" indent="0" algn="l"/>
            <a:t>84%</a:t>
          </a:fld>
          <a:endParaRPr lang="ru-RU" sz="2400" b="0" i="0" u="none" strike="noStrike" kern="1200">
            <a:solidFill>
              <a:srgbClr val="0075AA"/>
            </a:solidFill>
            <a:latin typeface="Aptos Narrow"/>
            <a:ea typeface="+mn-ea"/>
            <a:cs typeface="+mn-cs"/>
          </a:endParaRPr>
        </a:p>
      </xdr:txBody>
    </xdr:sp>
    <xdr:clientData/>
  </xdr:twoCellAnchor>
  <xdr:twoCellAnchor>
    <xdr:from>
      <xdr:col>7</xdr:col>
      <xdr:colOff>114300</xdr:colOff>
      <xdr:row>32</xdr:row>
      <xdr:rowOff>41910</xdr:rowOff>
    </xdr:from>
    <xdr:to>
      <xdr:col>7</xdr:col>
      <xdr:colOff>297180</xdr:colOff>
      <xdr:row>33</xdr:row>
      <xdr:rowOff>41910</xdr:rowOff>
    </xdr:to>
    <xdr:sp macro="" textlink="">
      <xdr:nvSpPr>
        <xdr:cNvPr id="131" name="Oval 130">
          <a:extLst>
            <a:ext uri="{FF2B5EF4-FFF2-40B4-BE49-F238E27FC236}">
              <a16:creationId xmlns:a16="http://schemas.microsoft.com/office/drawing/2014/main" id="{45B38317-1C5E-ED85-BBD9-CE097177A066}"/>
            </a:ext>
          </a:extLst>
        </xdr:cNvPr>
        <xdr:cNvSpPr/>
      </xdr:nvSpPr>
      <xdr:spPr>
        <a:xfrm>
          <a:off x="4381500" y="5894070"/>
          <a:ext cx="182880" cy="182880"/>
        </a:xfrm>
        <a:prstGeom prst="ellipse">
          <a:avLst/>
        </a:prstGeom>
        <a:solidFill>
          <a:srgbClr val="06A9E2"/>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571500</xdr:colOff>
      <xdr:row>31</xdr:row>
      <xdr:rowOff>121920</xdr:rowOff>
    </xdr:from>
    <xdr:to>
      <xdr:col>10</xdr:col>
      <xdr:colOff>114300</xdr:colOff>
      <xdr:row>33</xdr:row>
      <xdr:rowOff>160020</xdr:rowOff>
    </xdr:to>
    <xdr:sp macro="" textlink="">
      <xdr:nvSpPr>
        <xdr:cNvPr id="132" name="Oval 131">
          <a:extLst>
            <a:ext uri="{FF2B5EF4-FFF2-40B4-BE49-F238E27FC236}">
              <a16:creationId xmlns:a16="http://schemas.microsoft.com/office/drawing/2014/main" id="{E6EA4B4A-EE75-081D-32BB-52D89F9F6747}"/>
            </a:ext>
          </a:extLst>
        </xdr:cNvPr>
        <xdr:cNvSpPr/>
      </xdr:nvSpPr>
      <xdr:spPr>
        <a:xfrm>
          <a:off x="4229100" y="5791200"/>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noFill/>
              </a:ln>
              <a:solidFill>
                <a:srgbClr val="06A9E2"/>
              </a:solidFill>
            </a:rPr>
            <a:t>Products A</a:t>
          </a:r>
          <a:endParaRPr lang="ru-RU" sz="2000" b="1" kern="1200">
            <a:ln w="3175">
              <a:noFill/>
            </a:ln>
            <a:solidFill>
              <a:srgbClr val="06A9E2"/>
            </a:solidFill>
          </a:endParaRPr>
        </a:p>
      </xdr:txBody>
    </xdr:sp>
    <xdr:clientData/>
  </xdr:twoCellAnchor>
  <xdr:twoCellAnchor>
    <xdr:from>
      <xdr:col>9</xdr:col>
      <xdr:colOff>410134</xdr:colOff>
      <xdr:row>31</xdr:row>
      <xdr:rowOff>84939</xdr:rowOff>
    </xdr:from>
    <xdr:to>
      <xdr:col>11</xdr:col>
      <xdr:colOff>64993</xdr:colOff>
      <xdr:row>33</xdr:row>
      <xdr:rowOff>153260</xdr:rowOff>
    </xdr:to>
    <xdr:sp macro="" textlink="Processing!S18">
      <xdr:nvSpPr>
        <xdr:cNvPr id="133" name="TextBox 132">
          <a:extLst>
            <a:ext uri="{FF2B5EF4-FFF2-40B4-BE49-F238E27FC236}">
              <a16:creationId xmlns:a16="http://schemas.microsoft.com/office/drawing/2014/main" id="{A52D9FED-B8BE-85C9-15F7-663738CE17F3}"/>
            </a:ext>
          </a:extLst>
        </xdr:cNvPr>
        <xdr:cNvSpPr txBox="1"/>
      </xdr:nvSpPr>
      <xdr:spPr>
        <a:xfrm>
          <a:off x="5896534" y="5754219"/>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20E6692-E737-4D26-B877-000D483C3434}" type="TxLink">
            <a:rPr lang="en-US" sz="2400" b="0" i="0" u="none" strike="noStrike" kern="1200">
              <a:solidFill>
                <a:srgbClr val="0075AA"/>
              </a:solidFill>
              <a:latin typeface="Aptos Narrow"/>
              <a:ea typeface="+mn-ea"/>
              <a:cs typeface="+mn-cs"/>
            </a:rPr>
            <a:pPr marL="0" indent="0" algn="l"/>
            <a:t>87%</a:t>
          </a:fld>
          <a:endParaRPr lang="ru-RU" sz="2400" b="0" i="0" u="none" strike="noStrike" kern="1200">
            <a:solidFill>
              <a:srgbClr val="0075AA"/>
            </a:solidFill>
            <a:latin typeface="Aptos Narrow"/>
            <a:ea typeface="+mn-ea"/>
            <a:cs typeface="+mn-cs"/>
          </a:endParaRPr>
        </a:p>
      </xdr:txBody>
    </xdr:sp>
    <xdr:clientData/>
  </xdr:twoCellAnchor>
  <xdr:twoCellAnchor>
    <xdr:from>
      <xdr:col>0</xdr:col>
      <xdr:colOff>289560</xdr:colOff>
      <xdr:row>24</xdr:row>
      <xdr:rowOff>175260</xdr:rowOff>
    </xdr:from>
    <xdr:to>
      <xdr:col>0</xdr:col>
      <xdr:colOff>381000</xdr:colOff>
      <xdr:row>25</xdr:row>
      <xdr:rowOff>83820</xdr:rowOff>
    </xdr:to>
    <xdr:sp macro="" textlink="">
      <xdr:nvSpPr>
        <xdr:cNvPr id="134" name="Oval 133">
          <a:extLst>
            <a:ext uri="{FF2B5EF4-FFF2-40B4-BE49-F238E27FC236}">
              <a16:creationId xmlns:a16="http://schemas.microsoft.com/office/drawing/2014/main" id="{DC981D61-19D2-442D-99CD-F8A8F3836188}"/>
            </a:ext>
          </a:extLst>
        </xdr:cNvPr>
        <xdr:cNvSpPr/>
      </xdr:nvSpPr>
      <xdr:spPr>
        <a:xfrm>
          <a:off x="289560" y="4564380"/>
          <a:ext cx="91440" cy="91440"/>
        </a:xfrm>
        <a:prstGeom prst="ellipse">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396240</xdr:colOff>
      <xdr:row>14</xdr:row>
      <xdr:rowOff>99060</xdr:rowOff>
    </xdr:from>
    <xdr:to>
      <xdr:col>23</xdr:col>
      <xdr:colOff>175260</xdr:colOff>
      <xdr:row>17</xdr:row>
      <xdr:rowOff>61722</xdr:rowOff>
    </xdr:to>
    <xdr:sp macro="" textlink="Processing!I2">
      <xdr:nvSpPr>
        <xdr:cNvPr id="135" name="TextBox 134">
          <a:extLst>
            <a:ext uri="{FF2B5EF4-FFF2-40B4-BE49-F238E27FC236}">
              <a16:creationId xmlns:a16="http://schemas.microsoft.com/office/drawing/2014/main" id="{D78AA90A-688B-47B1-8E5D-795DFB3EF91C}"/>
            </a:ext>
          </a:extLst>
        </xdr:cNvPr>
        <xdr:cNvSpPr txBox="1"/>
      </xdr:nvSpPr>
      <xdr:spPr>
        <a:xfrm>
          <a:off x="10759440" y="2659380"/>
          <a:ext cx="3436620" cy="51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DEF4F-CE48-47C7-B2B8-BB451529D0BF}" type="TxLink">
            <a:rPr lang="en-US" sz="2400" b="0" i="0" u="none" strike="noStrike" kern="1200">
              <a:solidFill>
                <a:schemeClr val="tx2">
                  <a:lumMod val="90000"/>
                  <a:lumOff val="10000"/>
                </a:schemeClr>
              </a:solidFill>
              <a:latin typeface="Aptos Narrow"/>
            </a:rPr>
            <a:pPr algn="ctr"/>
            <a:t>OCTOBER 2027</a:t>
          </a:fld>
          <a:endParaRPr lang="ru-RU" sz="11500" kern="1200">
            <a:solidFill>
              <a:schemeClr val="tx2">
                <a:lumMod val="90000"/>
                <a:lumOff val="1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7620</xdr:colOff>
      <xdr:row>38</xdr:row>
      <xdr:rowOff>106680</xdr:rowOff>
    </xdr:to>
    <xdr:grpSp>
      <xdr:nvGrpSpPr>
        <xdr:cNvPr id="2" name="Group 1">
          <a:extLst>
            <a:ext uri="{FF2B5EF4-FFF2-40B4-BE49-F238E27FC236}">
              <a16:creationId xmlns:a16="http://schemas.microsoft.com/office/drawing/2014/main" id="{501A1C9B-D938-42CA-BBAD-F953766D6673}"/>
            </a:ext>
          </a:extLst>
        </xdr:cNvPr>
        <xdr:cNvGrpSpPr/>
      </xdr:nvGrpSpPr>
      <xdr:grpSpPr>
        <a:xfrm>
          <a:off x="0" y="0"/>
          <a:ext cx="2378287" cy="7345680"/>
          <a:chOff x="3703320" y="83820"/>
          <a:chExt cx="2918460" cy="4953000"/>
        </a:xfrm>
        <a:effectLst>
          <a:outerShdw blurRad="228600" dist="482600" dir="7800000" sx="93000" sy="93000" algn="r" rotWithShape="0">
            <a:prstClr val="black">
              <a:alpha val="42000"/>
            </a:prstClr>
          </a:outerShdw>
        </a:effectLst>
      </xdr:grpSpPr>
      <xdr:sp macro="" textlink="">
        <xdr:nvSpPr>
          <xdr:cNvPr id="3" name="Rectangle 2">
            <a:extLst>
              <a:ext uri="{FF2B5EF4-FFF2-40B4-BE49-F238E27FC236}">
                <a16:creationId xmlns:a16="http://schemas.microsoft.com/office/drawing/2014/main" id="{57028563-311B-D90F-74C8-1BE66ECECE64}"/>
              </a:ext>
            </a:extLst>
          </xdr:cNvPr>
          <xdr:cNvSpPr/>
        </xdr:nvSpPr>
        <xdr:spPr>
          <a:xfrm>
            <a:off x="3703320" y="83820"/>
            <a:ext cx="2910840" cy="4945380"/>
          </a:xfrm>
          <a:prstGeom prst="rect">
            <a:avLst/>
          </a:prstGeom>
          <a:solidFill>
            <a:srgbClr val="05294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Rectangle 3">
            <a:extLst>
              <a:ext uri="{FF2B5EF4-FFF2-40B4-BE49-F238E27FC236}">
                <a16:creationId xmlns:a16="http://schemas.microsoft.com/office/drawing/2014/main" id="{34ED0C54-CA10-EE15-60A8-61D56E988339}"/>
              </a:ext>
            </a:extLst>
          </xdr:cNvPr>
          <xdr:cNvSpPr/>
        </xdr:nvSpPr>
        <xdr:spPr>
          <a:xfrm>
            <a:off x="3710940" y="91440"/>
            <a:ext cx="2910840" cy="4945380"/>
          </a:xfrm>
          <a:prstGeom prst="rect">
            <a:avLst/>
          </a:prstGeom>
          <a:gradFill flip="none" rotWithShape="1">
            <a:gsLst>
              <a:gs pos="0">
                <a:srgbClr val="0C89CE"/>
              </a:gs>
              <a:gs pos="72000">
                <a:srgbClr val="05294B">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0</xdr:col>
      <xdr:colOff>152400</xdr:colOff>
      <xdr:row>24</xdr:row>
      <xdr:rowOff>10158</xdr:rowOff>
    </xdr:from>
    <xdr:to>
      <xdr:col>3</xdr:col>
      <xdr:colOff>214177</xdr:colOff>
      <xdr:row>26</xdr:row>
      <xdr:rowOff>72077</xdr:rowOff>
    </xdr:to>
    <xdr:grpSp>
      <xdr:nvGrpSpPr>
        <xdr:cNvPr id="5" name="Group 4">
          <a:extLst>
            <a:ext uri="{FF2B5EF4-FFF2-40B4-BE49-F238E27FC236}">
              <a16:creationId xmlns:a16="http://schemas.microsoft.com/office/drawing/2014/main" id="{23CD09C2-00BD-44E0-AFC6-C22E4CC27591}"/>
            </a:ext>
          </a:extLst>
        </xdr:cNvPr>
        <xdr:cNvGrpSpPr/>
      </xdr:nvGrpSpPr>
      <xdr:grpSpPr>
        <a:xfrm>
          <a:off x="152400" y="4582158"/>
          <a:ext cx="1839777" cy="442919"/>
          <a:chOff x="0" y="0"/>
          <a:chExt cx="2501522" cy="420508"/>
        </a:xfrm>
        <a:effectLst>
          <a:outerShdw blurRad="50800" dist="38100" dir="8100000" algn="tr"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C79D178D-C62C-D53B-1EFC-9DB90B38CB59}"/>
              </a:ext>
            </a:extLst>
          </xdr:cNvPr>
          <xdr:cNvSpPr/>
        </xdr:nvSpPr>
        <xdr:spPr>
          <a:xfrm>
            <a:off x="0" y="5977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CC1EB168-9E28-10FC-3EA9-C6540480578F}"/>
              </a:ext>
            </a:extLst>
          </xdr:cNvPr>
          <xdr:cNvSpPr/>
        </xdr:nvSpPr>
        <xdr:spPr>
          <a:xfrm>
            <a:off x="37241" y="8348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8" name="Group 7">
            <a:extLst>
              <a:ext uri="{FF2B5EF4-FFF2-40B4-BE49-F238E27FC236}">
                <a16:creationId xmlns:a16="http://schemas.microsoft.com/office/drawing/2014/main" id="{68DDC4F5-9FD9-D37E-0517-719B67CAB26B}"/>
              </a:ext>
            </a:extLst>
          </xdr:cNvPr>
          <xdr:cNvGrpSpPr/>
        </xdr:nvGrpSpPr>
        <xdr:grpSpPr>
          <a:xfrm>
            <a:off x="189065" y="0"/>
            <a:ext cx="788458" cy="420508"/>
            <a:chOff x="189065" y="0"/>
            <a:chExt cx="3638263" cy="2110803"/>
          </a:xfrm>
        </xdr:grpSpPr>
        <xdr:sp macro="" textlink="">
          <xdr:nvSpPr>
            <xdr:cNvPr id="9" name="Freeform: Shape 8">
              <a:extLst>
                <a:ext uri="{FF2B5EF4-FFF2-40B4-BE49-F238E27FC236}">
                  <a16:creationId xmlns:a16="http://schemas.microsoft.com/office/drawing/2014/main" id="{4E8FC7E2-216B-7C1A-1BD3-DA1F93CC0BCB}"/>
                </a:ext>
              </a:extLst>
            </xdr:cNvPr>
            <xdr:cNvSpPr/>
          </xdr:nvSpPr>
          <xdr:spPr>
            <a:xfrm>
              <a:off x="189065" y="761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FC8049"/>
                </a:gs>
                <a:gs pos="100000">
                  <a:srgbClr val="D90D0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E2A8763B-D44D-5EAF-39C1-F5EDE3E41FE6}"/>
                </a:ext>
              </a:extLst>
            </xdr:cNvPr>
            <xdr:cNvSpPr/>
          </xdr:nvSpPr>
          <xdr:spPr>
            <a:xfrm>
              <a:off x="3078560" y="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FC4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Freeform: Shape 10">
              <a:extLst>
                <a:ext uri="{FF2B5EF4-FFF2-40B4-BE49-F238E27FC236}">
                  <a16:creationId xmlns:a16="http://schemas.microsoft.com/office/drawing/2014/main" id="{BF454308-A226-980F-321B-97C5B9D0BC6D}"/>
                </a:ext>
              </a:extLst>
            </xdr:cNvPr>
            <xdr:cNvSpPr/>
          </xdr:nvSpPr>
          <xdr:spPr>
            <a:xfrm rot="10800000">
              <a:off x="192876" y="169936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BF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20</xdr:row>
      <xdr:rowOff>99058</xdr:rowOff>
    </xdr:from>
    <xdr:to>
      <xdr:col>3</xdr:col>
      <xdr:colOff>214177</xdr:colOff>
      <xdr:row>22</xdr:row>
      <xdr:rowOff>160977</xdr:rowOff>
    </xdr:to>
    <xdr:grpSp>
      <xdr:nvGrpSpPr>
        <xdr:cNvPr id="12" name="Group 11">
          <a:extLst>
            <a:ext uri="{FF2B5EF4-FFF2-40B4-BE49-F238E27FC236}">
              <a16:creationId xmlns:a16="http://schemas.microsoft.com/office/drawing/2014/main" id="{7BE79A66-46D8-4FBD-9596-89C3F3FEA173}"/>
            </a:ext>
          </a:extLst>
        </xdr:cNvPr>
        <xdr:cNvGrpSpPr/>
      </xdr:nvGrpSpPr>
      <xdr:grpSpPr>
        <a:xfrm>
          <a:off x="152400" y="3909058"/>
          <a:ext cx="1839777" cy="442919"/>
          <a:chOff x="0" y="662940"/>
          <a:chExt cx="2501522" cy="420508"/>
        </a:xfrm>
        <a:effectLst>
          <a:outerShdw blurRad="50800" dist="38100" dir="8100000" algn="t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7B5A9FA8-ACF7-F489-6DE9-4F6A03179265}"/>
              </a:ext>
            </a:extLst>
          </xdr:cNvPr>
          <xdr:cNvSpPr/>
        </xdr:nvSpPr>
        <xdr:spPr>
          <a:xfrm>
            <a:off x="0" y="72271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Rounded Corners 13">
            <a:extLst>
              <a:ext uri="{FF2B5EF4-FFF2-40B4-BE49-F238E27FC236}">
                <a16:creationId xmlns:a16="http://schemas.microsoft.com/office/drawing/2014/main" id="{93979D32-B8D9-56D3-AF7F-F7A9FC428015}"/>
              </a:ext>
            </a:extLst>
          </xdr:cNvPr>
          <xdr:cNvSpPr/>
        </xdr:nvSpPr>
        <xdr:spPr>
          <a:xfrm>
            <a:off x="37241" y="74642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5" name="Group 14">
            <a:extLst>
              <a:ext uri="{FF2B5EF4-FFF2-40B4-BE49-F238E27FC236}">
                <a16:creationId xmlns:a16="http://schemas.microsoft.com/office/drawing/2014/main" id="{0C3110A8-A3D1-757F-53BE-58EF09B478F6}"/>
              </a:ext>
            </a:extLst>
          </xdr:cNvPr>
          <xdr:cNvGrpSpPr/>
        </xdr:nvGrpSpPr>
        <xdr:grpSpPr>
          <a:xfrm>
            <a:off x="189065" y="662940"/>
            <a:ext cx="788458" cy="420508"/>
            <a:chOff x="189065" y="662940"/>
            <a:chExt cx="3638263" cy="2110803"/>
          </a:xfrm>
        </xdr:grpSpPr>
        <xdr:sp macro="" textlink="">
          <xdr:nvSpPr>
            <xdr:cNvPr id="16" name="Freeform: Shape 15">
              <a:extLst>
                <a:ext uri="{FF2B5EF4-FFF2-40B4-BE49-F238E27FC236}">
                  <a16:creationId xmlns:a16="http://schemas.microsoft.com/office/drawing/2014/main" id="{243E64AA-5DFC-08F7-C853-098018DDE633}"/>
                </a:ext>
              </a:extLst>
            </xdr:cNvPr>
            <xdr:cNvSpPr/>
          </xdr:nvSpPr>
          <xdr:spPr>
            <a:xfrm>
              <a:off x="189065" y="67055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18CBF1"/>
                </a:gs>
                <a:gs pos="100000">
                  <a:srgbClr val="3EA7F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ED73C6F4-B8D0-8CF2-C50D-52AFEC5F4E30}"/>
                </a:ext>
              </a:extLst>
            </xdr:cNvPr>
            <xdr:cNvSpPr/>
          </xdr:nvSpPr>
          <xdr:spPr>
            <a:xfrm>
              <a:off x="3078560" y="66294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2E9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CD93801D-552E-ABB8-BBC6-F40EF98BD897}"/>
                </a:ext>
              </a:extLst>
            </xdr:cNvPr>
            <xdr:cNvSpPr/>
          </xdr:nvSpPr>
          <xdr:spPr>
            <a:xfrm rot="10800000">
              <a:off x="192876" y="236230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E81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27</xdr:row>
      <xdr:rowOff>104138</xdr:rowOff>
    </xdr:from>
    <xdr:to>
      <xdr:col>3</xdr:col>
      <xdr:colOff>214177</xdr:colOff>
      <xdr:row>29</xdr:row>
      <xdr:rowOff>166057</xdr:rowOff>
    </xdr:to>
    <xdr:grpSp>
      <xdr:nvGrpSpPr>
        <xdr:cNvPr id="19" name="Group 18">
          <a:extLst>
            <a:ext uri="{FF2B5EF4-FFF2-40B4-BE49-F238E27FC236}">
              <a16:creationId xmlns:a16="http://schemas.microsoft.com/office/drawing/2014/main" id="{C6CD5F9D-CDB8-4C07-AEA8-6D5137BAB37A}"/>
            </a:ext>
          </a:extLst>
        </xdr:cNvPr>
        <xdr:cNvGrpSpPr/>
      </xdr:nvGrpSpPr>
      <xdr:grpSpPr>
        <a:xfrm>
          <a:off x="152400" y="5247638"/>
          <a:ext cx="1839777" cy="442919"/>
          <a:chOff x="0" y="1318260"/>
          <a:chExt cx="2501522" cy="420508"/>
        </a:xfrm>
        <a:effectLst>
          <a:outerShdw blurRad="50800" dist="38100" dir="8100000" algn="tr"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FA64BBD8-E474-957A-34AC-C39603D765F0}"/>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A3F66278-6D1F-4047-D8D8-83F5D7B4D026}"/>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2" name="Group 21">
            <a:extLst>
              <a:ext uri="{FF2B5EF4-FFF2-40B4-BE49-F238E27FC236}">
                <a16:creationId xmlns:a16="http://schemas.microsoft.com/office/drawing/2014/main" id="{8DB63376-FEC7-06FF-5748-4247476FD525}"/>
              </a:ext>
            </a:extLst>
          </xdr:cNvPr>
          <xdr:cNvGrpSpPr/>
        </xdr:nvGrpSpPr>
        <xdr:grpSpPr>
          <a:xfrm>
            <a:off x="189065" y="1318260"/>
            <a:ext cx="788458" cy="420508"/>
            <a:chOff x="189065" y="1318260"/>
            <a:chExt cx="3638263" cy="2110803"/>
          </a:xfrm>
        </xdr:grpSpPr>
        <xdr:sp macro="" textlink="">
          <xdr:nvSpPr>
            <xdr:cNvPr id="23" name="Freeform: Shape 22">
              <a:extLst>
                <a:ext uri="{FF2B5EF4-FFF2-40B4-BE49-F238E27FC236}">
                  <a16:creationId xmlns:a16="http://schemas.microsoft.com/office/drawing/2014/main" id="{9AC2D038-9855-79D1-ED6D-FAE674BAF4B4}"/>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00FAEE"/>
                </a:gs>
                <a:gs pos="100000">
                  <a:srgbClr val="00A8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Freeform: Shape 23">
              <a:extLst>
                <a:ext uri="{FF2B5EF4-FFF2-40B4-BE49-F238E27FC236}">
                  <a16:creationId xmlns:a16="http://schemas.microsoft.com/office/drawing/2014/main" id="{87C2501B-5C68-3277-85BE-535104436087}"/>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C6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0FDE693F-7AB8-EA2D-44D8-D902706B4297}"/>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31</xdr:row>
      <xdr:rowOff>15237</xdr:rowOff>
    </xdr:from>
    <xdr:to>
      <xdr:col>3</xdr:col>
      <xdr:colOff>214177</xdr:colOff>
      <xdr:row>33</xdr:row>
      <xdr:rowOff>77156</xdr:rowOff>
    </xdr:to>
    <xdr:grpSp>
      <xdr:nvGrpSpPr>
        <xdr:cNvPr id="26" name="Group 25">
          <a:extLst>
            <a:ext uri="{FF2B5EF4-FFF2-40B4-BE49-F238E27FC236}">
              <a16:creationId xmlns:a16="http://schemas.microsoft.com/office/drawing/2014/main" id="{C7C55568-FF34-4C1B-9008-FC5F625262AF}"/>
            </a:ext>
          </a:extLst>
        </xdr:cNvPr>
        <xdr:cNvGrpSpPr/>
      </xdr:nvGrpSpPr>
      <xdr:grpSpPr>
        <a:xfrm>
          <a:off x="152400" y="5920737"/>
          <a:ext cx="1839777" cy="442919"/>
          <a:chOff x="0" y="1318260"/>
          <a:chExt cx="2501522" cy="420508"/>
        </a:xfrm>
        <a:effectLst>
          <a:outerShdw blurRad="50800" dist="38100" dir="8100000" algn="tr"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72C2D890-825A-93C4-0043-A50A2A6D8F41}"/>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2523889B-E631-33BC-7852-8ED68B8C4FC6}"/>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9" name="Group 28">
            <a:extLst>
              <a:ext uri="{FF2B5EF4-FFF2-40B4-BE49-F238E27FC236}">
                <a16:creationId xmlns:a16="http://schemas.microsoft.com/office/drawing/2014/main" id="{30A79869-F1AE-33C9-8C56-CB0D50F95237}"/>
              </a:ext>
            </a:extLst>
          </xdr:cNvPr>
          <xdr:cNvGrpSpPr/>
        </xdr:nvGrpSpPr>
        <xdr:grpSpPr>
          <a:xfrm>
            <a:off x="189065" y="1318260"/>
            <a:ext cx="788458" cy="420508"/>
            <a:chOff x="189065" y="1318260"/>
            <a:chExt cx="3638263" cy="2110803"/>
          </a:xfrm>
        </xdr:grpSpPr>
        <xdr:sp macro="" textlink="">
          <xdr:nvSpPr>
            <xdr:cNvPr id="30" name="Freeform: Shape 29">
              <a:extLst>
                <a:ext uri="{FF2B5EF4-FFF2-40B4-BE49-F238E27FC236}">
                  <a16:creationId xmlns:a16="http://schemas.microsoft.com/office/drawing/2014/main" id="{3AECE7A5-F902-0AE1-60AF-25E72917A601}"/>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D623A8"/>
                </a:gs>
                <a:gs pos="100000">
                  <a:srgbClr val="76027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F6AF38D9-1900-E293-9051-A688EABE89B0}"/>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7B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34170CB9-587A-44D1-89C4-19D0FF0EF92A}"/>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4D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403860</xdr:colOff>
      <xdr:row>0</xdr:row>
      <xdr:rowOff>0</xdr:rowOff>
    </xdr:from>
    <xdr:to>
      <xdr:col>23</xdr:col>
      <xdr:colOff>419100</xdr:colOff>
      <xdr:row>38</xdr:row>
      <xdr:rowOff>99060</xdr:rowOff>
    </xdr:to>
    <xdr:sp macro="" textlink="">
      <xdr:nvSpPr>
        <xdr:cNvPr id="33" name="Rectangle 32">
          <a:extLst>
            <a:ext uri="{FF2B5EF4-FFF2-40B4-BE49-F238E27FC236}">
              <a16:creationId xmlns:a16="http://schemas.microsoft.com/office/drawing/2014/main" id="{E711E05C-A8CE-47B3-BA3A-C96B3C4BC7FC}"/>
            </a:ext>
          </a:extLst>
        </xdr:cNvPr>
        <xdr:cNvSpPr/>
      </xdr:nvSpPr>
      <xdr:spPr>
        <a:xfrm>
          <a:off x="2232660" y="0"/>
          <a:ext cx="12207240" cy="7048500"/>
        </a:xfrm>
        <a:prstGeom prst="rect">
          <a:avLst/>
        </a:prstGeom>
        <a:solidFill>
          <a:schemeClr val="bg1"/>
        </a:solidFill>
        <a:ln>
          <a:noFill/>
        </a:ln>
        <a:effectLst>
          <a:outerShdw blurRad="546100" dist="215900" dir="11700000" algn="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4</xdr:col>
      <xdr:colOff>350521</xdr:colOff>
      <xdr:row>12</xdr:row>
      <xdr:rowOff>82279</xdr:rowOff>
    </xdr:from>
    <xdr:to>
      <xdr:col>22</xdr:col>
      <xdr:colOff>358141</xdr:colOff>
      <xdr:row>33</xdr:row>
      <xdr:rowOff>156210</xdr:rowOff>
    </xdr:to>
    <xdr:graphicFrame macro="">
      <xdr:nvGraphicFramePr>
        <xdr:cNvPr id="63" name="Chart 62">
          <a:extLst>
            <a:ext uri="{FF2B5EF4-FFF2-40B4-BE49-F238E27FC236}">
              <a16:creationId xmlns:a16="http://schemas.microsoft.com/office/drawing/2014/main" id="{D4554E7F-27B5-444D-909A-A029D9FEB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83820</xdr:colOff>
      <xdr:row>32</xdr:row>
      <xdr:rowOff>15241</xdr:rowOff>
    </xdr:from>
    <xdr:to>
      <xdr:col>22</xdr:col>
      <xdr:colOff>457200</xdr:colOff>
      <xdr:row>34</xdr:row>
      <xdr:rowOff>76200</xdr:rowOff>
    </xdr:to>
    <mc:AlternateContent xmlns:mc="http://schemas.openxmlformats.org/markup-compatibility/2006" xmlns:a14="http://schemas.microsoft.com/office/drawing/2010/main">
      <mc:Choice Requires="a14">
        <xdr:graphicFrame macro="">
          <xdr:nvGraphicFramePr>
            <xdr:cNvPr id="75" name="Month 5">
              <a:extLst>
                <a:ext uri="{FF2B5EF4-FFF2-40B4-BE49-F238E27FC236}">
                  <a16:creationId xmlns:a16="http://schemas.microsoft.com/office/drawing/2014/main" id="{7C7B44A1-167A-44A2-8D86-7821AA03548B}"/>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3131820" y="5752653"/>
              <a:ext cx="10736580" cy="41954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30480</xdr:rowOff>
    </xdr:from>
    <xdr:to>
      <xdr:col>7</xdr:col>
      <xdr:colOff>205740</xdr:colOff>
      <xdr:row>18</xdr:row>
      <xdr:rowOff>121920</xdr:rowOff>
    </xdr:to>
    <xdr:graphicFrame macro="">
      <xdr:nvGraphicFramePr>
        <xdr:cNvPr id="34" name="Chart 33">
          <a:extLst>
            <a:ext uri="{FF2B5EF4-FFF2-40B4-BE49-F238E27FC236}">
              <a16:creationId xmlns:a16="http://schemas.microsoft.com/office/drawing/2014/main" id="{1DFDA29B-4F7A-4E81-9E79-F07A8DE6F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129540</xdr:colOff>
      <xdr:row>0</xdr:row>
      <xdr:rowOff>0</xdr:rowOff>
    </xdr:from>
    <xdr:to>
      <xdr:col>23</xdr:col>
      <xdr:colOff>441960</xdr:colOff>
      <xdr:row>14</xdr:row>
      <xdr:rowOff>91440</xdr:rowOff>
    </xdr:to>
    <xdr:sp macro="" textlink="">
      <xdr:nvSpPr>
        <xdr:cNvPr id="35" name="Rectangle 34">
          <a:extLst>
            <a:ext uri="{FF2B5EF4-FFF2-40B4-BE49-F238E27FC236}">
              <a16:creationId xmlns:a16="http://schemas.microsoft.com/office/drawing/2014/main" id="{74674C3F-4E8B-44A3-8AEB-1B01A1FAC8F0}"/>
            </a:ext>
          </a:extLst>
        </xdr:cNvPr>
        <xdr:cNvSpPr/>
      </xdr:nvSpPr>
      <xdr:spPr>
        <a:xfrm>
          <a:off x="10492740" y="0"/>
          <a:ext cx="3970020" cy="2651760"/>
        </a:xfrm>
        <a:prstGeom prst="rect">
          <a:avLst/>
        </a:prstGeom>
        <a:solidFill>
          <a:srgbClr val="052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22</xdr:col>
      <xdr:colOff>508635</xdr:colOff>
      <xdr:row>0</xdr:row>
      <xdr:rowOff>7620</xdr:rowOff>
    </xdr:from>
    <xdr:to>
      <xdr:col>23</xdr:col>
      <xdr:colOff>443865</xdr:colOff>
      <xdr:row>5</xdr:row>
      <xdr:rowOff>144780</xdr:rowOff>
    </xdr:to>
    <xdr:sp macro="" textlink="">
      <xdr:nvSpPr>
        <xdr:cNvPr id="36" name="Right Triangle 35">
          <a:extLst>
            <a:ext uri="{FF2B5EF4-FFF2-40B4-BE49-F238E27FC236}">
              <a16:creationId xmlns:a16="http://schemas.microsoft.com/office/drawing/2014/main" id="{7CC8896F-2AF0-41AB-8ED2-71D8B03095D4}"/>
            </a:ext>
          </a:extLst>
        </xdr:cNvPr>
        <xdr:cNvSpPr/>
      </xdr:nvSpPr>
      <xdr:spPr>
        <a:xfrm rot="10800000">
          <a:off x="13919835" y="7620"/>
          <a:ext cx="544830" cy="1051560"/>
        </a:xfrm>
        <a:prstGeom prst="rtTriangle">
          <a:avLst/>
        </a:prstGeom>
        <a:solidFill>
          <a:srgbClr val="0075AA">
            <a:alpha val="79000"/>
          </a:srgb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23</xdr:col>
      <xdr:colOff>51054</xdr:colOff>
      <xdr:row>2</xdr:row>
      <xdr:rowOff>129540</xdr:rowOff>
    </xdr:from>
    <xdr:to>
      <xdr:col>23</xdr:col>
      <xdr:colOff>436626</xdr:colOff>
      <xdr:row>9</xdr:row>
      <xdr:rowOff>121920</xdr:rowOff>
    </xdr:to>
    <xdr:sp macro="" textlink="">
      <xdr:nvSpPr>
        <xdr:cNvPr id="37" name="Right Triangle 36">
          <a:extLst>
            <a:ext uri="{FF2B5EF4-FFF2-40B4-BE49-F238E27FC236}">
              <a16:creationId xmlns:a16="http://schemas.microsoft.com/office/drawing/2014/main" id="{2BCFFF19-2936-465A-B840-6CC9CB5A1E8E}"/>
            </a:ext>
          </a:extLst>
        </xdr:cNvPr>
        <xdr:cNvSpPr/>
      </xdr:nvSpPr>
      <xdr:spPr>
        <a:xfrm flipH="1">
          <a:off x="14071854" y="495300"/>
          <a:ext cx="385572" cy="1272540"/>
        </a:xfrm>
        <a:prstGeom prst="rtTriangle">
          <a:avLst/>
        </a:prstGeom>
        <a:solidFill>
          <a:srgbClr val="CBF7FF">
            <a:alpha val="68000"/>
          </a:srgb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312420</xdr:colOff>
      <xdr:row>0</xdr:row>
      <xdr:rowOff>152400</xdr:rowOff>
    </xdr:from>
    <xdr:to>
      <xdr:col>22</xdr:col>
      <xdr:colOff>373380</xdr:colOff>
      <xdr:row>7</xdr:row>
      <xdr:rowOff>152400</xdr:rowOff>
    </xdr:to>
    <xdr:sp macro="" textlink="">
      <xdr:nvSpPr>
        <xdr:cNvPr id="38" name="Oval 37">
          <a:extLst>
            <a:ext uri="{FF2B5EF4-FFF2-40B4-BE49-F238E27FC236}">
              <a16:creationId xmlns:a16="http://schemas.microsoft.com/office/drawing/2014/main" id="{1A0971EE-8FEA-4831-82C6-13DBC2C03BA7}"/>
            </a:ext>
          </a:extLst>
        </xdr:cNvPr>
        <xdr:cNvSpPr/>
      </xdr:nvSpPr>
      <xdr:spPr>
        <a:xfrm>
          <a:off x="12504420" y="152400"/>
          <a:ext cx="1280160" cy="1280160"/>
        </a:xfrm>
        <a:prstGeom prst="ellipse">
          <a:avLst/>
        </a:prstGeom>
        <a:solidFill>
          <a:schemeClr val="tx2">
            <a:lumMod val="10000"/>
            <a:lumOff val="90000"/>
          </a:schemeClr>
        </a:solidFill>
        <a:ln>
          <a:noFill/>
        </a:ln>
        <a:effectLst>
          <a:outerShdw blurRad="50800" dist="762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228600</xdr:colOff>
      <xdr:row>0</xdr:row>
      <xdr:rowOff>22860</xdr:rowOff>
    </xdr:from>
    <xdr:to>
      <xdr:col>24</xdr:col>
      <xdr:colOff>53340</xdr:colOff>
      <xdr:row>8</xdr:row>
      <xdr:rowOff>91440</xdr:rowOff>
    </xdr:to>
    <xdr:graphicFrame macro="">
      <xdr:nvGraphicFramePr>
        <xdr:cNvPr id="39" name="Chart 38">
          <a:extLst>
            <a:ext uri="{FF2B5EF4-FFF2-40B4-BE49-F238E27FC236}">
              <a16:creationId xmlns:a16="http://schemas.microsoft.com/office/drawing/2014/main" id="{06ADF39E-21BB-4842-84AE-338D018EF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22860</xdr:colOff>
      <xdr:row>2</xdr:row>
      <xdr:rowOff>99060</xdr:rowOff>
    </xdr:from>
    <xdr:to>
      <xdr:col>22</xdr:col>
      <xdr:colOff>53340</xdr:colOff>
      <xdr:row>6</xdr:row>
      <xdr:rowOff>7620</xdr:rowOff>
    </xdr:to>
    <xdr:grpSp>
      <xdr:nvGrpSpPr>
        <xdr:cNvPr id="40" name="Group 39">
          <a:extLst>
            <a:ext uri="{FF2B5EF4-FFF2-40B4-BE49-F238E27FC236}">
              <a16:creationId xmlns:a16="http://schemas.microsoft.com/office/drawing/2014/main" id="{933B15CB-201F-4AB1-949A-1F1948E272C3}"/>
            </a:ext>
          </a:extLst>
        </xdr:cNvPr>
        <xdr:cNvGrpSpPr/>
      </xdr:nvGrpSpPr>
      <xdr:grpSpPr>
        <a:xfrm>
          <a:off x="12468860" y="480060"/>
          <a:ext cx="623147" cy="670560"/>
          <a:chOff x="12839700" y="472440"/>
          <a:chExt cx="640080" cy="640080"/>
        </a:xfrm>
      </xdr:grpSpPr>
      <xdr:sp macro="" textlink="">
        <xdr:nvSpPr>
          <xdr:cNvPr id="41" name="Oval 40">
            <a:extLst>
              <a:ext uri="{FF2B5EF4-FFF2-40B4-BE49-F238E27FC236}">
                <a16:creationId xmlns:a16="http://schemas.microsoft.com/office/drawing/2014/main" id="{91E0A21D-8731-15C7-1528-CAAD63F8F760}"/>
              </a:ext>
            </a:extLst>
          </xdr:cNvPr>
          <xdr:cNvSpPr/>
        </xdr:nvSpPr>
        <xdr:spPr>
          <a:xfrm>
            <a:off x="12839700" y="472440"/>
            <a:ext cx="640080" cy="640080"/>
          </a:xfrm>
          <a:prstGeom prst="ellipse">
            <a:avLst/>
          </a:prstGeom>
          <a:solidFill>
            <a:schemeClr val="bg1"/>
          </a:solidFill>
          <a:ln>
            <a:noFill/>
          </a:ln>
          <a:effectLst>
            <a:innerShdw blurRad="279400">
              <a:schemeClr val="tx2">
                <a:lumMod val="25000"/>
                <a:lumOff val="7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2" name="Circle: Hollow 41">
            <a:extLst>
              <a:ext uri="{FF2B5EF4-FFF2-40B4-BE49-F238E27FC236}">
                <a16:creationId xmlns:a16="http://schemas.microsoft.com/office/drawing/2014/main" id="{3F83EBD2-A0E3-63C6-2939-BABEBF5B75BD}"/>
              </a:ext>
            </a:extLst>
          </xdr:cNvPr>
          <xdr:cNvSpPr/>
        </xdr:nvSpPr>
        <xdr:spPr>
          <a:xfrm>
            <a:off x="12839700" y="472440"/>
            <a:ext cx="640080" cy="640080"/>
          </a:xfrm>
          <a:prstGeom prst="donut">
            <a:avLst>
              <a:gd name="adj" fmla="val 6442"/>
            </a:avLst>
          </a:prstGeom>
          <a:solidFill>
            <a:schemeClr val="bg1"/>
          </a:solidFill>
          <a:ln>
            <a:noFill/>
          </a:ln>
          <a:effectLst>
            <a:outerShdw blurRad="63500" sx="102000" sy="102000" algn="ctr"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solidFill>
                <a:schemeClr val="tx1"/>
              </a:solidFill>
            </a:endParaRPr>
          </a:p>
        </xdr:txBody>
      </xdr:sp>
    </xdr:grpSp>
    <xdr:clientData/>
  </xdr:twoCellAnchor>
  <xdr:twoCellAnchor>
    <xdr:from>
      <xdr:col>6</xdr:col>
      <xdr:colOff>15240</xdr:colOff>
      <xdr:row>3</xdr:row>
      <xdr:rowOff>38100</xdr:rowOff>
    </xdr:from>
    <xdr:to>
      <xdr:col>6</xdr:col>
      <xdr:colOff>472440</xdr:colOff>
      <xdr:row>5</xdr:row>
      <xdr:rowOff>129540</xdr:rowOff>
    </xdr:to>
    <xdr:sp macro="" textlink="">
      <xdr:nvSpPr>
        <xdr:cNvPr id="50" name="Oval 49">
          <a:extLst>
            <a:ext uri="{FF2B5EF4-FFF2-40B4-BE49-F238E27FC236}">
              <a16:creationId xmlns:a16="http://schemas.microsoft.com/office/drawing/2014/main" id="{0CA19C72-F80F-47D3-9827-2B62F4589C60}"/>
            </a:ext>
          </a:extLst>
        </xdr:cNvPr>
        <xdr:cNvSpPr/>
      </xdr:nvSpPr>
      <xdr:spPr>
        <a:xfrm>
          <a:off x="3672840" y="586740"/>
          <a:ext cx="457200" cy="457200"/>
        </a:xfrm>
        <a:prstGeom prst="ellipse">
          <a:avLst/>
        </a:prstGeom>
        <a:solidFill>
          <a:srgbClr val="06A9E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281940</xdr:colOff>
      <xdr:row>8</xdr:row>
      <xdr:rowOff>152400</xdr:rowOff>
    </xdr:from>
    <xdr:to>
      <xdr:col>7</xdr:col>
      <xdr:colOff>129540</xdr:colOff>
      <xdr:row>11</xdr:row>
      <xdr:rowOff>60960</xdr:rowOff>
    </xdr:to>
    <xdr:sp macro="" textlink="">
      <xdr:nvSpPr>
        <xdr:cNvPr id="51" name="Oval 50">
          <a:extLst>
            <a:ext uri="{FF2B5EF4-FFF2-40B4-BE49-F238E27FC236}">
              <a16:creationId xmlns:a16="http://schemas.microsoft.com/office/drawing/2014/main" id="{50A3A7E5-0F5E-4DB4-874A-47BFFEBB72E8}"/>
            </a:ext>
          </a:extLst>
        </xdr:cNvPr>
        <xdr:cNvSpPr/>
      </xdr:nvSpPr>
      <xdr:spPr>
        <a:xfrm>
          <a:off x="3939540" y="1615440"/>
          <a:ext cx="457200" cy="457200"/>
        </a:xfrm>
        <a:prstGeom prst="ellipse">
          <a:avLst/>
        </a:prstGeom>
        <a:solidFill>
          <a:srgbClr val="0075A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6</xdr:col>
      <xdr:colOff>22860</xdr:colOff>
      <xdr:row>14</xdr:row>
      <xdr:rowOff>53340</xdr:rowOff>
    </xdr:from>
    <xdr:to>
      <xdr:col>6</xdr:col>
      <xdr:colOff>480060</xdr:colOff>
      <xdr:row>16</xdr:row>
      <xdr:rowOff>144780</xdr:rowOff>
    </xdr:to>
    <xdr:sp macro="" textlink="">
      <xdr:nvSpPr>
        <xdr:cNvPr id="52" name="Oval 51">
          <a:extLst>
            <a:ext uri="{FF2B5EF4-FFF2-40B4-BE49-F238E27FC236}">
              <a16:creationId xmlns:a16="http://schemas.microsoft.com/office/drawing/2014/main" id="{0FF6CCFA-670E-4989-B9CA-71C8DBC09D0F}"/>
            </a:ext>
          </a:extLst>
        </xdr:cNvPr>
        <xdr:cNvSpPr/>
      </xdr:nvSpPr>
      <xdr:spPr>
        <a:xfrm>
          <a:off x="3680460" y="2613660"/>
          <a:ext cx="457200" cy="457200"/>
        </a:xfrm>
        <a:prstGeom prst="ellipse">
          <a:avLst/>
        </a:prstGeom>
        <a:solidFill>
          <a:srgbClr val="B9F5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b="1" kern="1200">
            <a:solidFill>
              <a:schemeClr val="lt1"/>
            </a:solidFill>
            <a:latin typeface="+mn-lt"/>
            <a:ea typeface="+mn-ea"/>
            <a:cs typeface="+mn-cs"/>
          </a:endParaRPr>
        </a:p>
      </xdr:txBody>
    </xdr:sp>
    <xdr:clientData/>
  </xdr:twoCellAnchor>
  <xdr:twoCellAnchor>
    <xdr:from>
      <xdr:col>6</xdr:col>
      <xdr:colOff>472440</xdr:colOff>
      <xdr:row>1</xdr:row>
      <xdr:rowOff>76200</xdr:rowOff>
    </xdr:from>
    <xdr:to>
      <xdr:col>7</xdr:col>
      <xdr:colOff>266700</xdr:colOff>
      <xdr:row>3</xdr:row>
      <xdr:rowOff>114300</xdr:rowOff>
    </xdr:to>
    <xdr:sp macro="" textlink="">
      <xdr:nvSpPr>
        <xdr:cNvPr id="53" name="Oval 52">
          <a:extLst>
            <a:ext uri="{FF2B5EF4-FFF2-40B4-BE49-F238E27FC236}">
              <a16:creationId xmlns:a16="http://schemas.microsoft.com/office/drawing/2014/main" id="{75246F3D-2906-4A60-8834-2A02A97E0D7B}"/>
            </a:ext>
          </a:extLst>
        </xdr:cNvPr>
        <xdr:cNvSpPr/>
      </xdr:nvSpPr>
      <xdr:spPr>
        <a:xfrm>
          <a:off x="4130040" y="259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400" b="1" kern="1200">
              <a:solidFill>
                <a:schemeClr val="tx2">
                  <a:lumMod val="75000"/>
                  <a:lumOff val="25000"/>
                </a:schemeClr>
              </a:solidFill>
            </a:rPr>
            <a:t>A</a:t>
          </a:r>
          <a:endParaRPr lang="ru-RU" sz="2400" b="1" kern="1200">
            <a:solidFill>
              <a:schemeClr val="tx2">
                <a:lumMod val="75000"/>
                <a:lumOff val="25000"/>
              </a:schemeClr>
            </a:solidFill>
          </a:endParaRPr>
        </a:p>
      </xdr:txBody>
    </xdr:sp>
    <xdr:clientData/>
  </xdr:twoCellAnchor>
  <xdr:twoCellAnchor>
    <xdr:from>
      <xdr:col>7</xdr:col>
      <xdr:colOff>213360</xdr:colOff>
      <xdr:row>8</xdr:row>
      <xdr:rowOff>175260</xdr:rowOff>
    </xdr:from>
    <xdr:to>
      <xdr:col>8</xdr:col>
      <xdr:colOff>7620</xdr:colOff>
      <xdr:row>11</xdr:row>
      <xdr:rowOff>30480</xdr:rowOff>
    </xdr:to>
    <xdr:sp macro="" textlink="">
      <xdr:nvSpPr>
        <xdr:cNvPr id="54" name="Oval 53">
          <a:extLst>
            <a:ext uri="{FF2B5EF4-FFF2-40B4-BE49-F238E27FC236}">
              <a16:creationId xmlns:a16="http://schemas.microsoft.com/office/drawing/2014/main" id="{3DA9AECD-0F32-4F69-AFD6-E44063308F5B}"/>
            </a:ext>
          </a:extLst>
        </xdr:cNvPr>
        <xdr:cNvSpPr/>
      </xdr:nvSpPr>
      <xdr:spPr>
        <a:xfrm>
          <a:off x="4480560" y="163830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B</a:t>
          </a:r>
          <a:endParaRPr lang="ru-RU" sz="2400" b="1" kern="1200">
            <a:solidFill>
              <a:schemeClr val="tx2">
                <a:lumMod val="75000"/>
                <a:lumOff val="25000"/>
              </a:schemeClr>
            </a:solidFill>
            <a:latin typeface="+mn-lt"/>
            <a:ea typeface="+mn-ea"/>
            <a:cs typeface="+mn-cs"/>
          </a:endParaRPr>
        </a:p>
      </xdr:txBody>
    </xdr:sp>
    <xdr:clientData/>
  </xdr:twoCellAnchor>
  <xdr:twoCellAnchor>
    <xdr:from>
      <xdr:col>6</xdr:col>
      <xdr:colOff>457200</xdr:colOff>
      <xdr:row>16</xdr:row>
      <xdr:rowOff>114300</xdr:rowOff>
    </xdr:from>
    <xdr:to>
      <xdr:col>7</xdr:col>
      <xdr:colOff>251460</xdr:colOff>
      <xdr:row>18</xdr:row>
      <xdr:rowOff>152400</xdr:rowOff>
    </xdr:to>
    <xdr:sp macro="" textlink="">
      <xdr:nvSpPr>
        <xdr:cNvPr id="55" name="Oval 54">
          <a:extLst>
            <a:ext uri="{FF2B5EF4-FFF2-40B4-BE49-F238E27FC236}">
              <a16:creationId xmlns:a16="http://schemas.microsoft.com/office/drawing/2014/main" id="{29688082-BF35-47EC-BEB3-92B5A58F2F23}"/>
            </a:ext>
          </a:extLst>
        </xdr:cNvPr>
        <xdr:cNvSpPr/>
      </xdr:nvSpPr>
      <xdr:spPr>
        <a:xfrm>
          <a:off x="4114800" y="30403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C</a:t>
          </a:r>
          <a:endParaRPr lang="ru-RU" sz="2400" b="1" kern="1200">
            <a:solidFill>
              <a:schemeClr val="tx2">
                <a:lumMod val="75000"/>
                <a:lumOff val="25000"/>
              </a:schemeClr>
            </a:solidFill>
            <a:latin typeface="+mn-lt"/>
            <a:ea typeface="+mn-ea"/>
            <a:cs typeface="+mn-cs"/>
          </a:endParaRPr>
        </a:p>
      </xdr:txBody>
    </xdr:sp>
    <xdr:clientData/>
  </xdr:twoCellAnchor>
  <xdr:oneCellAnchor>
    <xdr:from>
      <xdr:col>7</xdr:col>
      <xdr:colOff>416694</xdr:colOff>
      <xdr:row>0</xdr:row>
      <xdr:rowOff>0</xdr:rowOff>
    </xdr:from>
    <xdr:ext cx="6152216" cy="598690"/>
    <xdr:sp macro="" textlink="">
      <xdr:nvSpPr>
        <xdr:cNvPr id="56" name="Rectangle 55">
          <a:extLst>
            <a:ext uri="{FF2B5EF4-FFF2-40B4-BE49-F238E27FC236}">
              <a16:creationId xmlns:a16="http://schemas.microsoft.com/office/drawing/2014/main" id="{A5C12569-933A-4386-9561-FB6D0381B5D1}"/>
            </a:ext>
          </a:extLst>
        </xdr:cNvPr>
        <xdr:cNvSpPr/>
      </xdr:nvSpPr>
      <xdr:spPr>
        <a:xfrm>
          <a:off x="4683894" y="0"/>
          <a:ext cx="6152216" cy="598690"/>
        </a:xfrm>
        <a:prstGeom prst="rect">
          <a:avLst/>
        </a:prstGeom>
        <a:noFill/>
        <a:ln>
          <a:noFill/>
        </a:ln>
        <a:effectLst/>
      </xdr:spPr>
      <xdr:txBody>
        <a:bodyPr wrap="square" lIns="91440" tIns="45720" rIns="91440" bIns="45720">
          <a:spAutoFit/>
        </a:bodyPr>
        <a:lstStyle/>
        <a:p>
          <a:pPr algn="ctr"/>
          <a:r>
            <a:rPr lang="pl-PL"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Sales Dynamics</a:t>
          </a:r>
          <a:endParaRPr lang="en-US"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endParaRPr>
        </a:p>
      </xdr:txBody>
    </xdr:sp>
    <xdr:clientData/>
  </xdr:oneCellAnchor>
  <xdr:twoCellAnchor>
    <xdr:from>
      <xdr:col>5</xdr:col>
      <xdr:colOff>556260</xdr:colOff>
      <xdr:row>14</xdr:row>
      <xdr:rowOff>121920</xdr:rowOff>
    </xdr:from>
    <xdr:to>
      <xdr:col>6</xdr:col>
      <xdr:colOff>563880</xdr:colOff>
      <xdr:row>16</xdr:row>
      <xdr:rowOff>60960</xdr:rowOff>
    </xdr:to>
    <xdr:sp macro="" textlink="Processing!B3">
      <xdr:nvSpPr>
        <xdr:cNvPr id="58" name="TextBox 57">
          <a:extLst>
            <a:ext uri="{FF2B5EF4-FFF2-40B4-BE49-F238E27FC236}">
              <a16:creationId xmlns:a16="http://schemas.microsoft.com/office/drawing/2014/main" id="{899679DA-F1D5-454F-BD36-3D8EEAA9B499}"/>
            </a:ext>
          </a:extLst>
        </xdr:cNvPr>
        <xdr:cNvSpPr txBox="1"/>
      </xdr:nvSpPr>
      <xdr:spPr>
        <a:xfrm>
          <a:off x="3604260" y="268224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C542D-35F1-4AB8-9684-48687BB1F6B9}" type="TxLink">
            <a:rPr lang="en-US" sz="1400" b="1" i="0" u="none" strike="noStrike" kern="1200">
              <a:solidFill>
                <a:srgbClr val="0075AA"/>
              </a:solidFill>
              <a:latin typeface="Aptos Narrow"/>
            </a:rPr>
            <a:pPr algn="ctr"/>
            <a:t>44%</a:t>
          </a:fld>
          <a:endParaRPr lang="ru-RU" sz="1400" b="1" kern="1200">
            <a:solidFill>
              <a:srgbClr val="0075AA"/>
            </a:solidFill>
          </a:endParaRPr>
        </a:p>
      </xdr:txBody>
    </xdr:sp>
    <xdr:clientData/>
  </xdr:twoCellAnchor>
  <xdr:twoCellAnchor>
    <xdr:from>
      <xdr:col>6</xdr:col>
      <xdr:colOff>148552</xdr:colOff>
      <xdr:row>8</xdr:row>
      <xdr:rowOff>127938</xdr:rowOff>
    </xdr:from>
    <xdr:to>
      <xdr:col>7</xdr:col>
      <xdr:colOff>285788</xdr:colOff>
      <xdr:row>11</xdr:row>
      <xdr:rowOff>70182</xdr:rowOff>
    </xdr:to>
    <xdr:sp macro="" textlink="Processing!B4">
      <xdr:nvSpPr>
        <xdr:cNvPr id="59" name="TextBox 58">
          <a:extLst>
            <a:ext uri="{FF2B5EF4-FFF2-40B4-BE49-F238E27FC236}">
              <a16:creationId xmlns:a16="http://schemas.microsoft.com/office/drawing/2014/main" id="{E5BADC51-FE3A-4B29-A38F-220F69B04E54}"/>
            </a:ext>
          </a:extLst>
        </xdr:cNvPr>
        <xdr:cNvSpPr txBox="1"/>
      </xdr:nvSpPr>
      <xdr:spPr>
        <a:xfrm>
          <a:off x="3806152" y="1590978"/>
          <a:ext cx="746836" cy="49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C59C6-B73C-4885-A2B4-D97D564F334A}" type="TxLink">
            <a:rPr lang="en-US" sz="1400" b="1" i="0" u="none" strike="noStrike" kern="1200">
              <a:solidFill>
                <a:schemeClr val="bg1"/>
              </a:solidFill>
              <a:latin typeface="Aptos Narrow"/>
            </a:rPr>
            <a:pPr algn="ctr"/>
            <a:t>31%</a:t>
          </a:fld>
          <a:endParaRPr lang="ru-RU" sz="1600" b="1" kern="1200">
            <a:solidFill>
              <a:schemeClr val="bg1"/>
            </a:solidFill>
          </a:endParaRPr>
        </a:p>
      </xdr:txBody>
    </xdr:sp>
    <xdr:clientData/>
  </xdr:twoCellAnchor>
  <xdr:twoCellAnchor>
    <xdr:from>
      <xdr:col>5</xdr:col>
      <xdr:colOff>548640</xdr:colOff>
      <xdr:row>3</xdr:row>
      <xdr:rowOff>99060</xdr:rowOff>
    </xdr:from>
    <xdr:to>
      <xdr:col>6</xdr:col>
      <xdr:colOff>556260</xdr:colOff>
      <xdr:row>5</xdr:row>
      <xdr:rowOff>38100</xdr:rowOff>
    </xdr:to>
    <xdr:sp macro="" textlink="Processing!B5">
      <xdr:nvSpPr>
        <xdr:cNvPr id="60" name="TextBox 59">
          <a:extLst>
            <a:ext uri="{FF2B5EF4-FFF2-40B4-BE49-F238E27FC236}">
              <a16:creationId xmlns:a16="http://schemas.microsoft.com/office/drawing/2014/main" id="{2039AF22-61D6-47F4-8EC8-C4027D5BCEF9}"/>
            </a:ext>
          </a:extLst>
        </xdr:cNvPr>
        <xdr:cNvSpPr txBox="1"/>
      </xdr:nvSpPr>
      <xdr:spPr>
        <a:xfrm>
          <a:off x="3596640" y="64770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9BCA5-D2E1-4F75-9AA4-753F08AB4141}" type="TxLink">
            <a:rPr lang="en-US" sz="1400" b="1" i="0" u="none" strike="noStrike" kern="1200">
              <a:solidFill>
                <a:schemeClr val="bg1"/>
              </a:solidFill>
              <a:latin typeface="Aptos Narrow"/>
            </a:rPr>
            <a:pPr algn="ctr"/>
            <a:t>64%</a:t>
          </a:fld>
          <a:endParaRPr lang="ru-RU" sz="1600" b="1" kern="1200">
            <a:solidFill>
              <a:schemeClr val="bg1"/>
            </a:solidFill>
          </a:endParaRPr>
        </a:p>
      </xdr:txBody>
    </xdr:sp>
    <xdr:clientData/>
  </xdr:twoCellAnchor>
  <xdr:twoCellAnchor>
    <xdr:from>
      <xdr:col>3</xdr:col>
      <xdr:colOff>403860</xdr:colOff>
      <xdr:row>13</xdr:row>
      <xdr:rowOff>68580</xdr:rowOff>
    </xdr:from>
    <xdr:to>
      <xdr:col>3</xdr:col>
      <xdr:colOff>601980</xdr:colOff>
      <xdr:row>18</xdr:row>
      <xdr:rowOff>83820</xdr:rowOff>
    </xdr:to>
    <xdr:sp macro="" textlink="">
      <xdr:nvSpPr>
        <xdr:cNvPr id="61" name="Rectangle 60">
          <a:extLst>
            <a:ext uri="{FF2B5EF4-FFF2-40B4-BE49-F238E27FC236}">
              <a16:creationId xmlns:a16="http://schemas.microsoft.com/office/drawing/2014/main" id="{FA8D1422-D41A-4589-ABCA-225725144CAB}"/>
            </a:ext>
          </a:extLst>
        </xdr:cNvPr>
        <xdr:cNvSpPr/>
      </xdr:nvSpPr>
      <xdr:spPr>
        <a:xfrm>
          <a:off x="2232660" y="2446020"/>
          <a:ext cx="198120" cy="929640"/>
        </a:xfrm>
        <a:prstGeom prst="rect">
          <a:avLst/>
        </a:prstGeom>
        <a:solidFill>
          <a:schemeClr val="bg1"/>
        </a:solidFill>
        <a:ln>
          <a:noFill/>
        </a:ln>
        <a:effectLst>
          <a:outerShdw blurRad="152400" dist="1524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3</xdr:col>
      <xdr:colOff>403860</xdr:colOff>
      <xdr:row>12</xdr:row>
      <xdr:rowOff>7620</xdr:rowOff>
    </xdr:from>
    <xdr:to>
      <xdr:col>4</xdr:col>
      <xdr:colOff>7620</xdr:colOff>
      <xdr:row>19</xdr:row>
      <xdr:rowOff>152400</xdr:rowOff>
    </xdr:to>
    <xdr:sp macro="" textlink="">
      <xdr:nvSpPr>
        <xdr:cNvPr id="62" name="Rectangle 61">
          <a:extLst>
            <a:ext uri="{FF2B5EF4-FFF2-40B4-BE49-F238E27FC236}">
              <a16:creationId xmlns:a16="http://schemas.microsoft.com/office/drawing/2014/main" id="{35ABFFE6-A0B2-4778-A6CB-D48CC1D11E43}"/>
            </a:ext>
          </a:extLst>
        </xdr:cNvPr>
        <xdr:cNvSpPr/>
      </xdr:nvSpPr>
      <xdr:spPr>
        <a:xfrm>
          <a:off x="2232660" y="2202180"/>
          <a:ext cx="213360" cy="142494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editAs="oneCell">
    <xdr:from>
      <xdr:col>17</xdr:col>
      <xdr:colOff>190500</xdr:colOff>
      <xdr:row>10</xdr:row>
      <xdr:rowOff>121921</xdr:rowOff>
    </xdr:from>
    <xdr:to>
      <xdr:col>23</xdr:col>
      <xdr:colOff>434340</xdr:colOff>
      <xdr:row>13</xdr:row>
      <xdr:rowOff>160020</xdr:rowOff>
    </xdr:to>
    <mc:AlternateContent xmlns:mc="http://schemas.openxmlformats.org/markup-compatibility/2006" xmlns:a14="http://schemas.microsoft.com/office/drawing/2010/main">
      <mc:Choice Requires="a14">
        <xdr:graphicFrame macro="">
          <xdr:nvGraphicFramePr>
            <xdr:cNvPr id="65" name="Month 4">
              <a:extLst>
                <a:ext uri="{FF2B5EF4-FFF2-40B4-BE49-F238E27FC236}">
                  <a16:creationId xmlns:a16="http://schemas.microsoft.com/office/drawing/2014/main" id="{26C8F165-00FD-40D6-94AE-9A33C00C40B2}"/>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0553700" y="1914862"/>
              <a:ext cx="3901440" cy="5759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8</xdr:row>
      <xdr:rowOff>106681</xdr:rowOff>
    </xdr:from>
    <xdr:to>
      <xdr:col>20</xdr:col>
      <xdr:colOff>30480</xdr:colOff>
      <xdr:row>10</xdr:row>
      <xdr:rowOff>106680</xdr:rowOff>
    </xdr:to>
    <mc:AlternateContent xmlns:mc="http://schemas.openxmlformats.org/markup-compatibility/2006" xmlns:a14="http://schemas.microsoft.com/office/drawing/2010/main">
      <mc:Choice Requires="a14">
        <xdr:graphicFrame macro="">
          <xdr:nvGraphicFramePr>
            <xdr:cNvPr id="66" name="Product 3">
              <a:extLst>
                <a:ext uri="{FF2B5EF4-FFF2-40B4-BE49-F238E27FC236}">
                  <a16:creationId xmlns:a16="http://schemas.microsoft.com/office/drawing/2014/main" id="{9E644587-D6F9-4107-9EA6-58AD6936B61D}"/>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0668000" y="1541034"/>
              <a:ext cx="1554480" cy="35858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8</xdr:row>
      <xdr:rowOff>106681</xdr:rowOff>
    </xdr:from>
    <xdr:to>
      <xdr:col>23</xdr:col>
      <xdr:colOff>434340</xdr:colOff>
      <xdr:row>10</xdr:row>
      <xdr:rowOff>106681</xdr:rowOff>
    </xdr:to>
    <mc:AlternateContent xmlns:mc="http://schemas.openxmlformats.org/markup-compatibility/2006" xmlns:a14="http://schemas.microsoft.com/office/drawing/2010/main">
      <mc:Choice Requires="a14">
        <xdr:graphicFrame macro="">
          <xdr:nvGraphicFramePr>
            <xdr:cNvPr id="67" name="Year 3">
              <a:extLst>
                <a:ext uri="{FF2B5EF4-FFF2-40B4-BE49-F238E27FC236}">
                  <a16:creationId xmlns:a16="http://schemas.microsoft.com/office/drawing/2014/main" id="{389284F6-25C4-44FD-9AEA-90007AE21F2B}"/>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626340" y="1541034"/>
              <a:ext cx="1828800" cy="35858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0</xdr:row>
      <xdr:rowOff>45720</xdr:rowOff>
    </xdr:from>
    <xdr:to>
      <xdr:col>20</xdr:col>
      <xdr:colOff>213360</xdr:colOff>
      <xdr:row>2</xdr:row>
      <xdr:rowOff>144780</xdr:rowOff>
    </xdr:to>
    <xdr:sp macro="" textlink="Processing!C12">
      <xdr:nvSpPr>
        <xdr:cNvPr id="68" name="TextBox 67">
          <a:extLst>
            <a:ext uri="{FF2B5EF4-FFF2-40B4-BE49-F238E27FC236}">
              <a16:creationId xmlns:a16="http://schemas.microsoft.com/office/drawing/2014/main" id="{56C00EBC-7ED6-42D3-A427-4C30E1ED96F4}"/>
            </a:ext>
          </a:extLst>
        </xdr:cNvPr>
        <xdr:cNvSpPr txBox="1"/>
      </xdr:nvSpPr>
      <xdr:spPr>
        <a:xfrm>
          <a:off x="10683240" y="45720"/>
          <a:ext cx="17221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E1BFE-00CC-48C5-AB03-5B68B5206D7E}" type="TxLink">
            <a:rPr lang="en-US" sz="3200" b="0" i="0" u="none" strike="noStrike" kern="1200">
              <a:solidFill>
                <a:schemeClr val="bg1"/>
              </a:solidFill>
              <a:latin typeface="Aptos Narrow"/>
            </a:rPr>
            <a:pPr/>
            <a:t>$ 2.0 M</a:t>
          </a:fld>
          <a:endParaRPr lang="ru-RU" sz="3200" kern="1200">
            <a:solidFill>
              <a:schemeClr val="bg1"/>
            </a:solidFill>
          </a:endParaRPr>
        </a:p>
      </xdr:txBody>
    </xdr:sp>
    <xdr:clientData/>
  </xdr:twoCellAnchor>
  <xdr:twoCellAnchor>
    <xdr:from>
      <xdr:col>20</xdr:col>
      <xdr:colOff>552332</xdr:colOff>
      <xdr:row>3</xdr:row>
      <xdr:rowOff>81291</xdr:rowOff>
    </xdr:from>
    <xdr:to>
      <xdr:col>22</xdr:col>
      <xdr:colOff>125848</xdr:colOff>
      <xdr:row>5</xdr:row>
      <xdr:rowOff>33009</xdr:rowOff>
    </xdr:to>
    <xdr:sp macro="" textlink="Processing!A12">
      <xdr:nvSpPr>
        <xdr:cNvPr id="69" name="TextBox 68">
          <a:extLst>
            <a:ext uri="{FF2B5EF4-FFF2-40B4-BE49-F238E27FC236}">
              <a16:creationId xmlns:a16="http://schemas.microsoft.com/office/drawing/2014/main" id="{A37D924B-0450-4EAE-BBF4-E7C201EA9936}"/>
            </a:ext>
          </a:extLst>
        </xdr:cNvPr>
        <xdr:cNvSpPr txBox="1"/>
      </xdr:nvSpPr>
      <xdr:spPr>
        <a:xfrm>
          <a:off x="12744332" y="629931"/>
          <a:ext cx="792716"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1959B-1540-4DE1-AF44-4FD0DE18A8F6}" type="TxLink">
            <a:rPr lang="en-US" sz="1100" b="1" i="0" u="none" strike="noStrike" kern="1200">
              <a:solidFill>
                <a:schemeClr val="tx2">
                  <a:lumMod val="75000"/>
                  <a:lumOff val="25000"/>
                </a:schemeClr>
              </a:solidFill>
              <a:latin typeface="Aptos Narrow"/>
            </a:rPr>
            <a:pPr algn="ctr"/>
            <a:t>SALES</a:t>
          </a:fld>
          <a:endParaRPr lang="ru-RU" sz="3200" kern="1200">
            <a:solidFill>
              <a:schemeClr val="tx2">
                <a:lumMod val="75000"/>
                <a:lumOff val="25000"/>
              </a:schemeClr>
            </a:solidFill>
          </a:endParaRPr>
        </a:p>
      </xdr:txBody>
    </xdr:sp>
    <xdr:clientData/>
  </xdr:twoCellAnchor>
  <xdr:twoCellAnchor>
    <xdr:from>
      <xdr:col>18</xdr:col>
      <xdr:colOff>369452</xdr:colOff>
      <xdr:row>3</xdr:row>
      <xdr:rowOff>123990</xdr:rowOff>
    </xdr:from>
    <xdr:to>
      <xdr:col>19</xdr:col>
      <xdr:colOff>552568</xdr:colOff>
      <xdr:row>4</xdr:row>
      <xdr:rowOff>157951</xdr:rowOff>
    </xdr:to>
    <xdr:sp macro="" textlink="Processing!B8">
      <xdr:nvSpPr>
        <xdr:cNvPr id="70" name="TextBox 69">
          <a:extLst>
            <a:ext uri="{FF2B5EF4-FFF2-40B4-BE49-F238E27FC236}">
              <a16:creationId xmlns:a16="http://schemas.microsoft.com/office/drawing/2014/main" id="{706E586E-6AB0-4C4F-A422-4CA77646142B}"/>
            </a:ext>
          </a:extLst>
        </xdr:cNvPr>
        <xdr:cNvSpPr txBox="1"/>
      </xdr:nvSpPr>
      <xdr:spPr>
        <a:xfrm>
          <a:off x="11342252" y="67263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EC2B3A-7EF9-4A31-AB19-2FF7DAA9F7CA}" type="TxLink">
            <a:rPr lang="en-US" sz="1100" b="0" i="0" u="none" strike="noStrike" kern="1200">
              <a:solidFill>
                <a:schemeClr val="tx2">
                  <a:lumMod val="25000"/>
                  <a:lumOff val="75000"/>
                </a:schemeClr>
              </a:solidFill>
              <a:latin typeface="Aptos Narrow"/>
            </a:rPr>
            <a:pPr algn="r"/>
            <a:t>29%</a:t>
          </a:fld>
          <a:endParaRPr lang="ru-RU" sz="3200" kern="1200">
            <a:solidFill>
              <a:schemeClr val="tx2">
                <a:lumMod val="25000"/>
                <a:lumOff val="75000"/>
              </a:schemeClr>
            </a:solidFill>
          </a:endParaRPr>
        </a:p>
      </xdr:txBody>
    </xdr:sp>
    <xdr:clientData/>
  </xdr:twoCellAnchor>
  <xdr:twoCellAnchor>
    <xdr:from>
      <xdr:col>18</xdr:col>
      <xdr:colOff>369452</xdr:colOff>
      <xdr:row>4</xdr:row>
      <xdr:rowOff>149390</xdr:rowOff>
    </xdr:from>
    <xdr:to>
      <xdr:col>19</xdr:col>
      <xdr:colOff>552568</xdr:colOff>
      <xdr:row>6</xdr:row>
      <xdr:rowOff>471</xdr:rowOff>
    </xdr:to>
    <xdr:sp macro="" textlink="Processing!B9">
      <xdr:nvSpPr>
        <xdr:cNvPr id="71" name="TextBox 70">
          <a:extLst>
            <a:ext uri="{FF2B5EF4-FFF2-40B4-BE49-F238E27FC236}">
              <a16:creationId xmlns:a16="http://schemas.microsoft.com/office/drawing/2014/main" id="{F8AF890A-7BE2-455C-967E-F8935DE3037E}"/>
            </a:ext>
          </a:extLst>
        </xdr:cNvPr>
        <xdr:cNvSpPr txBox="1"/>
      </xdr:nvSpPr>
      <xdr:spPr>
        <a:xfrm>
          <a:off x="11342252" y="88091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8AB93D1-F445-4747-8FBE-45A33CB3C3E1}" type="TxLink">
            <a:rPr lang="en-US" sz="1100" b="0" i="0" u="none" strike="noStrike" kern="1200">
              <a:solidFill>
                <a:schemeClr val="tx2">
                  <a:lumMod val="25000"/>
                  <a:lumOff val="75000"/>
                </a:schemeClr>
              </a:solidFill>
              <a:latin typeface="Aptos Narrow"/>
            </a:rPr>
            <a:pPr algn="r"/>
            <a:t>31%</a:t>
          </a:fld>
          <a:endParaRPr lang="ru-RU" sz="3200" kern="1200">
            <a:solidFill>
              <a:schemeClr val="tx2">
                <a:lumMod val="25000"/>
                <a:lumOff val="75000"/>
              </a:schemeClr>
            </a:solidFill>
          </a:endParaRPr>
        </a:p>
      </xdr:txBody>
    </xdr:sp>
    <xdr:clientData/>
  </xdr:twoCellAnchor>
  <xdr:twoCellAnchor>
    <xdr:from>
      <xdr:col>18</xdr:col>
      <xdr:colOff>369452</xdr:colOff>
      <xdr:row>5</xdr:row>
      <xdr:rowOff>174790</xdr:rowOff>
    </xdr:from>
    <xdr:to>
      <xdr:col>19</xdr:col>
      <xdr:colOff>552568</xdr:colOff>
      <xdr:row>7</xdr:row>
      <xdr:rowOff>25871</xdr:rowOff>
    </xdr:to>
    <xdr:sp macro="" textlink="Processing!B10">
      <xdr:nvSpPr>
        <xdr:cNvPr id="72" name="TextBox 71">
          <a:extLst>
            <a:ext uri="{FF2B5EF4-FFF2-40B4-BE49-F238E27FC236}">
              <a16:creationId xmlns:a16="http://schemas.microsoft.com/office/drawing/2014/main" id="{7F9520C2-62E7-423B-8A8E-BADE89123E22}"/>
            </a:ext>
          </a:extLst>
        </xdr:cNvPr>
        <xdr:cNvSpPr txBox="1"/>
      </xdr:nvSpPr>
      <xdr:spPr>
        <a:xfrm>
          <a:off x="11342252" y="108919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1AD49D-8599-49E2-8D15-6D72FB20E14B}" type="TxLink">
            <a:rPr lang="en-US" sz="1100" b="0" i="0" u="none" strike="noStrike" kern="1200">
              <a:solidFill>
                <a:schemeClr val="tx2">
                  <a:lumMod val="25000"/>
                  <a:lumOff val="75000"/>
                </a:schemeClr>
              </a:solidFill>
              <a:latin typeface="Aptos Narrow"/>
            </a:rPr>
            <a:pPr algn="r"/>
            <a:t>25%</a:t>
          </a:fld>
          <a:endParaRPr lang="ru-RU" sz="3200" kern="1200">
            <a:solidFill>
              <a:schemeClr val="tx2">
                <a:lumMod val="25000"/>
                <a:lumOff val="75000"/>
              </a:schemeClr>
            </a:solidFill>
          </a:endParaRPr>
        </a:p>
      </xdr:txBody>
    </xdr:sp>
    <xdr:clientData/>
  </xdr:twoCellAnchor>
  <xdr:twoCellAnchor>
    <xdr:from>
      <xdr:col>18</xdr:col>
      <xdr:colOff>369452</xdr:colOff>
      <xdr:row>7</xdr:row>
      <xdr:rowOff>17310</xdr:rowOff>
    </xdr:from>
    <xdr:to>
      <xdr:col>19</xdr:col>
      <xdr:colOff>552568</xdr:colOff>
      <xdr:row>8</xdr:row>
      <xdr:rowOff>51271</xdr:rowOff>
    </xdr:to>
    <xdr:sp macro="" textlink="Processing!B11">
      <xdr:nvSpPr>
        <xdr:cNvPr id="73" name="TextBox 72">
          <a:extLst>
            <a:ext uri="{FF2B5EF4-FFF2-40B4-BE49-F238E27FC236}">
              <a16:creationId xmlns:a16="http://schemas.microsoft.com/office/drawing/2014/main" id="{BEA23BC9-96A1-41A2-8EE6-09C8B8B46AB8}"/>
            </a:ext>
          </a:extLst>
        </xdr:cNvPr>
        <xdr:cNvSpPr txBox="1"/>
      </xdr:nvSpPr>
      <xdr:spPr>
        <a:xfrm>
          <a:off x="11342252" y="129747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rike="noStrike" kern="1200">
              <a:solidFill>
                <a:schemeClr val="tx2">
                  <a:lumMod val="25000"/>
                  <a:lumOff val="75000"/>
                </a:schemeClr>
              </a:solidFill>
              <a:latin typeface="Aptos Narrow"/>
            </a:rPr>
            <a:pPr algn="r"/>
            <a:t>15%</a:t>
          </a:fld>
          <a:endParaRPr lang="ru-RU" sz="3200" kern="1200">
            <a:solidFill>
              <a:schemeClr val="tx2">
                <a:lumMod val="25000"/>
                <a:lumOff val="75000"/>
              </a:schemeClr>
            </a:solidFill>
          </a:endParaRPr>
        </a:p>
      </xdr:txBody>
    </xdr:sp>
    <xdr:clientData/>
  </xdr:twoCellAnchor>
  <xdr:twoCellAnchor>
    <xdr:from>
      <xdr:col>9</xdr:col>
      <xdr:colOff>6652</xdr:colOff>
      <xdr:row>11</xdr:row>
      <xdr:rowOff>0</xdr:rowOff>
    </xdr:from>
    <xdr:to>
      <xdr:col>16</xdr:col>
      <xdr:colOff>273352</xdr:colOff>
      <xdr:row>13</xdr:row>
      <xdr:rowOff>38100</xdr:rowOff>
    </xdr:to>
    <xdr:grpSp>
      <xdr:nvGrpSpPr>
        <xdr:cNvPr id="124" name="Group 123">
          <a:extLst>
            <a:ext uri="{FF2B5EF4-FFF2-40B4-BE49-F238E27FC236}">
              <a16:creationId xmlns:a16="http://schemas.microsoft.com/office/drawing/2014/main" id="{3A553C11-1B7E-98EA-6042-695341463619}"/>
            </a:ext>
          </a:extLst>
        </xdr:cNvPr>
        <xdr:cNvGrpSpPr/>
      </xdr:nvGrpSpPr>
      <xdr:grpSpPr>
        <a:xfrm>
          <a:off x="5340652" y="2095500"/>
          <a:ext cx="4415367" cy="419100"/>
          <a:chOff x="5570220" y="1402080"/>
          <a:chExt cx="4533900" cy="403860"/>
        </a:xfrm>
      </xdr:grpSpPr>
      <xdr:sp macro="" textlink="">
        <xdr:nvSpPr>
          <xdr:cNvPr id="86" name="Oval 85">
            <a:extLst>
              <a:ext uri="{FF2B5EF4-FFF2-40B4-BE49-F238E27FC236}">
                <a16:creationId xmlns:a16="http://schemas.microsoft.com/office/drawing/2014/main" id="{21596B90-4D8B-47B4-83F6-9132F3CD204C}"/>
              </a:ext>
            </a:extLst>
          </xdr:cNvPr>
          <xdr:cNvSpPr/>
        </xdr:nvSpPr>
        <xdr:spPr>
          <a:xfrm>
            <a:off x="5570220" y="1508760"/>
            <a:ext cx="182880" cy="182880"/>
          </a:xfrm>
          <a:prstGeom prst="ellipse">
            <a:avLst/>
          </a:prstGeom>
          <a:solidFill>
            <a:srgbClr val="06A9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87" name="Oval 86">
            <a:extLst>
              <a:ext uri="{FF2B5EF4-FFF2-40B4-BE49-F238E27FC236}">
                <a16:creationId xmlns:a16="http://schemas.microsoft.com/office/drawing/2014/main" id="{30695B5E-E908-4F40-AD20-C4DFB8E42951}"/>
              </a:ext>
            </a:extLst>
          </xdr:cNvPr>
          <xdr:cNvSpPr/>
        </xdr:nvSpPr>
        <xdr:spPr>
          <a:xfrm>
            <a:off x="7155180" y="1508760"/>
            <a:ext cx="182880" cy="182880"/>
          </a:xfrm>
          <a:prstGeom prst="ellipse">
            <a:avLst/>
          </a:prstGeom>
          <a:solidFill>
            <a:srgbClr val="0075A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88" name="Oval 87">
            <a:extLst>
              <a:ext uri="{FF2B5EF4-FFF2-40B4-BE49-F238E27FC236}">
                <a16:creationId xmlns:a16="http://schemas.microsoft.com/office/drawing/2014/main" id="{BCDA2F5E-2055-4F98-BDE3-55016E685180}"/>
              </a:ext>
            </a:extLst>
          </xdr:cNvPr>
          <xdr:cNvSpPr/>
        </xdr:nvSpPr>
        <xdr:spPr>
          <a:xfrm>
            <a:off x="8816340" y="1508760"/>
            <a:ext cx="182880" cy="182880"/>
          </a:xfrm>
          <a:prstGeom prst="ellipse">
            <a:avLst/>
          </a:prstGeom>
          <a:solidFill>
            <a:srgbClr val="CBF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89" name="Oval 88">
            <a:extLst>
              <a:ext uri="{FF2B5EF4-FFF2-40B4-BE49-F238E27FC236}">
                <a16:creationId xmlns:a16="http://schemas.microsoft.com/office/drawing/2014/main" id="{64FF4886-EA04-45F4-9581-B5F4D607D430}"/>
              </a:ext>
            </a:extLst>
          </xdr:cNvPr>
          <xdr:cNvSpPr/>
        </xdr:nvSpPr>
        <xdr:spPr>
          <a:xfrm>
            <a:off x="5692140" y="1402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1400" b="1" kern="1200">
                <a:solidFill>
                  <a:srgbClr val="06A9E2"/>
                </a:solidFill>
              </a:rPr>
              <a:t>A</a:t>
            </a:r>
            <a:endParaRPr lang="ru-RU" sz="1400" b="1" kern="1200">
              <a:solidFill>
                <a:srgbClr val="06A9E2"/>
              </a:solidFill>
            </a:endParaRPr>
          </a:p>
        </xdr:txBody>
      </xdr:sp>
      <xdr:sp macro="" textlink="Processing!R15">
        <xdr:nvSpPr>
          <xdr:cNvPr id="90" name="TextBox 89">
            <a:extLst>
              <a:ext uri="{FF2B5EF4-FFF2-40B4-BE49-F238E27FC236}">
                <a16:creationId xmlns:a16="http://schemas.microsoft.com/office/drawing/2014/main" id="{C76CA374-7E9D-409C-A644-588BB350BAC0}"/>
              </a:ext>
            </a:extLst>
          </xdr:cNvPr>
          <xdr:cNvSpPr txBox="1"/>
        </xdr:nvSpPr>
        <xdr:spPr>
          <a:xfrm>
            <a:off x="5974080" y="147066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D0E8E0B-B9C5-4188-86B0-019C7A05CD9A}" type="TxLink">
              <a:rPr lang="en-US" sz="1800" b="0" i="0" u="none" strike="noStrike" kern="1200">
                <a:solidFill>
                  <a:schemeClr val="tx2">
                    <a:lumMod val="75000"/>
                    <a:lumOff val="25000"/>
                  </a:schemeClr>
                </a:solidFill>
                <a:latin typeface="Aptos Narrow"/>
              </a:rPr>
              <a:pPr algn="l"/>
              <a:t>$ 1.1 M</a:t>
            </a:fld>
            <a:endParaRPr lang="ru-RU" sz="9600" kern="1200">
              <a:solidFill>
                <a:schemeClr val="tx2">
                  <a:lumMod val="75000"/>
                  <a:lumOff val="25000"/>
                </a:schemeClr>
              </a:solidFill>
            </a:endParaRPr>
          </a:p>
        </xdr:txBody>
      </xdr:sp>
      <xdr:sp macro="" textlink="">
        <xdr:nvSpPr>
          <xdr:cNvPr id="91" name="Oval 90">
            <a:extLst>
              <a:ext uri="{FF2B5EF4-FFF2-40B4-BE49-F238E27FC236}">
                <a16:creationId xmlns:a16="http://schemas.microsoft.com/office/drawing/2014/main" id="{60BA78D0-4832-443A-ADF1-F4D54CD7BCB8}"/>
              </a:ext>
            </a:extLst>
          </xdr:cNvPr>
          <xdr:cNvSpPr/>
        </xdr:nvSpPr>
        <xdr:spPr>
          <a:xfrm>
            <a:off x="7277100" y="1402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75AA"/>
                </a:solidFill>
              </a:rPr>
              <a:t>B</a:t>
            </a:r>
            <a:endParaRPr lang="ru-RU" sz="1400" b="1" kern="1200">
              <a:solidFill>
                <a:srgbClr val="0075AA"/>
              </a:solidFill>
            </a:endParaRPr>
          </a:p>
        </xdr:txBody>
      </xdr:sp>
      <xdr:sp macro="" textlink="">
        <xdr:nvSpPr>
          <xdr:cNvPr id="92" name="Oval 91">
            <a:extLst>
              <a:ext uri="{FF2B5EF4-FFF2-40B4-BE49-F238E27FC236}">
                <a16:creationId xmlns:a16="http://schemas.microsoft.com/office/drawing/2014/main" id="{14E95ACC-2BD0-4BF1-907D-993C75142BA1}"/>
              </a:ext>
            </a:extLst>
          </xdr:cNvPr>
          <xdr:cNvSpPr/>
        </xdr:nvSpPr>
        <xdr:spPr>
          <a:xfrm>
            <a:off x="8930640" y="1402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B9F5FF"/>
                </a:solidFill>
              </a:rPr>
              <a:t>C</a:t>
            </a:r>
            <a:endParaRPr lang="ru-RU" sz="1400" b="1" kern="1200">
              <a:solidFill>
                <a:srgbClr val="B9F5FF"/>
              </a:solidFill>
            </a:endParaRPr>
          </a:p>
        </xdr:txBody>
      </xdr:sp>
      <xdr:sp macro="" textlink="Processing!S15">
        <xdr:nvSpPr>
          <xdr:cNvPr id="93" name="TextBox 92">
            <a:extLst>
              <a:ext uri="{FF2B5EF4-FFF2-40B4-BE49-F238E27FC236}">
                <a16:creationId xmlns:a16="http://schemas.microsoft.com/office/drawing/2014/main" id="{7B33EDB9-5E82-4611-AF2B-733614415E6E}"/>
              </a:ext>
            </a:extLst>
          </xdr:cNvPr>
          <xdr:cNvSpPr txBox="1"/>
        </xdr:nvSpPr>
        <xdr:spPr>
          <a:xfrm>
            <a:off x="7559040" y="147066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5E5B3E7-C1AD-4D98-A905-E25584401318}" type="TxLink">
              <a:rPr lang="en-US" sz="1800" b="0" i="0" u="none" strike="noStrike" kern="1200">
                <a:solidFill>
                  <a:schemeClr val="tx2">
                    <a:lumMod val="75000"/>
                    <a:lumOff val="25000"/>
                  </a:schemeClr>
                </a:solidFill>
                <a:latin typeface="Aptos Narrow"/>
                <a:ea typeface="+mn-ea"/>
                <a:cs typeface="+mn-cs"/>
              </a:rPr>
              <a:pPr marL="0" indent="0" algn="l"/>
              <a:t>$ 736 K</a:t>
            </a:fld>
            <a:endParaRPr lang="en-US" sz="1800" b="0" i="0" u="none" strike="noStrike" kern="1200">
              <a:solidFill>
                <a:schemeClr val="tx2">
                  <a:lumMod val="75000"/>
                  <a:lumOff val="25000"/>
                </a:schemeClr>
              </a:solidFill>
              <a:latin typeface="Aptos Narrow"/>
              <a:ea typeface="+mn-ea"/>
              <a:cs typeface="+mn-cs"/>
            </a:endParaRPr>
          </a:p>
        </xdr:txBody>
      </xdr:sp>
      <xdr:sp macro="" textlink="Processing!T15">
        <xdr:nvSpPr>
          <xdr:cNvPr id="94" name="TextBox 93">
            <a:extLst>
              <a:ext uri="{FF2B5EF4-FFF2-40B4-BE49-F238E27FC236}">
                <a16:creationId xmlns:a16="http://schemas.microsoft.com/office/drawing/2014/main" id="{ECB96DCD-39EB-434D-BA7F-6D5ADD58D8B3}"/>
              </a:ext>
            </a:extLst>
          </xdr:cNvPr>
          <xdr:cNvSpPr txBox="1"/>
        </xdr:nvSpPr>
        <xdr:spPr>
          <a:xfrm>
            <a:off x="9204960" y="1470660"/>
            <a:ext cx="899160"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2BD99A-7A40-4911-8849-3FC771C94EE8}" type="TxLink">
              <a:rPr lang="en-US" sz="1800" b="0" i="0" u="none" strike="noStrike" kern="1200">
                <a:solidFill>
                  <a:schemeClr val="tx2">
                    <a:lumMod val="75000"/>
                    <a:lumOff val="25000"/>
                  </a:schemeClr>
                </a:solidFill>
                <a:latin typeface="Aptos Narrow"/>
                <a:ea typeface="+mn-ea"/>
                <a:cs typeface="+mn-cs"/>
              </a:rPr>
              <a:pPr marL="0" indent="0" algn="l"/>
              <a:t>$ 190 K</a:t>
            </a:fld>
            <a:endParaRPr lang="ru-RU" sz="1800" b="0" i="0" u="none" strike="noStrike" kern="1200">
              <a:solidFill>
                <a:schemeClr val="tx2">
                  <a:lumMod val="75000"/>
                  <a:lumOff val="25000"/>
                </a:schemeClr>
              </a:solidFill>
              <a:latin typeface="Aptos Narrow"/>
              <a:ea typeface="+mn-ea"/>
              <a:cs typeface="+mn-cs"/>
            </a:endParaRPr>
          </a:p>
        </xdr:txBody>
      </xdr:sp>
    </xdr:grpSp>
    <xdr:clientData/>
  </xdr:twoCellAnchor>
  <xdr:twoCellAnchor>
    <xdr:from>
      <xdr:col>0</xdr:col>
      <xdr:colOff>180975</xdr:colOff>
      <xdr:row>0</xdr:row>
      <xdr:rowOff>111771</xdr:rowOff>
    </xdr:from>
    <xdr:to>
      <xdr:col>2</xdr:col>
      <xdr:colOff>99060</xdr:colOff>
      <xdr:row>2</xdr:row>
      <xdr:rowOff>63489</xdr:rowOff>
    </xdr:to>
    <xdr:grpSp>
      <xdr:nvGrpSpPr>
        <xdr:cNvPr id="114" name="Group 113">
          <a:hlinkClick xmlns:r="http://schemas.openxmlformats.org/officeDocument/2006/relationships" r:id="rId4"/>
          <a:extLst>
            <a:ext uri="{FF2B5EF4-FFF2-40B4-BE49-F238E27FC236}">
              <a16:creationId xmlns:a16="http://schemas.microsoft.com/office/drawing/2014/main" id="{BB3C2A6D-366C-45F6-8716-5011596E41CD}"/>
            </a:ext>
          </a:extLst>
        </xdr:cNvPr>
        <xdr:cNvGrpSpPr/>
      </xdr:nvGrpSpPr>
      <xdr:grpSpPr>
        <a:xfrm>
          <a:off x="180975" y="111771"/>
          <a:ext cx="1103418" cy="332718"/>
          <a:chOff x="180975" y="111771"/>
          <a:chExt cx="1137285" cy="317478"/>
        </a:xfrm>
      </xdr:grpSpPr>
      <xdr:sp macro="" textlink="">
        <xdr:nvSpPr>
          <xdr:cNvPr id="115" name="TextBox 114">
            <a:extLst>
              <a:ext uri="{FF2B5EF4-FFF2-40B4-BE49-F238E27FC236}">
                <a16:creationId xmlns:a16="http://schemas.microsoft.com/office/drawing/2014/main" id="{D0BFC2E4-9DF6-EF01-6C35-97A32B80B012}"/>
              </a:ext>
            </a:extLst>
          </xdr:cNvPr>
          <xdr:cNvSpPr txBox="1"/>
        </xdr:nvSpPr>
        <xdr:spPr>
          <a:xfrm>
            <a:off x="337206" y="111771"/>
            <a:ext cx="981054"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bg1"/>
                </a:solidFill>
                <a:latin typeface="Aptos Narrow"/>
                <a:ea typeface="+mn-ea"/>
                <a:cs typeface="+mn-cs"/>
              </a:rPr>
              <a:t>Dashboard</a:t>
            </a:r>
          </a:p>
        </xdr:txBody>
      </xdr:sp>
      <xdr:sp macro="" textlink="">
        <xdr:nvSpPr>
          <xdr:cNvPr id="116" name="Freeform: Shape 115">
            <a:extLst>
              <a:ext uri="{FF2B5EF4-FFF2-40B4-BE49-F238E27FC236}">
                <a16:creationId xmlns:a16="http://schemas.microsoft.com/office/drawing/2014/main" id="{BE470C13-F767-CC1F-CF6B-7B27401CCF19}"/>
              </a:ext>
            </a:extLst>
          </xdr:cNvPr>
          <xdr:cNvSpPr/>
        </xdr:nvSpPr>
        <xdr:spPr>
          <a:xfrm flipH="1">
            <a:off x="327932"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7" name="Freeform: Shape 116">
            <a:extLst>
              <a:ext uri="{FF2B5EF4-FFF2-40B4-BE49-F238E27FC236}">
                <a16:creationId xmlns:a16="http://schemas.microsoft.com/office/drawing/2014/main" id="{9F2EDCA0-68C9-A1C7-2F4D-27156011A001}"/>
              </a:ext>
            </a:extLst>
          </xdr:cNvPr>
          <xdr:cNvSpPr/>
        </xdr:nvSpPr>
        <xdr:spPr>
          <a:xfrm flipH="1">
            <a:off x="278946" y="140970"/>
            <a:ext cx="35923" cy="18288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ru-RU"/>
          </a:p>
        </xdr:txBody>
      </xdr:sp>
      <xdr:sp macro="" textlink="">
        <xdr:nvSpPr>
          <xdr:cNvPr id="118" name="Freeform: Shape 117">
            <a:extLst>
              <a:ext uri="{FF2B5EF4-FFF2-40B4-BE49-F238E27FC236}">
                <a16:creationId xmlns:a16="http://schemas.microsoft.com/office/drawing/2014/main" id="{65180075-C73C-73AE-AEB3-14A6BDC62F46}"/>
              </a:ext>
            </a:extLst>
          </xdr:cNvPr>
          <xdr:cNvSpPr/>
        </xdr:nvSpPr>
        <xdr:spPr>
          <a:xfrm flipH="1">
            <a:off x="229961"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9" name="Freeform: Shape 118">
            <a:extLst>
              <a:ext uri="{FF2B5EF4-FFF2-40B4-BE49-F238E27FC236}">
                <a16:creationId xmlns:a16="http://schemas.microsoft.com/office/drawing/2014/main" id="{6ECFA036-309D-799A-0121-A648AB125F87}"/>
              </a:ext>
            </a:extLst>
          </xdr:cNvPr>
          <xdr:cNvSpPr/>
        </xdr:nvSpPr>
        <xdr:spPr>
          <a:xfrm flipH="1">
            <a:off x="180975" y="265067"/>
            <a:ext cx="35923" cy="58783"/>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1</xdr:col>
      <xdr:colOff>91440</xdr:colOff>
      <xdr:row>20</xdr:row>
      <xdr:rowOff>144780</xdr:rowOff>
    </xdr:from>
    <xdr:to>
      <xdr:col>3</xdr:col>
      <xdr:colOff>152400</xdr:colOff>
      <xdr:row>22</xdr:row>
      <xdr:rowOff>96498</xdr:rowOff>
    </xdr:to>
    <xdr:sp macro="" textlink="">
      <xdr:nvSpPr>
        <xdr:cNvPr id="120" name="TextBox 119">
          <a:hlinkClick xmlns:r="http://schemas.openxmlformats.org/officeDocument/2006/relationships" r:id="rId5"/>
          <a:extLst>
            <a:ext uri="{FF2B5EF4-FFF2-40B4-BE49-F238E27FC236}">
              <a16:creationId xmlns:a16="http://schemas.microsoft.com/office/drawing/2014/main" id="{CC664E78-9410-4AA0-84E7-4C01EE7D2857}"/>
            </a:ext>
          </a:extLst>
        </xdr:cNvPr>
        <xdr:cNvSpPr txBox="1"/>
      </xdr:nvSpPr>
      <xdr:spPr>
        <a:xfrm>
          <a:off x="701040" y="380238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Point Of Sales</a:t>
          </a:r>
        </a:p>
      </xdr:txBody>
    </xdr:sp>
    <xdr:clientData/>
  </xdr:twoCellAnchor>
  <xdr:twoCellAnchor>
    <xdr:from>
      <xdr:col>1</xdr:col>
      <xdr:colOff>91440</xdr:colOff>
      <xdr:row>24</xdr:row>
      <xdr:rowOff>53340</xdr:rowOff>
    </xdr:from>
    <xdr:to>
      <xdr:col>3</xdr:col>
      <xdr:colOff>152400</xdr:colOff>
      <xdr:row>26</xdr:row>
      <xdr:rowOff>5058</xdr:rowOff>
    </xdr:to>
    <xdr:sp macro="" textlink="">
      <xdr:nvSpPr>
        <xdr:cNvPr id="121" name="TextBox 120">
          <a:hlinkClick xmlns:r="http://schemas.openxmlformats.org/officeDocument/2006/relationships" r:id="rId6"/>
          <a:extLst>
            <a:ext uri="{FF2B5EF4-FFF2-40B4-BE49-F238E27FC236}">
              <a16:creationId xmlns:a16="http://schemas.microsoft.com/office/drawing/2014/main" id="{E743B951-862A-4F1B-A85D-CEBF7C828BCD}"/>
            </a:ext>
          </a:extLst>
        </xdr:cNvPr>
        <xdr:cNvSpPr txBox="1"/>
      </xdr:nvSpPr>
      <xdr:spPr>
        <a:xfrm>
          <a:off x="701040" y="444246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Aptos Narrow"/>
              <a:ea typeface="+mn-ea"/>
              <a:cs typeface="+mn-cs"/>
            </a:rPr>
            <a:t>Targeting</a:t>
          </a:r>
        </a:p>
      </xdr:txBody>
    </xdr:sp>
    <xdr:clientData/>
  </xdr:twoCellAnchor>
  <xdr:twoCellAnchor>
    <xdr:from>
      <xdr:col>1</xdr:col>
      <xdr:colOff>91440</xdr:colOff>
      <xdr:row>27</xdr:row>
      <xdr:rowOff>152400</xdr:rowOff>
    </xdr:from>
    <xdr:to>
      <xdr:col>3</xdr:col>
      <xdr:colOff>266700</xdr:colOff>
      <xdr:row>29</xdr:row>
      <xdr:rowOff>104118</xdr:rowOff>
    </xdr:to>
    <xdr:sp macro="" textlink="">
      <xdr:nvSpPr>
        <xdr:cNvPr id="122" name="TextBox 121">
          <a:extLst>
            <a:ext uri="{FF2B5EF4-FFF2-40B4-BE49-F238E27FC236}">
              <a16:creationId xmlns:a16="http://schemas.microsoft.com/office/drawing/2014/main" id="{D2F51E71-8194-4E1A-AEBD-5DE956B15877}"/>
            </a:ext>
          </a:extLst>
        </xdr:cNvPr>
        <xdr:cNvSpPr txBox="1"/>
      </xdr:nvSpPr>
      <xdr:spPr>
        <a:xfrm>
          <a:off x="701040" y="5090160"/>
          <a:ext cx="13944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tx2">
                  <a:lumMod val="90000"/>
                  <a:lumOff val="10000"/>
                </a:schemeClr>
              </a:solidFill>
              <a:latin typeface="+mn-lt"/>
              <a:ea typeface="+mn-ea"/>
              <a:cs typeface="+mn-cs"/>
            </a:rPr>
            <a:t>Sales Dynamics</a:t>
          </a:r>
        </a:p>
      </xdr:txBody>
    </xdr:sp>
    <xdr:clientData/>
  </xdr:twoCellAnchor>
  <xdr:twoCellAnchor>
    <xdr:from>
      <xdr:col>1</xdr:col>
      <xdr:colOff>91440</xdr:colOff>
      <xdr:row>31</xdr:row>
      <xdr:rowOff>60960</xdr:rowOff>
    </xdr:from>
    <xdr:to>
      <xdr:col>3</xdr:col>
      <xdr:colOff>152400</xdr:colOff>
      <xdr:row>33</xdr:row>
      <xdr:rowOff>12678</xdr:rowOff>
    </xdr:to>
    <xdr:sp macro="" textlink="">
      <xdr:nvSpPr>
        <xdr:cNvPr id="123" name="TextBox 122">
          <a:hlinkClick xmlns:r="http://schemas.openxmlformats.org/officeDocument/2006/relationships" r:id="rId7"/>
          <a:extLst>
            <a:ext uri="{FF2B5EF4-FFF2-40B4-BE49-F238E27FC236}">
              <a16:creationId xmlns:a16="http://schemas.microsoft.com/office/drawing/2014/main" id="{C63BB40A-8093-4563-9EDB-84B9DE93CB3A}"/>
            </a:ext>
          </a:extLst>
        </xdr:cNvPr>
        <xdr:cNvSpPr txBox="1"/>
      </xdr:nvSpPr>
      <xdr:spPr>
        <a:xfrm>
          <a:off x="701040" y="573024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Coverage</a:t>
          </a:r>
        </a:p>
      </xdr:txBody>
    </xdr:sp>
    <xdr:clientData/>
  </xdr:twoCellAnchor>
  <xdr:twoCellAnchor>
    <xdr:from>
      <xdr:col>9</xdr:col>
      <xdr:colOff>556260</xdr:colOff>
      <xdr:row>6</xdr:row>
      <xdr:rowOff>0</xdr:rowOff>
    </xdr:from>
    <xdr:to>
      <xdr:col>15</xdr:col>
      <xdr:colOff>335280</xdr:colOff>
      <xdr:row>8</xdr:row>
      <xdr:rowOff>145542</xdr:rowOff>
    </xdr:to>
    <xdr:sp macro="" textlink="Processing!I2">
      <xdr:nvSpPr>
        <xdr:cNvPr id="125" name="TextBox 124">
          <a:extLst>
            <a:ext uri="{FF2B5EF4-FFF2-40B4-BE49-F238E27FC236}">
              <a16:creationId xmlns:a16="http://schemas.microsoft.com/office/drawing/2014/main" id="{21527285-2850-42DD-B1A1-E00F374A9143}"/>
            </a:ext>
          </a:extLst>
        </xdr:cNvPr>
        <xdr:cNvSpPr txBox="1"/>
      </xdr:nvSpPr>
      <xdr:spPr>
        <a:xfrm>
          <a:off x="6042660" y="1097280"/>
          <a:ext cx="3436620" cy="51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DEF4F-CE48-47C7-B2B8-BB451529D0BF}" type="TxLink">
            <a:rPr lang="en-US" sz="2400" b="0" i="0" u="none" strike="noStrike" kern="1200">
              <a:solidFill>
                <a:schemeClr val="tx2">
                  <a:lumMod val="90000"/>
                  <a:lumOff val="10000"/>
                </a:schemeClr>
              </a:solidFill>
              <a:latin typeface="Aptos Narrow"/>
            </a:rPr>
            <a:pPr algn="ctr"/>
            <a:t>OCTOBER 2027</a:t>
          </a:fld>
          <a:endParaRPr lang="ru-RU" sz="11500" kern="1200">
            <a:solidFill>
              <a:schemeClr val="tx2">
                <a:lumMod val="90000"/>
                <a:lumOff val="10000"/>
              </a:schemeClr>
            </a:solidFill>
          </a:endParaRPr>
        </a:p>
      </xdr:txBody>
    </xdr:sp>
    <xdr:clientData/>
  </xdr:twoCellAnchor>
  <xdr:twoCellAnchor>
    <xdr:from>
      <xdr:col>0</xdr:col>
      <xdr:colOff>289560</xdr:colOff>
      <xdr:row>28</xdr:row>
      <xdr:rowOff>91440</xdr:rowOff>
    </xdr:from>
    <xdr:to>
      <xdr:col>0</xdr:col>
      <xdr:colOff>381000</xdr:colOff>
      <xdr:row>29</xdr:row>
      <xdr:rowOff>0</xdr:rowOff>
    </xdr:to>
    <xdr:sp macro="" textlink="">
      <xdr:nvSpPr>
        <xdr:cNvPr id="126" name="Oval 125">
          <a:extLst>
            <a:ext uri="{FF2B5EF4-FFF2-40B4-BE49-F238E27FC236}">
              <a16:creationId xmlns:a16="http://schemas.microsoft.com/office/drawing/2014/main" id="{DE8B6B7F-2174-46A1-9950-2C957EAAB7FF}"/>
            </a:ext>
          </a:extLst>
        </xdr:cNvPr>
        <xdr:cNvSpPr/>
      </xdr:nvSpPr>
      <xdr:spPr>
        <a:xfrm>
          <a:off x="289560" y="5212080"/>
          <a:ext cx="91440" cy="91440"/>
        </a:xfrm>
        <a:prstGeom prst="ellipse">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7620</xdr:colOff>
      <xdr:row>38</xdr:row>
      <xdr:rowOff>106680</xdr:rowOff>
    </xdr:to>
    <xdr:grpSp>
      <xdr:nvGrpSpPr>
        <xdr:cNvPr id="2" name="Group 1">
          <a:extLst>
            <a:ext uri="{FF2B5EF4-FFF2-40B4-BE49-F238E27FC236}">
              <a16:creationId xmlns:a16="http://schemas.microsoft.com/office/drawing/2014/main" id="{A2A12ACC-2820-4315-8FBF-5C2F8AC48E43}"/>
            </a:ext>
          </a:extLst>
        </xdr:cNvPr>
        <xdr:cNvGrpSpPr/>
      </xdr:nvGrpSpPr>
      <xdr:grpSpPr>
        <a:xfrm>
          <a:off x="0" y="0"/>
          <a:ext cx="2378287" cy="7345680"/>
          <a:chOff x="3703320" y="83820"/>
          <a:chExt cx="2918460" cy="4953000"/>
        </a:xfrm>
        <a:effectLst>
          <a:outerShdw blurRad="228600" dist="482600" dir="7800000" sx="93000" sy="93000" algn="r" rotWithShape="0">
            <a:prstClr val="black">
              <a:alpha val="42000"/>
            </a:prstClr>
          </a:outerShdw>
        </a:effectLst>
      </xdr:grpSpPr>
      <xdr:sp macro="" textlink="">
        <xdr:nvSpPr>
          <xdr:cNvPr id="3" name="Rectangle 2">
            <a:extLst>
              <a:ext uri="{FF2B5EF4-FFF2-40B4-BE49-F238E27FC236}">
                <a16:creationId xmlns:a16="http://schemas.microsoft.com/office/drawing/2014/main" id="{B01ACD05-298A-3019-F0EB-3FDA5317CE21}"/>
              </a:ext>
            </a:extLst>
          </xdr:cNvPr>
          <xdr:cNvSpPr/>
        </xdr:nvSpPr>
        <xdr:spPr>
          <a:xfrm>
            <a:off x="3703320" y="83820"/>
            <a:ext cx="2910840" cy="4945380"/>
          </a:xfrm>
          <a:prstGeom prst="rect">
            <a:avLst/>
          </a:prstGeom>
          <a:solidFill>
            <a:srgbClr val="05294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 name="Rectangle 3">
            <a:extLst>
              <a:ext uri="{FF2B5EF4-FFF2-40B4-BE49-F238E27FC236}">
                <a16:creationId xmlns:a16="http://schemas.microsoft.com/office/drawing/2014/main" id="{BBD3A231-C0C3-C7F5-35A8-989DD82B06DA}"/>
              </a:ext>
            </a:extLst>
          </xdr:cNvPr>
          <xdr:cNvSpPr/>
        </xdr:nvSpPr>
        <xdr:spPr>
          <a:xfrm>
            <a:off x="3710940" y="91440"/>
            <a:ext cx="2910840" cy="4945380"/>
          </a:xfrm>
          <a:prstGeom prst="rect">
            <a:avLst/>
          </a:prstGeom>
          <a:gradFill flip="none" rotWithShape="1">
            <a:gsLst>
              <a:gs pos="0">
                <a:srgbClr val="0C89CE"/>
              </a:gs>
              <a:gs pos="72000">
                <a:srgbClr val="05294B">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0</xdr:col>
      <xdr:colOff>152400</xdr:colOff>
      <xdr:row>24</xdr:row>
      <xdr:rowOff>10158</xdr:rowOff>
    </xdr:from>
    <xdr:to>
      <xdr:col>3</xdr:col>
      <xdr:colOff>214177</xdr:colOff>
      <xdr:row>26</xdr:row>
      <xdr:rowOff>72077</xdr:rowOff>
    </xdr:to>
    <xdr:grpSp>
      <xdr:nvGrpSpPr>
        <xdr:cNvPr id="5" name="Group 4">
          <a:extLst>
            <a:ext uri="{FF2B5EF4-FFF2-40B4-BE49-F238E27FC236}">
              <a16:creationId xmlns:a16="http://schemas.microsoft.com/office/drawing/2014/main" id="{24D0C5DE-EF1D-440E-9C40-F39E9D5AF6F3}"/>
            </a:ext>
          </a:extLst>
        </xdr:cNvPr>
        <xdr:cNvGrpSpPr/>
      </xdr:nvGrpSpPr>
      <xdr:grpSpPr>
        <a:xfrm>
          <a:off x="152400" y="4582158"/>
          <a:ext cx="1839777" cy="442919"/>
          <a:chOff x="0" y="0"/>
          <a:chExt cx="2501522" cy="420508"/>
        </a:xfrm>
        <a:effectLst>
          <a:outerShdw blurRad="50800" dist="38100" dir="8100000" algn="tr"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C2727698-D1BC-62AC-9414-B67700E11AC8}"/>
              </a:ext>
            </a:extLst>
          </xdr:cNvPr>
          <xdr:cNvSpPr/>
        </xdr:nvSpPr>
        <xdr:spPr>
          <a:xfrm>
            <a:off x="0" y="5977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A75F41E5-BEC8-9174-10D0-798CA6B72523}"/>
              </a:ext>
            </a:extLst>
          </xdr:cNvPr>
          <xdr:cNvSpPr/>
        </xdr:nvSpPr>
        <xdr:spPr>
          <a:xfrm>
            <a:off x="37241" y="8348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8" name="Group 7">
            <a:extLst>
              <a:ext uri="{FF2B5EF4-FFF2-40B4-BE49-F238E27FC236}">
                <a16:creationId xmlns:a16="http://schemas.microsoft.com/office/drawing/2014/main" id="{61CA943F-94BB-61CD-743E-35A02CD4C7EE}"/>
              </a:ext>
            </a:extLst>
          </xdr:cNvPr>
          <xdr:cNvGrpSpPr/>
        </xdr:nvGrpSpPr>
        <xdr:grpSpPr>
          <a:xfrm>
            <a:off x="189065" y="0"/>
            <a:ext cx="788458" cy="420508"/>
            <a:chOff x="189065" y="0"/>
            <a:chExt cx="3638263" cy="2110803"/>
          </a:xfrm>
        </xdr:grpSpPr>
        <xdr:sp macro="" textlink="">
          <xdr:nvSpPr>
            <xdr:cNvPr id="9" name="Freeform: Shape 8">
              <a:extLst>
                <a:ext uri="{FF2B5EF4-FFF2-40B4-BE49-F238E27FC236}">
                  <a16:creationId xmlns:a16="http://schemas.microsoft.com/office/drawing/2014/main" id="{E388C3AE-E656-31AF-ED51-2696BDDA31BD}"/>
                </a:ext>
              </a:extLst>
            </xdr:cNvPr>
            <xdr:cNvSpPr/>
          </xdr:nvSpPr>
          <xdr:spPr>
            <a:xfrm>
              <a:off x="189065" y="761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FC8049"/>
                </a:gs>
                <a:gs pos="100000">
                  <a:srgbClr val="D90D02"/>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D4C3FC3B-025E-8550-9D22-2564B340E0F7}"/>
                </a:ext>
              </a:extLst>
            </xdr:cNvPr>
            <xdr:cNvSpPr/>
          </xdr:nvSpPr>
          <xdr:spPr>
            <a:xfrm>
              <a:off x="3078560" y="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FC4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Freeform: Shape 10">
              <a:extLst>
                <a:ext uri="{FF2B5EF4-FFF2-40B4-BE49-F238E27FC236}">
                  <a16:creationId xmlns:a16="http://schemas.microsoft.com/office/drawing/2014/main" id="{FE2A2151-206B-F7E1-7CF3-DF8A93750621}"/>
                </a:ext>
              </a:extLst>
            </xdr:cNvPr>
            <xdr:cNvSpPr/>
          </xdr:nvSpPr>
          <xdr:spPr>
            <a:xfrm rot="10800000">
              <a:off x="192876" y="169936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BF06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20</xdr:row>
      <xdr:rowOff>99058</xdr:rowOff>
    </xdr:from>
    <xdr:to>
      <xdr:col>3</xdr:col>
      <xdr:colOff>214177</xdr:colOff>
      <xdr:row>22</xdr:row>
      <xdr:rowOff>160977</xdr:rowOff>
    </xdr:to>
    <xdr:grpSp>
      <xdr:nvGrpSpPr>
        <xdr:cNvPr id="12" name="Group 11">
          <a:extLst>
            <a:ext uri="{FF2B5EF4-FFF2-40B4-BE49-F238E27FC236}">
              <a16:creationId xmlns:a16="http://schemas.microsoft.com/office/drawing/2014/main" id="{6DE2B67B-4165-43BC-AC5D-B0157B4DB0B7}"/>
            </a:ext>
          </a:extLst>
        </xdr:cNvPr>
        <xdr:cNvGrpSpPr/>
      </xdr:nvGrpSpPr>
      <xdr:grpSpPr>
        <a:xfrm>
          <a:off x="152400" y="3909058"/>
          <a:ext cx="1839777" cy="442919"/>
          <a:chOff x="0" y="662940"/>
          <a:chExt cx="2501522" cy="420508"/>
        </a:xfrm>
        <a:effectLst>
          <a:outerShdw blurRad="50800" dist="38100" dir="8100000" algn="tr" rotWithShape="0">
            <a:prstClr val="black">
              <a:alpha val="40000"/>
            </a:prstClr>
          </a:outerShdw>
        </a:effectLst>
      </xdr:grpSpPr>
      <xdr:sp macro="" textlink="">
        <xdr:nvSpPr>
          <xdr:cNvPr id="13" name="Rectangle: Rounded Corners 12">
            <a:extLst>
              <a:ext uri="{FF2B5EF4-FFF2-40B4-BE49-F238E27FC236}">
                <a16:creationId xmlns:a16="http://schemas.microsoft.com/office/drawing/2014/main" id="{D6F103C8-5B5E-ECF1-ED3D-F103CA3333ED}"/>
              </a:ext>
            </a:extLst>
          </xdr:cNvPr>
          <xdr:cNvSpPr/>
        </xdr:nvSpPr>
        <xdr:spPr>
          <a:xfrm>
            <a:off x="0" y="72271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Rounded Corners 13">
            <a:extLst>
              <a:ext uri="{FF2B5EF4-FFF2-40B4-BE49-F238E27FC236}">
                <a16:creationId xmlns:a16="http://schemas.microsoft.com/office/drawing/2014/main" id="{8FE0974C-5AC7-F63C-098A-17DE6A5C4E46}"/>
              </a:ext>
            </a:extLst>
          </xdr:cNvPr>
          <xdr:cNvSpPr/>
        </xdr:nvSpPr>
        <xdr:spPr>
          <a:xfrm>
            <a:off x="37241" y="74642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15" name="Group 14">
            <a:extLst>
              <a:ext uri="{FF2B5EF4-FFF2-40B4-BE49-F238E27FC236}">
                <a16:creationId xmlns:a16="http://schemas.microsoft.com/office/drawing/2014/main" id="{0094365C-0C51-3C3B-84AE-7EFCB576FA6E}"/>
              </a:ext>
            </a:extLst>
          </xdr:cNvPr>
          <xdr:cNvGrpSpPr/>
        </xdr:nvGrpSpPr>
        <xdr:grpSpPr>
          <a:xfrm>
            <a:off x="189065" y="662940"/>
            <a:ext cx="788458" cy="420508"/>
            <a:chOff x="189065" y="662940"/>
            <a:chExt cx="3638263" cy="2110803"/>
          </a:xfrm>
        </xdr:grpSpPr>
        <xdr:sp macro="" textlink="">
          <xdr:nvSpPr>
            <xdr:cNvPr id="16" name="Freeform: Shape 15">
              <a:extLst>
                <a:ext uri="{FF2B5EF4-FFF2-40B4-BE49-F238E27FC236}">
                  <a16:creationId xmlns:a16="http://schemas.microsoft.com/office/drawing/2014/main" id="{5DAAD406-D804-E952-2DB1-0369A4483BE9}"/>
                </a:ext>
              </a:extLst>
            </xdr:cNvPr>
            <xdr:cNvSpPr/>
          </xdr:nvSpPr>
          <xdr:spPr>
            <a:xfrm>
              <a:off x="189065" y="67055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18CBF1"/>
                </a:gs>
                <a:gs pos="100000">
                  <a:srgbClr val="3EA7F3"/>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Freeform: Shape 16">
              <a:extLst>
                <a:ext uri="{FF2B5EF4-FFF2-40B4-BE49-F238E27FC236}">
                  <a16:creationId xmlns:a16="http://schemas.microsoft.com/office/drawing/2014/main" id="{0B578922-2391-F21B-D888-17E0B8CA09D7}"/>
                </a:ext>
              </a:extLst>
            </xdr:cNvPr>
            <xdr:cNvSpPr/>
          </xdr:nvSpPr>
          <xdr:spPr>
            <a:xfrm>
              <a:off x="3078560" y="66294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2E9E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Freeform: Shape 17">
              <a:extLst>
                <a:ext uri="{FF2B5EF4-FFF2-40B4-BE49-F238E27FC236}">
                  <a16:creationId xmlns:a16="http://schemas.microsoft.com/office/drawing/2014/main" id="{A2644EE6-4658-7C00-3C96-925005A54C4D}"/>
                </a:ext>
              </a:extLst>
            </xdr:cNvPr>
            <xdr:cNvSpPr/>
          </xdr:nvSpPr>
          <xdr:spPr>
            <a:xfrm rot="10800000">
              <a:off x="192876" y="236230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E81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27</xdr:row>
      <xdr:rowOff>104138</xdr:rowOff>
    </xdr:from>
    <xdr:to>
      <xdr:col>3</xdr:col>
      <xdr:colOff>214177</xdr:colOff>
      <xdr:row>29</xdr:row>
      <xdr:rowOff>166057</xdr:rowOff>
    </xdr:to>
    <xdr:grpSp>
      <xdr:nvGrpSpPr>
        <xdr:cNvPr id="19" name="Group 18">
          <a:extLst>
            <a:ext uri="{FF2B5EF4-FFF2-40B4-BE49-F238E27FC236}">
              <a16:creationId xmlns:a16="http://schemas.microsoft.com/office/drawing/2014/main" id="{19A9A08A-A41C-4A2E-90CD-F5BCE4978615}"/>
            </a:ext>
          </a:extLst>
        </xdr:cNvPr>
        <xdr:cNvGrpSpPr/>
      </xdr:nvGrpSpPr>
      <xdr:grpSpPr>
        <a:xfrm>
          <a:off x="152400" y="5247638"/>
          <a:ext cx="1839777" cy="442919"/>
          <a:chOff x="0" y="1318260"/>
          <a:chExt cx="2501522" cy="420508"/>
        </a:xfrm>
        <a:effectLst>
          <a:outerShdw blurRad="50800" dist="38100" dir="8100000" algn="tr"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4CA23406-3A68-8469-0924-4E060DDF928E}"/>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Rounded Corners 20">
            <a:extLst>
              <a:ext uri="{FF2B5EF4-FFF2-40B4-BE49-F238E27FC236}">
                <a16:creationId xmlns:a16="http://schemas.microsoft.com/office/drawing/2014/main" id="{8DA54927-D20A-152F-773C-C5894B85E0D0}"/>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2" name="Group 21">
            <a:extLst>
              <a:ext uri="{FF2B5EF4-FFF2-40B4-BE49-F238E27FC236}">
                <a16:creationId xmlns:a16="http://schemas.microsoft.com/office/drawing/2014/main" id="{892C990A-CC9D-4C74-D731-EE41C51D1F12}"/>
              </a:ext>
            </a:extLst>
          </xdr:cNvPr>
          <xdr:cNvGrpSpPr/>
        </xdr:nvGrpSpPr>
        <xdr:grpSpPr>
          <a:xfrm>
            <a:off x="189065" y="1318260"/>
            <a:ext cx="788458" cy="420508"/>
            <a:chOff x="189065" y="1318260"/>
            <a:chExt cx="3638263" cy="2110803"/>
          </a:xfrm>
        </xdr:grpSpPr>
        <xdr:sp macro="" textlink="">
          <xdr:nvSpPr>
            <xdr:cNvPr id="23" name="Freeform: Shape 22">
              <a:extLst>
                <a:ext uri="{FF2B5EF4-FFF2-40B4-BE49-F238E27FC236}">
                  <a16:creationId xmlns:a16="http://schemas.microsoft.com/office/drawing/2014/main" id="{89FFC75B-2966-1EC9-6D23-EDD8F658F793}"/>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00FAEE"/>
                </a:gs>
                <a:gs pos="100000">
                  <a:srgbClr val="00A8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Freeform: Shape 23">
              <a:extLst>
                <a:ext uri="{FF2B5EF4-FFF2-40B4-BE49-F238E27FC236}">
                  <a16:creationId xmlns:a16="http://schemas.microsoft.com/office/drawing/2014/main" id="{F7FEEB4D-4111-589F-1C3C-E5201FC117BE}"/>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C6B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4F11633F-4AA4-F19D-A685-4442AC7C15CF}"/>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0070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0</xdr:col>
      <xdr:colOff>152400</xdr:colOff>
      <xdr:row>31</xdr:row>
      <xdr:rowOff>15237</xdr:rowOff>
    </xdr:from>
    <xdr:to>
      <xdr:col>3</xdr:col>
      <xdr:colOff>214177</xdr:colOff>
      <xdr:row>33</xdr:row>
      <xdr:rowOff>77156</xdr:rowOff>
    </xdr:to>
    <xdr:grpSp>
      <xdr:nvGrpSpPr>
        <xdr:cNvPr id="26" name="Group 25">
          <a:extLst>
            <a:ext uri="{FF2B5EF4-FFF2-40B4-BE49-F238E27FC236}">
              <a16:creationId xmlns:a16="http://schemas.microsoft.com/office/drawing/2014/main" id="{02F0BBDA-4B70-44E7-9A13-0FA92802A43E}"/>
            </a:ext>
          </a:extLst>
        </xdr:cNvPr>
        <xdr:cNvGrpSpPr/>
      </xdr:nvGrpSpPr>
      <xdr:grpSpPr>
        <a:xfrm>
          <a:off x="152400" y="5920737"/>
          <a:ext cx="1839777" cy="442919"/>
          <a:chOff x="0" y="1318260"/>
          <a:chExt cx="2501522" cy="420508"/>
        </a:xfrm>
        <a:effectLst>
          <a:outerShdw blurRad="50800" dist="38100" dir="8100000" algn="tr"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492F700F-0C9C-4EA0-7262-57D9A58A97F6}"/>
              </a:ext>
            </a:extLst>
          </xdr:cNvPr>
          <xdr:cNvSpPr/>
        </xdr:nvSpPr>
        <xdr:spPr>
          <a:xfrm>
            <a:off x="0" y="1378031"/>
            <a:ext cx="2501522" cy="299990"/>
          </a:xfrm>
          <a:prstGeom prst="roundRect">
            <a:avLst>
              <a:gd name="adj" fmla="val 50000"/>
            </a:avLst>
          </a:prstGeom>
          <a:noFill/>
          <a:ln w="9525">
            <a:solidFill>
              <a:srgbClr val="F9F9F9"/>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A9EC0EF3-216D-C81D-454A-3F3534152B9B}"/>
              </a:ext>
            </a:extLst>
          </xdr:cNvPr>
          <xdr:cNvSpPr/>
        </xdr:nvSpPr>
        <xdr:spPr>
          <a:xfrm>
            <a:off x="37241" y="1401745"/>
            <a:ext cx="2426941" cy="255057"/>
          </a:xfrm>
          <a:prstGeom prst="roundRect">
            <a:avLst>
              <a:gd name="adj" fmla="val 50000"/>
            </a:avLst>
          </a:prstGeom>
          <a:gradFill>
            <a:gsLst>
              <a:gs pos="51000">
                <a:srgbClr val="FFFFFF"/>
              </a:gs>
              <a:gs pos="54000">
                <a:srgbClr val="F9F9F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29" name="Group 28">
            <a:extLst>
              <a:ext uri="{FF2B5EF4-FFF2-40B4-BE49-F238E27FC236}">
                <a16:creationId xmlns:a16="http://schemas.microsoft.com/office/drawing/2014/main" id="{4018991B-1872-06DB-0D75-CE2C9CEF182B}"/>
              </a:ext>
            </a:extLst>
          </xdr:cNvPr>
          <xdr:cNvGrpSpPr/>
        </xdr:nvGrpSpPr>
        <xdr:grpSpPr>
          <a:xfrm>
            <a:off x="189065" y="1318260"/>
            <a:ext cx="788458" cy="420508"/>
            <a:chOff x="189065" y="1318260"/>
            <a:chExt cx="3638263" cy="2110803"/>
          </a:xfrm>
        </xdr:grpSpPr>
        <xdr:sp macro="" textlink="">
          <xdr:nvSpPr>
            <xdr:cNvPr id="30" name="Freeform: Shape 29">
              <a:extLst>
                <a:ext uri="{FF2B5EF4-FFF2-40B4-BE49-F238E27FC236}">
                  <a16:creationId xmlns:a16="http://schemas.microsoft.com/office/drawing/2014/main" id="{46CB00CA-D2A3-B8E5-3BD7-C85D9900B00A}"/>
                </a:ext>
              </a:extLst>
            </xdr:cNvPr>
            <xdr:cNvSpPr/>
          </xdr:nvSpPr>
          <xdr:spPr>
            <a:xfrm>
              <a:off x="189065" y="1325879"/>
              <a:ext cx="3632576" cy="2103184"/>
            </a:xfrm>
            <a:custGeom>
              <a:avLst/>
              <a:gdLst>
                <a:gd name="connsiteX0" fmla="*/ 1445479 w 3632576"/>
                <a:gd name="connsiteY0" fmla="*/ 1 h 2103183"/>
                <a:gd name="connsiteX1" fmla="*/ 1454338 w 3632576"/>
                <a:gd name="connsiteY1" fmla="*/ 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0" fmla="*/ 1445479 w 3632576"/>
                <a:gd name="connsiteY0" fmla="*/ 1 h 2103183"/>
                <a:gd name="connsiteX1" fmla="*/ 3073588 w 3632576"/>
                <a:gd name="connsiteY1" fmla="*/ 1 h 2103183"/>
                <a:gd name="connsiteX2" fmla="*/ 3257738 w 3632576"/>
                <a:gd name="connsiteY2" fmla="*/ 1 h 2103183"/>
                <a:gd name="connsiteX3" fmla="*/ 3257738 w 3632576"/>
                <a:gd name="connsiteY3" fmla="*/ 1131 h 2103183"/>
                <a:gd name="connsiteX4" fmla="*/ 3266168 w 3632576"/>
                <a:gd name="connsiteY4" fmla="*/ 172 h 2103183"/>
                <a:gd name="connsiteX5" fmla="*/ 3632576 w 3632576"/>
                <a:gd name="connsiteY5" fmla="*/ 410250 h 2103183"/>
                <a:gd name="connsiteX6" fmla="*/ 3257738 w 3632576"/>
                <a:gd name="connsiteY6" fmla="*/ 410847 h 2103183"/>
                <a:gd name="connsiteX7" fmla="*/ 3257738 w 3632576"/>
                <a:gd name="connsiteY7" fmla="*/ 411444 h 2103183"/>
                <a:gd name="connsiteX8" fmla="*/ 2900165 w 3632576"/>
                <a:gd name="connsiteY8" fmla="*/ 411444 h 2103183"/>
                <a:gd name="connsiteX9" fmla="*/ 2187097 w 3632576"/>
                <a:gd name="connsiteY9" fmla="*/ 2103183 h 2103183"/>
                <a:gd name="connsiteX10" fmla="*/ 558988 w 3632576"/>
                <a:gd name="connsiteY10" fmla="*/ 2103183 h 2103183"/>
                <a:gd name="connsiteX11" fmla="*/ 558988 w 3632576"/>
                <a:gd name="connsiteY11" fmla="*/ 2103182 h 2103183"/>
                <a:gd name="connsiteX12" fmla="*/ 374838 w 3632576"/>
                <a:gd name="connsiteY12" fmla="*/ 2103182 h 2103183"/>
                <a:gd name="connsiteX13" fmla="*/ 374838 w 3632576"/>
                <a:gd name="connsiteY13" fmla="*/ 2102051 h 2103183"/>
                <a:gd name="connsiteX14" fmla="*/ 366408 w 3632576"/>
                <a:gd name="connsiteY14" fmla="*/ 2103009 h 2103183"/>
                <a:gd name="connsiteX15" fmla="*/ 0 w 3632576"/>
                <a:gd name="connsiteY15" fmla="*/ 1692931 h 2103183"/>
                <a:gd name="connsiteX16" fmla="*/ 374838 w 3632576"/>
                <a:gd name="connsiteY16" fmla="*/ 1692334 h 2103183"/>
                <a:gd name="connsiteX17" fmla="*/ 374838 w 3632576"/>
                <a:gd name="connsiteY17" fmla="*/ 1691739 h 2103183"/>
                <a:gd name="connsiteX18" fmla="*/ 732412 w 3632576"/>
                <a:gd name="connsiteY18" fmla="*/ 1691739 h 2103183"/>
                <a:gd name="connsiteX19" fmla="*/ 1445479 w 3632576"/>
                <a:gd name="connsiteY19"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445479 w 3632576"/>
                <a:gd name="connsiteY20" fmla="*/ 1 h 2103183"/>
                <a:gd name="connsiteX0" fmla="*/ 1445479 w 3632576"/>
                <a:gd name="connsiteY0" fmla="*/ 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21" fmla="*/ 1445479 w 3632576"/>
                <a:gd name="connsiteY21" fmla="*/ 1 h 2103183"/>
                <a:gd name="connsiteX0" fmla="*/ 1317179 w 3632576"/>
                <a:gd name="connsiteY0" fmla="*/ 305371 h 2103183"/>
                <a:gd name="connsiteX1" fmla="*/ 192868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589594 w 3632576"/>
                <a:gd name="connsiteY1" fmla="*/ 571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187097 w 3632576"/>
                <a:gd name="connsiteY10" fmla="*/ 2103183 h 2103183"/>
                <a:gd name="connsiteX11" fmla="*/ 558988 w 3632576"/>
                <a:gd name="connsiteY11" fmla="*/ 2103183 h 2103183"/>
                <a:gd name="connsiteX12" fmla="*/ 558988 w 3632576"/>
                <a:gd name="connsiteY12" fmla="*/ 2103182 h 2103183"/>
                <a:gd name="connsiteX13" fmla="*/ 374838 w 3632576"/>
                <a:gd name="connsiteY13" fmla="*/ 2103182 h 2103183"/>
                <a:gd name="connsiteX14" fmla="*/ 374838 w 3632576"/>
                <a:gd name="connsiteY14" fmla="*/ 2102051 h 2103183"/>
                <a:gd name="connsiteX15" fmla="*/ 366408 w 3632576"/>
                <a:gd name="connsiteY15" fmla="*/ 2103009 h 2103183"/>
                <a:gd name="connsiteX16" fmla="*/ 0 w 3632576"/>
                <a:gd name="connsiteY16" fmla="*/ 1692931 h 2103183"/>
                <a:gd name="connsiteX17" fmla="*/ 374838 w 3632576"/>
                <a:gd name="connsiteY17" fmla="*/ 1692334 h 2103183"/>
                <a:gd name="connsiteX18" fmla="*/ 374838 w 3632576"/>
                <a:gd name="connsiteY18" fmla="*/ 1691739 h 2103183"/>
                <a:gd name="connsiteX19" fmla="*/ 732412 w 3632576"/>
                <a:gd name="connsiteY19" fmla="*/ 1691739 h 2103183"/>
                <a:gd name="connsiteX20" fmla="*/ 1317179 w 3632576"/>
                <a:gd name="connsiteY20"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2187097 w 3632576"/>
                <a:gd name="connsiteY11" fmla="*/ 2103183 h 2103183"/>
                <a:gd name="connsiteX12" fmla="*/ 1983929 w 3632576"/>
                <a:gd name="connsiteY12" fmla="*/ 2101786 h 2103183"/>
                <a:gd name="connsiteX13" fmla="*/ 558988 w 3632576"/>
                <a:gd name="connsiteY13" fmla="*/ 2103183 h 2103183"/>
                <a:gd name="connsiteX14" fmla="*/ 558988 w 3632576"/>
                <a:gd name="connsiteY14" fmla="*/ 2103182 h 2103183"/>
                <a:gd name="connsiteX15" fmla="*/ 374838 w 3632576"/>
                <a:gd name="connsiteY15" fmla="*/ 2103182 h 2103183"/>
                <a:gd name="connsiteX16" fmla="*/ 374838 w 3632576"/>
                <a:gd name="connsiteY16" fmla="*/ 2102051 h 2103183"/>
                <a:gd name="connsiteX17" fmla="*/ 366408 w 3632576"/>
                <a:gd name="connsiteY17" fmla="*/ 2103009 h 2103183"/>
                <a:gd name="connsiteX18" fmla="*/ 0 w 3632576"/>
                <a:gd name="connsiteY18" fmla="*/ 1692931 h 2103183"/>
                <a:gd name="connsiteX19" fmla="*/ 374838 w 3632576"/>
                <a:gd name="connsiteY19" fmla="*/ 1692334 h 2103183"/>
                <a:gd name="connsiteX20" fmla="*/ 374838 w 3632576"/>
                <a:gd name="connsiteY20" fmla="*/ 1691739 h 2103183"/>
                <a:gd name="connsiteX21" fmla="*/ 732412 w 3632576"/>
                <a:gd name="connsiteY21" fmla="*/ 1691739 h 2103183"/>
                <a:gd name="connsiteX22" fmla="*/ 1317179 w 3632576"/>
                <a:gd name="connsiteY22"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 name="connsiteX0" fmla="*/ 1317179 w 3632576"/>
                <a:gd name="connsiteY0" fmla="*/ 305371 h 2103183"/>
                <a:gd name="connsiteX1" fmla="*/ 1641029 w 3632576"/>
                <a:gd name="connsiteY1" fmla="*/ 2476 h 2103183"/>
                <a:gd name="connsiteX2" fmla="*/ 3073588 w 3632576"/>
                <a:gd name="connsiteY2" fmla="*/ 1 h 2103183"/>
                <a:gd name="connsiteX3" fmla="*/ 3257738 w 3632576"/>
                <a:gd name="connsiteY3" fmla="*/ 1 h 2103183"/>
                <a:gd name="connsiteX4" fmla="*/ 3257738 w 3632576"/>
                <a:gd name="connsiteY4" fmla="*/ 1131 h 2103183"/>
                <a:gd name="connsiteX5" fmla="*/ 3266168 w 3632576"/>
                <a:gd name="connsiteY5" fmla="*/ 172 h 2103183"/>
                <a:gd name="connsiteX6" fmla="*/ 3632576 w 3632576"/>
                <a:gd name="connsiteY6" fmla="*/ 410250 h 2103183"/>
                <a:gd name="connsiteX7" fmla="*/ 3257738 w 3632576"/>
                <a:gd name="connsiteY7" fmla="*/ 410847 h 2103183"/>
                <a:gd name="connsiteX8" fmla="*/ 3257738 w 3632576"/>
                <a:gd name="connsiteY8" fmla="*/ 411444 h 2103183"/>
                <a:gd name="connsiteX9" fmla="*/ 2900165 w 3632576"/>
                <a:gd name="connsiteY9" fmla="*/ 411444 h 2103183"/>
                <a:gd name="connsiteX10" fmla="*/ 2300159 w 3632576"/>
                <a:gd name="connsiteY10" fmla="*/ 1827466 h 2103183"/>
                <a:gd name="connsiteX11" fmla="*/ 1983929 w 3632576"/>
                <a:gd name="connsiteY11" fmla="*/ 2101786 h 2103183"/>
                <a:gd name="connsiteX12" fmla="*/ 558988 w 3632576"/>
                <a:gd name="connsiteY12" fmla="*/ 2103183 h 2103183"/>
                <a:gd name="connsiteX13" fmla="*/ 558988 w 3632576"/>
                <a:gd name="connsiteY13" fmla="*/ 2103182 h 2103183"/>
                <a:gd name="connsiteX14" fmla="*/ 374838 w 3632576"/>
                <a:gd name="connsiteY14" fmla="*/ 2103182 h 2103183"/>
                <a:gd name="connsiteX15" fmla="*/ 374838 w 3632576"/>
                <a:gd name="connsiteY15" fmla="*/ 2102051 h 2103183"/>
                <a:gd name="connsiteX16" fmla="*/ 366408 w 3632576"/>
                <a:gd name="connsiteY16" fmla="*/ 2103009 h 2103183"/>
                <a:gd name="connsiteX17" fmla="*/ 0 w 3632576"/>
                <a:gd name="connsiteY17" fmla="*/ 1692931 h 2103183"/>
                <a:gd name="connsiteX18" fmla="*/ 374838 w 3632576"/>
                <a:gd name="connsiteY18" fmla="*/ 1692334 h 2103183"/>
                <a:gd name="connsiteX19" fmla="*/ 374838 w 3632576"/>
                <a:gd name="connsiteY19" fmla="*/ 1691739 h 2103183"/>
                <a:gd name="connsiteX20" fmla="*/ 732412 w 3632576"/>
                <a:gd name="connsiteY20" fmla="*/ 1691739 h 2103183"/>
                <a:gd name="connsiteX21" fmla="*/ 1317179 w 3632576"/>
                <a:gd name="connsiteY21" fmla="*/ 305371 h 210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3632576" h="2103183">
                  <a:moveTo>
                    <a:pt x="1317179" y="305371"/>
                  </a:moveTo>
                  <a:cubicBezTo>
                    <a:pt x="1413699" y="107251"/>
                    <a:pt x="1430209" y="8191"/>
                    <a:pt x="1641029" y="2476"/>
                  </a:cubicBezTo>
                  <a:lnTo>
                    <a:pt x="3073588" y="1"/>
                  </a:lnTo>
                  <a:lnTo>
                    <a:pt x="3257738" y="1"/>
                  </a:lnTo>
                  <a:lnTo>
                    <a:pt x="3257738" y="1131"/>
                  </a:lnTo>
                  <a:lnTo>
                    <a:pt x="3266168" y="172"/>
                  </a:lnTo>
                  <a:cubicBezTo>
                    <a:pt x="3462718" y="-6694"/>
                    <a:pt x="3552242" y="191876"/>
                    <a:pt x="3632576" y="410250"/>
                  </a:cubicBezTo>
                  <a:lnTo>
                    <a:pt x="3257738" y="410847"/>
                  </a:lnTo>
                  <a:lnTo>
                    <a:pt x="3257738" y="411444"/>
                  </a:lnTo>
                  <a:lnTo>
                    <a:pt x="2900165" y="411444"/>
                  </a:lnTo>
                  <a:lnTo>
                    <a:pt x="2300159" y="1827466"/>
                  </a:lnTo>
                  <a:cubicBezTo>
                    <a:pt x="2164269" y="2109406"/>
                    <a:pt x="2102674" y="2097976"/>
                    <a:pt x="1983929" y="2101786"/>
                  </a:cubicBezTo>
                  <a:lnTo>
                    <a:pt x="558988" y="2103183"/>
                  </a:lnTo>
                  <a:lnTo>
                    <a:pt x="558988" y="2103182"/>
                  </a:lnTo>
                  <a:lnTo>
                    <a:pt x="374838" y="2103182"/>
                  </a:lnTo>
                  <a:lnTo>
                    <a:pt x="374838" y="2102051"/>
                  </a:lnTo>
                  <a:lnTo>
                    <a:pt x="366408" y="2103009"/>
                  </a:lnTo>
                  <a:cubicBezTo>
                    <a:pt x="169858" y="2109875"/>
                    <a:pt x="80334" y="1911305"/>
                    <a:pt x="0" y="1692931"/>
                  </a:cubicBezTo>
                  <a:lnTo>
                    <a:pt x="374838" y="1692334"/>
                  </a:lnTo>
                  <a:lnTo>
                    <a:pt x="374838" y="1691739"/>
                  </a:lnTo>
                  <a:lnTo>
                    <a:pt x="732412" y="1691739"/>
                  </a:lnTo>
                  <a:lnTo>
                    <a:pt x="1317179" y="305371"/>
                  </a:lnTo>
                  <a:close/>
                </a:path>
              </a:pathLst>
            </a:custGeom>
            <a:gradFill>
              <a:gsLst>
                <a:gs pos="0">
                  <a:srgbClr val="D623A8"/>
                </a:gs>
                <a:gs pos="100000">
                  <a:srgbClr val="76027D"/>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Freeform: Shape 30">
              <a:extLst>
                <a:ext uri="{FF2B5EF4-FFF2-40B4-BE49-F238E27FC236}">
                  <a16:creationId xmlns:a16="http://schemas.microsoft.com/office/drawing/2014/main" id="{81E13EFF-3D28-7618-8E55-89DABA55BB68}"/>
                </a:ext>
              </a:extLst>
            </xdr:cNvPr>
            <xdr:cNvSpPr/>
          </xdr:nvSpPr>
          <xdr:spPr>
            <a:xfrm>
              <a:off x="3078560" y="1318260"/>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7B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33278E14-860C-0EC7-7209-22854DC36BCD}"/>
                </a:ext>
              </a:extLst>
            </xdr:cNvPr>
            <xdr:cNvSpPr/>
          </xdr:nvSpPr>
          <xdr:spPr>
            <a:xfrm rot="10800000">
              <a:off x="192876" y="3017621"/>
              <a:ext cx="748768" cy="411442"/>
            </a:xfrm>
            <a:custGeom>
              <a:avLst/>
              <a:gdLst>
                <a:gd name="connsiteX0" fmla="*/ 739151 w 748757"/>
                <a:gd name="connsiteY0" fmla="*/ 412151 h 440075"/>
                <a:gd name="connsiteX1" fmla="*/ 397508 w 748757"/>
                <a:gd name="connsiteY1" fmla="*/ 168 h 440075"/>
                <a:gd name="connsiteX2" fmla="*/ 5622 w 748757"/>
                <a:gd name="connsiteY2" fmla="*/ 361909 h 440075"/>
                <a:gd name="connsiteX3" fmla="*/ 739151 w 748757"/>
                <a:gd name="connsiteY3" fmla="*/ 412151 h 440075"/>
                <a:gd name="connsiteX0" fmla="*/ 739151 w 748757"/>
                <a:gd name="connsiteY0" fmla="*/ 412151 h 412151"/>
                <a:gd name="connsiteX1" fmla="*/ 397508 w 748757"/>
                <a:gd name="connsiteY1" fmla="*/ 168 h 412151"/>
                <a:gd name="connsiteX2" fmla="*/ 5622 w 748757"/>
                <a:gd name="connsiteY2" fmla="*/ 361909 h 412151"/>
                <a:gd name="connsiteX3" fmla="*/ 739151 w 748757"/>
                <a:gd name="connsiteY3" fmla="*/ 412151 h 412151"/>
                <a:gd name="connsiteX0" fmla="*/ 752287 w 762441"/>
                <a:gd name="connsiteY0" fmla="*/ 412130 h 441977"/>
                <a:gd name="connsiteX1" fmla="*/ 410644 w 762441"/>
                <a:gd name="connsiteY1" fmla="*/ 147 h 441977"/>
                <a:gd name="connsiteX2" fmla="*/ 5423 w 762441"/>
                <a:gd name="connsiteY2" fmla="*/ 409513 h 441977"/>
                <a:gd name="connsiteX3" fmla="*/ 752287 w 762441"/>
                <a:gd name="connsiteY3" fmla="*/ 412130 h 441977"/>
                <a:gd name="connsiteX0" fmla="*/ 752287 w 762441"/>
                <a:gd name="connsiteY0" fmla="*/ 412130 h 412130"/>
                <a:gd name="connsiteX1" fmla="*/ 410644 w 762441"/>
                <a:gd name="connsiteY1" fmla="*/ 147 h 412130"/>
                <a:gd name="connsiteX2" fmla="*/ 5423 w 762441"/>
                <a:gd name="connsiteY2" fmla="*/ 409513 h 412130"/>
                <a:gd name="connsiteX3" fmla="*/ 752287 w 762441"/>
                <a:gd name="connsiteY3" fmla="*/ 412130 h 412130"/>
                <a:gd name="connsiteX0" fmla="*/ 752287 w 762441"/>
                <a:gd name="connsiteY0" fmla="*/ 412129 h 442462"/>
                <a:gd name="connsiteX1" fmla="*/ 410644 w 762441"/>
                <a:gd name="connsiteY1" fmla="*/ 146 h 442462"/>
                <a:gd name="connsiteX2" fmla="*/ 5423 w 762441"/>
                <a:gd name="connsiteY2" fmla="*/ 411417 h 442462"/>
                <a:gd name="connsiteX3" fmla="*/ 752287 w 762441"/>
                <a:gd name="connsiteY3" fmla="*/ 412129 h 442462"/>
                <a:gd name="connsiteX0" fmla="*/ 752287 w 762441"/>
                <a:gd name="connsiteY0" fmla="*/ 412129 h 412129"/>
                <a:gd name="connsiteX1" fmla="*/ 410644 w 762441"/>
                <a:gd name="connsiteY1" fmla="*/ 146 h 412129"/>
                <a:gd name="connsiteX2" fmla="*/ 5423 w 762441"/>
                <a:gd name="connsiteY2" fmla="*/ 411417 h 412129"/>
                <a:gd name="connsiteX3" fmla="*/ 752287 w 762441"/>
                <a:gd name="connsiteY3" fmla="*/ 412129 h 412129"/>
                <a:gd name="connsiteX0" fmla="*/ 753239 w 763393"/>
                <a:gd name="connsiteY0" fmla="*/ 406414 h 440614"/>
                <a:gd name="connsiteX1" fmla="*/ 411596 w 763393"/>
                <a:gd name="connsiteY1" fmla="*/ 146 h 440614"/>
                <a:gd name="connsiteX2" fmla="*/ 6375 w 763393"/>
                <a:gd name="connsiteY2" fmla="*/ 411417 h 440614"/>
                <a:gd name="connsiteX3" fmla="*/ 753239 w 763393"/>
                <a:gd name="connsiteY3" fmla="*/ 406414 h 440614"/>
                <a:gd name="connsiteX0" fmla="*/ 753239 w 763393"/>
                <a:gd name="connsiteY0" fmla="*/ 406414 h 411417"/>
                <a:gd name="connsiteX1" fmla="*/ 411596 w 763393"/>
                <a:gd name="connsiteY1" fmla="*/ 146 h 411417"/>
                <a:gd name="connsiteX2" fmla="*/ 6375 w 763393"/>
                <a:gd name="connsiteY2" fmla="*/ 411417 h 411417"/>
                <a:gd name="connsiteX3" fmla="*/ 753239 w 763393"/>
                <a:gd name="connsiteY3" fmla="*/ 406414 h 411417"/>
                <a:gd name="connsiteX0" fmla="*/ 753239 w 763393"/>
                <a:gd name="connsiteY0" fmla="*/ 412130 h 442067"/>
                <a:gd name="connsiteX1" fmla="*/ 411596 w 763393"/>
                <a:gd name="connsiteY1" fmla="*/ 147 h 442067"/>
                <a:gd name="connsiteX2" fmla="*/ 6375 w 763393"/>
                <a:gd name="connsiteY2" fmla="*/ 411418 h 442067"/>
                <a:gd name="connsiteX3" fmla="*/ 753239 w 763393"/>
                <a:gd name="connsiteY3" fmla="*/ 412130 h 442067"/>
                <a:gd name="connsiteX0" fmla="*/ 753239 w 763393"/>
                <a:gd name="connsiteY0" fmla="*/ 412130 h 412130"/>
                <a:gd name="connsiteX1" fmla="*/ 411596 w 763393"/>
                <a:gd name="connsiteY1" fmla="*/ 147 h 412130"/>
                <a:gd name="connsiteX2" fmla="*/ 6375 w 763393"/>
                <a:gd name="connsiteY2" fmla="*/ 411418 h 412130"/>
                <a:gd name="connsiteX3" fmla="*/ 753239 w 763393"/>
                <a:gd name="connsiteY3" fmla="*/ 412130 h 412130"/>
                <a:gd name="connsiteX0" fmla="*/ 753239 w 763393"/>
                <a:gd name="connsiteY0" fmla="*/ 408320 h 441090"/>
                <a:gd name="connsiteX1" fmla="*/ 411596 w 763393"/>
                <a:gd name="connsiteY1" fmla="*/ 147 h 441090"/>
                <a:gd name="connsiteX2" fmla="*/ 6375 w 763393"/>
                <a:gd name="connsiteY2" fmla="*/ 411418 h 441090"/>
                <a:gd name="connsiteX3" fmla="*/ 753239 w 763393"/>
                <a:gd name="connsiteY3" fmla="*/ 408320 h 441090"/>
                <a:gd name="connsiteX0" fmla="*/ 753239 w 763393"/>
                <a:gd name="connsiteY0" fmla="*/ 408320 h 411418"/>
                <a:gd name="connsiteX1" fmla="*/ 411596 w 763393"/>
                <a:gd name="connsiteY1" fmla="*/ 147 h 411418"/>
                <a:gd name="connsiteX2" fmla="*/ 6375 w 763393"/>
                <a:gd name="connsiteY2" fmla="*/ 411418 h 411418"/>
                <a:gd name="connsiteX3" fmla="*/ 753239 w 763393"/>
                <a:gd name="connsiteY3" fmla="*/ 408320 h 411418"/>
                <a:gd name="connsiteX0" fmla="*/ 755206 w 765304"/>
                <a:gd name="connsiteY0" fmla="*/ 410225 h 441574"/>
                <a:gd name="connsiteX1" fmla="*/ 411658 w 765304"/>
                <a:gd name="connsiteY1" fmla="*/ 147 h 441574"/>
                <a:gd name="connsiteX2" fmla="*/ 6437 w 765304"/>
                <a:gd name="connsiteY2" fmla="*/ 411418 h 441574"/>
                <a:gd name="connsiteX3" fmla="*/ 755206 w 765304"/>
                <a:gd name="connsiteY3" fmla="*/ 410225 h 441574"/>
                <a:gd name="connsiteX0" fmla="*/ 755206 w 765304"/>
                <a:gd name="connsiteY0" fmla="*/ 410225 h 411418"/>
                <a:gd name="connsiteX1" fmla="*/ 411658 w 765304"/>
                <a:gd name="connsiteY1" fmla="*/ 147 h 411418"/>
                <a:gd name="connsiteX2" fmla="*/ 6437 w 765304"/>
                <a:gd name="connsiteY2" fmla="*/ 411418 h 411418"/>
                <a:gd name="connsiteX3" fmla="*/ 755206 w 765304"/>
                <a:gd name="connsiteY3" fmla="*/ 410225 h 411418"/>
                <a:gd name="connsiteX0" fmla="*/ 756413 w 764999"/>
                <a:gd name="connsiteY0" fmla="*/ 410225 h 462158"/>
                <a:gd name="connsiteX1" fmla="*/ 390005 w 764999"/>
                <a:gd name="connsiteY1" fmla="*/ 147 h 462158"/>
                <a:gd name="connsiteX2" fmla="*/ 7644 w 764999"/>
                <a:gd name="connsiteY2" fmla="*/ 411418 h 462158"/>
                <a:gd name="connsiteX3" fmla="*/ 756413 w 764999"/>
                <a:gd name="connsiteY3" fmla="*/ 410225 h 462158"/>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91688"/>
                <a:gd name="connsiteX1" fmla="*/ 390005 w 764999"/>
                <a:gd name="connsiteY1" fmla="*/ 147 h 491688"/>
                <a:gd name="connsiteX2" fmla="*/ 7644 w 764999"/>
                <a:gd name="connsiteY2" fmla="*/ 411418 h 491688"/>
                <a:gd name="connsiteX3" fmla="*/ 756413 w 764999"/>
                <a:gd name="connsiteY3" fmla="*/ 410225 h 491688"/>
                <a:gd name="connsiteX0" fmla="*/ 756413 w 764999"/>
                <a:gd name="connsiteY0" fmla="*/ 410225 h 440912"/>
                <a:gd name="connsiteX1" fmla="*/ 390005 w 764999"/>
                <a:gd name="connsiteY1" fmla="*/ 147 h 440912"/>
                <a:gd name="connsiteX2" fmla="*/ 7644 w 764999"/>
                <a:gd name="connsiteY2" fmla="*/ 411418 h 440912"/>
                <a:gd name="connsiteX3" fmla="*/ 756413 w 764999"/>
                <a:gd name="connsiteY3" fmla="*/ 410225 h 440912"/>
                <a:gd name="connsiteX0" fmla="*/ 756413 w 764999"/>
                <a:gd name="connsiteY0" fmla="*/ 410225 h 411418"/>
                <a:gd name="connsiteX1" fmla="*/ 390005 w 764999"/>
                <a:gd name="connsiteY1" fmla="*/ 147 h 411418"/>
                <a:gd name="connsiteX2" fmla="*/ 7644 w 764999"/>
                <a:gd name="connsiteY2" fmla="*/ 411418 h 411418"/>
                <a:gd name="connsiteX3" fmla="*/ 756413 w 764999"/>
                <a:gd name="connsiteY3" fmla="*/ 410225 h 411418"/>
                <a:gd name="connsiteX0" fmla="*/ 756413 w 767111"/>
                <a:gd name="connsiteY0" fmla="*/ 410225 h 411418"/>
                <a:gd name="connsiteX1" fmla="*/ 390005 w 767111"/>
                <a:gd name="connsiteY1" fmla="*/ 147 h 411418"/>
                <a:gd name="connsiteX2" fmla="*/ 7644 w 767111"/>
                <a:gd name="connsiteY2" fmla="*/ 411418 h 411418"/>
                <a:gd name="connsiteX3" fmla="*/ 756413 w 767111"/>
                <a:gd name="connsiteY3" fmla="*/ 410225 h 411418"/>
                <a:gd name="connsiteX0" fmla="*/ 758712 w 769410"/>
                <a:gd name="connsiteY0" fmla="*/ 410179 h 411372"/>
                <a:gd name="connsiteX1" fmla="*/ 392304 w 769410"/>
                <a:gd name="connsiteY1" fmla="*/ 101 h 411372"/>
                <a:gd name="connsiteX2" fmla="*/ 9943 w 769410"/>
                <a:gd name="connsiteY2" fmla="*/ 411372 h 411372"/>
                <a:gd name="connsiteX3" fmla="*/ 758712 w 769410"/>
                <a:gd name="connsiteY3" fmla="*/ 410179 h 411372"/>
                <a:gd name="connsiteX0" fmla="*/ 748787 w 759485"/>
                <a:gd name="connsiteY0" fmla="*/ 410179 h 445761"/>
                <a:gd name="connsiteX1" fmla="*/ 382379 w 759485"/>
                <a:gd name="connsiteY1" fmla="*/ 101 h 445761"/>
                <a:gd name="connsiteX2" fmla="*/ 18 w 759485"/>
                <a:gd name="connsiteY2" fmla="*/ 411372 h 445761"/>
                <a:gd name="connsiteX3" fmla="*/ 748787 w 759485"/>
                <a:gd name="connsiteY3" fmla="*/ 410179 h 445761"/>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84202 w 794900"/>
                <a:gd name="connsiteY0" fmla="*/ 410179 h 429676"/>
                <a:gd name="connsiteX1" fmla="*/ 417794 w 794900"/>
                <a:gd name="connsiteY1" fmla="*/ 101 h 429676"/>
                <a:gd name="connsiteX2" fmla="*/ 35433 w 794900"/>
                <a:gd name="connsiteY2" fmla="*/ 411372 h 429676"/>
                <a:gd name="connsiteX3" fmla="*/ 784202 w 794900"/>
                <a:gd name="connsiteY3" fmla="*/ 410179 h 429676"/>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61269"/>
                <a:gd name="connsiteX1" fmla="*/ 391319 w 768425"/>
                <a:gd name="connsiteY1" fmla="*/ 101 h 461269"/>
                <a:gd name="connsiteX2" fmla="*/ 8958 w 768425"/>
                <a:gd name="connsiteY2" fmla="*/ 411372 h 461269"/>
                <a:gd name="connsiteX3" fmla="*/ 757727 w 768425"/>
                <a:gd name="connsiteY3" fmla="*/ 410179 h 461269"/>
                <a:gd name="connsiteX0" fmla="*/ 757727 w 768425"/>
                <a:gd name="connsiteY0" fmla="*/ 410179 h 420633"/>
                <a:gd name="connsiteX1" fmla="*/ 391319 w 768425"/>
                <a:gd name="connsiteY1" fmla="*/ 101 h 420633"/>
                <a:gd name="connsiteX2" fmla="*/ 8958 w 768425"/>
                <a:gd name="connsiteY2" fmla="*/ 411372 h 420633"/>
                <a:gd name="connsiteX3" fmla="*/ 757727 w 768425"/>
                <a:gd name="connsiteY3" fmla="*/ 410179 h 420633"/>
                <a:gd name="connsiteX0" fmla="*/ 757727 w 768425"/>
                <a:gd name="connsiteY0" fmla="*/ 410179 h 413032"/>
                <a:gd name="connsiteX1" fmla="*/ 391319 w 768425"/>
                <a:gd name="connsiteY1" fmla="*/ 101 h 413032"/>
                <a:gd name="connsiteX2" fmla="*/ 8958 w 768425"/>
                <a:gd name="connsiteY2" fmla="*/ 411372 h 413032"/>
                <a:gd name="connsiteX3" fmla="*/ 757727 w 768425"/>
                <a:gd name="connsiteY3" fmla="*/ 410179 h 413032"/>
                <a:gd name="connsiteX0" fmla="*/ 757727 w 768425"/>
                <a:gd name="connsiteY0" fmla="*/ 410179 h 411372"/>
                <a:gd name="connsiteX1" fmla="*/ 391319 w 768425"/>
                <a:gd name="connsiteY1" fmla="*/ 101 h 411372"/>
                <a:gd name="connsiteX2" fmla="*/ 8958 w 768425"/>
                <a:gd name="connsiteY2" fmla="*/ 411372 h 411372"/>
                <a:gd name="connsiteX3" fmla="*/ 757727 w 768425"/>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59467"/>
                <a:gd name="connsiteY0" fmla="*/ 410179 h 411372"/>
                <a:gd name="connsiteX1" fmla="*/ 382361 w 759467"/>
                <a:gd name="connsiteY1" fmla="*/ 101 h 411372"/>
                <a:gd name="connsiteX2" fmla="*/ 0 w 759467"/>
                <a:gd name="connsiteY2" fmla="*/ 411372 h 411372"/>
                <a:gd name="connsiteX3" fmla="*/ 748769 w 759467"/>
                <a:gd name="connsiteY3" fmla="*/ 410179 h 411372"/>
                <a:gd name="connsiteX0" fmla="*/ 748769 w 748769"/>
                <a:gd name="connsiteY0" fmla="*/ 410240 h 411433"/>
                <a:gd name="connsiteX1" fmla="*/ 382361 w 748769"/>
                <a:gd name="connsiteY1" fmla="*/ 162 h 411433"/>
                <a:gd name="connsiteX2" fmla="*/ 0 w 748769"/>
                <a:gd name="connsiteY2" fmla="*/ 411433 h 411433"/>
                <a:gd name="connsiteX3" fmla="*/ 748769 w 748769"/>
                <a:gd name="connsiteY3" fmla="*/ 410240 h 41143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 name="connsiteX0" fmla="*/ 748769 w 748769"/>
                <a:gd name="connsiteY0" fmla="*/ 410250 h 411443"/>
                <a:gd name="connsiteX1" fmla="*/ 382361 w 748769"/>
                <a:gd name="connsiteY1" fmla="*/ 172 h 411443"/>
                <a:gd name="connsiteX2" fmla="*/ 0 w 748769"/>
                <a:gd name="connsiteY2" fmla="*/ 411443 h 411443"/>
                <a:gd name="connsiteX3" fmla="*/ 748769 w 748769"/>
                <a:gd name="connsiteY3" fmla="*/ 410250 h 411443"/>
              </a:gdLst>
              <a:ahLst/>
              <a:cxnLst>
                <a:cxn ang="0">
                  <a:pos x="connsiteX0" y="connsiteY0"/>
                </a:cxn>
                <a:cxn ang="0">
                  <a:pos x="connsiteX1" y="connsiteY1"/>
                </a:cxn>
                <a:cxn ang="0">
                  <a:pos x="connsiteX2" y="connsiteY2"/>
                </a:cxn>
                <a:cxn ang="0">
                  <a:pos x="connsiteX3" y="connsiteY3"/>
                </a:cxn>
              </a:cxnLst>
              <a:rect l="l" t="t" r="r" b="b"/>
              <a:pathLst>
                <a:path w="748769" h="411443">
                  <a:moveTo>
                    <a:pt x="748769" y="410250"/>
                  </a:moveTo>
                  <a:cubicBezTo>
                    <a:pt x="668435" y="191876"/>
                    <a:pt x="578911" y="-6694"/>
                    <a:pt x="382361" y="172"/>
                  </a:cubicBezTo>
                  <a:cubicBezTo>
                    <a:pt x="170571" y="-2487"/>
                    <a:pt x="81807" y="204032"/>
                    <a:pt x="0" y="411443"/>
                  </a:cubicBezTo>
                  <a:lnTo>
                    <a:pt x="748769" y="410250"/>
                  </a:lnTo>
                  <a:close/>
                </a:path>
              </a:pathLst>
            </a:custGeom>
            <a:solidFill>
              <a:srgbClr val="4D00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403860</xdr:colOff>
      <xdr:row>0</xdr:row>
      <xdr:rowOff>0</xdr:rowOff>
    </xdr:from>
    <xdr:to>
      <xdr:col>23</xdr:col>
      <xdr:colOff>419100</xdr:colOff>
      <xdr:row>38</xdr:row>
      <xdr:rowOff>99060</xdr:rowOff>
    </xdr:to>
    <xdr:sp macro="" textlink="">
      <xdr:nvSpPr>
        <xdr:cNvPr id="33" name="Rectangle 32">
          <a:extLst>
            <a:ext uri="{FF2B5EF4-FFF2-40B4-BE49-F238E27FC236}">
              <a16:creationId xmlns:a16="http://schemas.microsoft.com/office/drawing/2014/main" id="{4180BDFE-8572-4EDA-8D54-1B3BE894E849}"/>
            </a:ext>
          </a:extLst>
        </xdr:cNvPr>
        <xdr:cNvSpPr/>
      </xdr:nvSpPr>
      <xdr:spPr>
        <a:xfrm>
          <a:off x="2232660" y="0"/>
          <a:ext cx="12207240" cy="7048500"/>
        </a:xfrm>
        <a:prstGeom prst="rect">
          <a:avLst/>
        </a:prstGeom>
        <a:solidFill>
          <a:schemeClr val="bg1"/>
        </a:solidFill>
        <a:ln>
          <a:noFill/>
        </a:ln>
        <a:effectLst>
          <a:outerShdw blurRad="546100" dist="215900" dir="11700000" algn="r" rotWithShape="0">
            <a:prstClr val="black">
              <a:alpha val="6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0</xdr:col>
      <xdr:colOff>0</xdr:colOff>
      <xdr:row>1</xdr:row>
      <xdr:rowOff>30480</xdr:rowOff>
    </xdr:from>
    <xdr:to>
      <xdr:col>7</xdr:col>
      <xdr:colOff>205740</xdr:colOff>
      <xdr:row>18</xdr:row>
      <xdr:rowOff>121920</xdr:rowOff>
    </xdr:to>
    <xdr:graphicFrame macro="">
      <xdr:nvGraphicFramePr>
        <xdr:cNvPr id="34" name="Chart 33">
          <a:extLst>
            <a:ext uri="{FF2B5EF4-FFF2-40B4-BE49-F238E27FC236}">
              <a16:creationId xmlns:a16="http://schemas.microsoft.com/office/drawing/2014/main" id="{B5B9B94C-1FC8-4A2E-B3BC-17AFD070C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129540</xdr:colOff>
      <xdr:row>0</xdr:row>
      <xdr:rowOff>0</xdr:rowOff>
    </xdr:from>
    <xdr:to>
      <xdr:col>23</xdr:col>
      <xdr:colOff>441960</xdr:colOff>
      <xdr:row>14</xdr:row>
      <xdr:rowOff>91440</xdr:rowOff>
    </xdr:to>
    <xdr:sp macro="" textlink="">
      <xdr:nvSpPr>
        <xdr:cNvPr id="35" name="Rectangle 34">
          <a:extLst>
            <a:ext uri="{FF2B5EF4-FFF2-40B4-BE49-F238E27FC236}">
              <a16:creationId xmlns:a16="http://schemas.microsoft.com/office/drawing/2014/main" id="{37454F27-6470-4278-91E6-1F9D82E6FC39}"/>
            </a:ext>
          </a:extLst>
        </xdr:cNvPr>
        <xdr:cNvSpPr/>
      </xdr:nvSpPr>
      <xdr:spPr>
        <a:xfrm>
          <a:off x="10492740" y="0"/>
          <a:ext cx="3970020" cy="2651760"/>
        </a:xfrm>
        <a:prstGeom prst="rect">
          <a:avLst/>
        </a:prstGeom>
        <a:solidFill>
          <a:srgbClr val="05294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22</xdr:col>
      <xdr:colOff>508635</xdr:colOff>
      <xdr:row>0</xdr:row>
      <xdr:rowOff>7620</xdr:rowOff>
    </xdr:from>
    <xdr:to>
      <xdr:col>23</xdr:col>
      <xdr:colOff>443865</xdr:colOff>
      <xdr:row>5</xdr:row>
      <xdr:rowOff>144780</xdr:rowOff>
    </xdr:to>
    <xdr:sp macro="" textlink="">
      <xdr:nvSpPr>
        <xdr:cNvPr id="36" name="Right Triangle 35">
          <a:extLst>
            <a:ext uri="{FF2B5EF4-FFF2-40B4-BE49-F238E27FC236}">
              <a16:creationId xmlns:a16="http://schemas.microsoft.com/office/drawing/2014/main" id="{008265A2-2D9C-4E3E-B6F5-47FBA8D690BB}"/>
            </a:ext>
          </a:extLst>
        </xdr:cNvPr>
        <xdr:cNvSpPr/>
      </xdr:nvSpPr>
      <xdr:spPr>
        <a:xfrm rot="10800000">
          <a:off x="13919835" y="7620"/>
          <a:ext cx="544830" cy="1051560"/>
        </a:xfrm>
        <a:prstGeom prst="rtTriangle">
          <a:avLst/>
        </a:prstGeom>
        <a:solidFill>
          <a:srgbClr val="0075AA">
            <a:alpha val="79000"/>
          </a:srgb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23</xdr:col>
      <xdr:colOff>51054</xdr:colOff>
      <xdr:row>2</xdr:row>
      <xdr:rowOff>129540</xdr:rowOff>
    </xdr:from>
    <xdr:to>
      <xdr:col>23</xdr:col>
      <xdr:colOff>436626</xdr:colOff>
      <xdr:row>9</xdr:row>
      <xdr:rowOff>121920</xdr:rowOff>
    </xdr:to>
    <xdr:sp macro="" textlink="">
      <xdr:nvSpPr>
        <xdr:cNvPr id="37" name="Right Triangle 36">
          <a:extLst>
            <a:ext uri="{FF2B5EF4-FFF2-40B4-BE49-F238E27FC236}">
              <a16:creationId xmlns:a16="http://schemas.microsoft.com/office/drawing/2014/main" id="{7E6E071C-ECCA-4F65-BF32-B4C3B50810DD}"/>
            </a:ext>
          </a:extLst>
        </xdr:cNvPr>
        <xdr:cNvSpPr/>
      </xdr:nvSpPr>
      <xdr:spPr>
        <a:xfrm flipH="1">
          <a:off x="14071854" y="495300"/>
          <a:ext cx="385572" cy="1272540"/>
        </a:xfrm>
        <a:prstGeom prst="rtTriangle">
          <a:avLst/>
        </a:prstGeom>
        <a:solidFill>
          <a:srgbClr val="CBF7FF">
            <a:alpha val="68000"/>
          </a:srgb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20</xdr:col>
      <xdr:colOff>312420</xdr:colOff>
      <xdr:row>0</xdr:row>
      <xdr:rowOff>152400</xdr:rowOff>
    </xdr:from>
    <xdr:to>
      <xdr:col>22</xdr:col>
      <xdr:colOff>373380</xdr:colOff>
      <xdr:row>7</xdr:row>
      <xdr:rowOff>152400</xdr:rowOff>
    </xdr:to>
    <xdr:sp macro="" textlink="">
      <xdr:nvSpPr>
        <xdr:cNvPr id="38" name="Oval 37">
          <a:extLst>
            <a:ext uri="{FF2B5EF4-FFF2-40B4-BE49-F238E27FC236}">
              <a16:creationId xmlns:a16="http://schemas.microsoft.com/office/drawing/2014/main" id="{4C50682D-8321-4589-8BAB-C1F217C39353}"/>
            </a:ext>
          </a:extLst>
        </xdr:cNvPr>
        <xdr:cNvSpPr/>
      </xdr:nvSpPr>
      <xdr:spPr>
        <a:xfrm>
          <a:off x="12504420" y="152400"/>
          <a:ext cx="1280160" cy="1280160"/>
        </a:xfrm>
        <a:prstGeom prst="ellipse">
          <a:avLst/>
        </a:prstGeom>
        <a:solidFill>
          <a:schemeClr val="tx2">
            <a:lumMod val="10000"/>
            <a:lumOff val="90000"/>
          </a:schemeClr>
        </a:solidFill>
        <a:ln>
          <a:noFill/>
        </a:ln>
        <a:effectLst>
          <a:outerShdw blurRad="50800" dist="762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17</xdr:col>
      <xdr:colOff>228600</xdr:colOff>
      <xdr:row>0</xdr:row>
      <xdr:rowOff>22860</xdr:rowOff>
    </xdr:from>
    <xdr:to>
      <xdr:col>24</xdr:col>
      <xdr:colOff>53340</xdr:colOff>
      <xdr:row>8</xdr:row>
      <xdr:rowOff>91440</xdr:rowOff>
    </xdr:to>
    <xdr:graphicFrame macro="">
      <xdr:nvGraphicFramePr>
        <xdr:cNvPr id="39" name="Chart 38">
          <a:extLst>
            <a:ext uri="{FF2B5EF4-FFF2-40B4-BE49-F238E27FC236}">
              <a16:creationId xmlns:a16="http://schemas.microsoft.com/office/drawing/2014/main" id="{024E5A20-563F-4CE9-9432-5067F9802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22860</xdr:colOff>
      <xdr:row>2</xdr:row>
      <xdr:rowOff>99060</xdr:rowOff>
    </xdr:from>
    <xdr:to>
      <xdr:col>22</xdr:col>
      <xdr:colOff>53340</xdr:colOff>
      <xdr:row>6</xdr:row>
      <xdr:rowOff>7620</xdr:rowOff>
    </xdr:to>
    <xdr:grpSp>
      <xdr:nvGrpSpPr>
        <xdr:cNvPr id="40" name="Group 39">
          <a:extLst>
            <a:ext uri="{FF2B5EF4-FFF2-40B4-BE49-F238E27FC236}">
              <a16:creationId xmlns:a16="http://schemas.microsoft.com/office/drawing/2014/main" id="{1082BE03-9822-41DF-B5F5-85CF1FF73595}"/>
            </a:ext>
          </a:extLst>
        </xdr:cNvPr>
        <xdr:cNvGrpSpPr/>
      </xdr:nvGrpSpPr>
      <xdr:grpSpPr>
        <a:xfrm>
          <a:off x="12468860" y="480060"/>
          <a:ext cx="623147" cy="670560"/>
          <a:chOff x="12839700" y="472440"/>
          <a:chExt cx="640080" cy="640080"/>
        </a:xfrm>
      </xdr:grpSpPr>
      <xdr:sp macro="" textlink="">
        <xdr:nvSpPr>
          <xdr:cNvPr id="41" name="Oval 40">
            <a:extLst>
              <a:ext uri="{FF2B5EF4-FFF2-40B4-BE49-F238E27FC236}">
                <a16:creationId xmlns:a16="http://schemas.microsoft.com/office/drawing/2014/main" id="{0532726D-4E9A-CB6B-27E4-78367D8FC9C7}"/>
              </a:ext>
            </a:extLst>
          </xdr:cNvPr>
          <xdr:cNvSpPr/>
        </xdr:nvSpPr>
        <xdr:spPr>
          <a:xfrm>
            <a:off x="12839700" y="472440"/>
            <a:ext cx="640080" cy="640080"/>
          </a:xfrm>
          <a:prstGeom prst="ellipse">
            <a:avLst/>
          </a:prstGeom>
          <a:solidFill>
            <a:schemeClr val="bg1"/>
          </a:solidFill>
          <a:ln>
            <a:noFill/>
          </a:ln>
          <a:effectLst>
            <a:innerShdw blurRad="279400">
              <a:schemeClr val="tx2">
                <a:lumMod val="25000"/>
                <a:lumOff val="75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42" name="Circle: Hollow 41">
            <a:extLst>
              <a:ext uri="{FF2B5EF4-FFF2-40B4-BE49-F238E27FC236}">
                <a16:creationId xmlns:a16="http://schemas.microsoft.com/office/drawing/2014/main" id="{97E995D6-0A73-2D5A-A2E6-C30D4499928A}"/>
              </a:ext>
            </a:extLst>
          </xdr:cNvPr>
          <xdr:cNvSpPr/>
        </xdr:nvSpPr>
        <xdr:spPr>
          <a:xfrm>
            <a:off x="12839700" y="472440"/>
            <a:ext cx="640080" cy="640080"/>
          </a:xfrm>
          <a:prstGeom prst="donut">
            <a:avLst>
              <a:gd name="adj" fmla="val 6442"/>
            </a:avLst>
          </a:prstGeom>
          <a:solidFill>
            <a:schemeClr val="bg1"/>
          </a:solidFill>
          <a:ln>
            <a:noFill/>
          </a:ln>
          <a:effectLst>
            <a:outerShdw blurRad="63500" sx="102000" sy="102000" algn="ctr" rotWithShape="0">
              <a:prstClr val="black">
                <a:alpha val="7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solidFill>
                <a:schemeClr val="tx1"/>
              </a:solidFill>
            </a:endParaRPr>
          </a:p>
        </xdr:txBody>
      </xdr:sp>
    </xdr:grpSp>
    <xdr:clientData/>
  </xdr:twoCellAnchor>
  <xdr:twoCellAnchor>
    <xdr:from>
      <xdr:col>7</xdr:col>
      <xdr:colOff>243840</xdr:colOff>
      <xdr:row>6</xdr:row>
      <xdr:rowOff>30480</xdr:rowOff>
    </xdr:from>
    <xdr:to>
      <xdr:col>16</xdr:col>
      <xdr:colOff>353735</xdr:colOff>
      <xdr:row>32</xdr:row>
      <xdr:rowOff>106680</xdr:rowOff>
    </xdr:to>
    <xdr:grpSp>
      <xdr:nvGrpSpPr>
        <xdr:cNvPr id="44" name="Group 43">
          <a:extLst>
            <a:ext uri="{FF2B5EF4-FFF2-40B4-BE49-F238E27FC236}">
              <a16:creationId xmlns:a16="http://schemas.microsoft.com/office/drawing/2014/main" id="{D94AEA6B-2FD0-4481-A450-E9ADB0922704}"/>
            </a:ext>
          </a:extLst>
        </xdr:cNvPr>
        <xdr:cNvGrpSpPr/>
      </xdr:nvGrpSpPr>
      <xdr:grpSpPr>
        <a:xfrm>
          <a:off x="4392507" y="1173480"/>
          <a:ext cx="5443895" cy="5029200"/>
          <a:chOff x="10835640" y="2743200"/>
          <a:chExt cx="3291840" cy="2841727"/>
        </a:xfrm>
      </xdr:grpSpPr>
      <xdr:graphicFrame macro="">
        <xdr:nvGraphicFramePr>
          <xdr:cNvPr id="45" name="Chart 44">
            <a:extLst>
              <a:ext uri="{FF2B5EF4-FFF2-40B4-BE49-F238E27FC236}">
                <a16:creationId xmlns:a16="http://schemas.microsoft.com/office/drawing/2014/main" id="{F5BDE15D-6797-BF53-FF06-5C97D1E88CC8}"/>
              </a:ext>
            </a:extLst>
          </xdr:cNvPr>
          <xdr:cNvGraphicFramePr>
            <a:graphicFrameLocks/>
          </xdr:cNvGraphicFramePr>
        </xdr:nvGraphicFramePr>
        <xdr:xfrm>
          <a:off x="10835640" y="2743200"/>
          <a:ext cx="3291840" cy="2841727"/>
        </xdr:xfrm>
        <a:graphic>
          <a:graphicData uri="http://schemas.openxmlformats.org/drawingml/2006/chart">
            <c:chart xmlns:c="http://schemas.openxmlformats.org/drawingml/2006/chart" xmlns:r="http://schemas.openxmlformats.org/officeDocument/2006/relationships" r:id="rId3"/>
          </a:graphicData>
        </a:graphic>
      </xdr:graphicFrame>
      <xdr:cxnSp macro="">
        <xdr:nvCxnSpPr>
          <xdr:cNvPr id="46" name="Straight Connector 45">
            <a:extLst>
              <a:ext uri="{FF2B5EF4-FFF2-40B4-BE49-F238E27FC236}">
                <a16:creationId xmlns:a16="http://schemas.microsoft.com/office/drawing/2014/main" id="{B0254B56-F47E-4216-C369-6DD4A152B7CC}"/>
              </a:ext>
            </a:extLst>
          </xdr:cNvPr>
          <xdr:cNvCxnSpPr/>
        </xdr:nvCxnSpPr>
        <xdr:spPr>
          <a:xfrm>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EE80A575-97B7-CA65-265D-BB030EEB2C12}"/>
              </a:ext>
            </a:extLst>
          </xdr:cNvPr>
          <xdr:cNvCxnSpPr/>
        </xdr:nvCxnSpPr>
        <xdr:spPr>
          <a:xfrm rot="3600000">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48" name="Straight Connector 47">
            <a:extLst>
              <a:ext uri="{FF2B5EF4-FFF2-40B4-BE49-F238E27FC236}">
                <a16:creationId xmlns:a16="http://schemas.microsoft.com/office/drawing/2014/main" id="{882A1C04-42B2-ED26-4D7A-1B5A134A2039}"/>
              </a:ext>
            </a:extLst>
          </xdr:cNvPr>
          <xdr:cNvCxnSpPr/>
        </xdr:nvCxnSpPr>
        <xdr:spPr>
          <a:xfrm rot="18000000">
            <a:off x="12490132" y="2796007"/>
            <a:ext cx="0" cy="2743200"/>
          </a:xfrm>
          <a:prstGeom prst="line">
            <a:avLst/>
          </a:prstGeom>
          <a:ln w="9525">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49" name="Oval 48">
            <a:extLst>
              <a:ext uri="{FF2B5EF4-FFF2-40B4-BE49-F238E27FC236}">
                <a16:creationId xmlns:a16="http://schemas.microsoft.com/office/drawing/2014/main" id="{6E05FE0D-F141-FB3A-DDF8-D7A31EE7E8FD}"/>
              </a:ext>
            </a:extLst>
          </xdr:cNvPr>
          <xdr:cNvSpPr/>
        </xdr:nvSpPr>
        <xdr:spPr>
          <a:xfrm>
            <a:off x="11117580" y="2811780"/>
            <a:ext cx="2743200" cy="2743200"/>
          </a:xfrm>
          <a:prstGeom prst="ellipse">
            <a:avLst/>
          </a:prstGeom>
          <a:solidFill>
            <a:schemeClr val="accent1">
              <a:alpha val="0"/>
            </a:schemeClr>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grpSp>
    <xdr:clientData/>
  </xdr:twoCellAnchor>
  <xdr:twoCellAnchor>
    <xdr:from>
      <xdr:col>6</xdr:col>
      <xdr:colOff>15240</xdr:colOff>
      <xdr:row>3</xdr:row>
      <xdr:rowOff>38100</xdr:rowOff>
    </xdr:from>
    <xdr:to>
      <xdr:col>6</xdr:col>
      <xdr:colOff>472440</xdr:colOff>
      <xdr:row>5</xdr:row>
      <xdr:rowOff>129540</xdr:rowOff>
    </xdr:to>
    <xdr:sp macro="" textlink="">
      <xdr:nvSpPr>
        <xdr:cNvPr id="50" name="Oval 49">
          <a:extLst>
            <a:ext uri="{FF2B5EF4-FFF2-40B4-BE49-F238E27FC236}">
              <a16:creationId xmlns:a16="http://schemas.microsoft.com/office/drawing/2014/main" id="{93CB8120-DE6E-414A-81DB-663EFF45CED8}"/>
            </a:ext>
          </a:extLst>
        </xdr:cNvPr>
        <xdr:cNvSpPr/>
      </xdr:nvSpPr>
      <xdr:spPr>
        <a:xfrm>
          <a:off x="3672840" y="586740"/>
          <a:ext cx="457200" cy="457200"/>
        </a:xfrm>
        <a:prstGeom prst="ellipse">
          <a:avLst/>
        </a:prstGeom>
        <a:solidFill>
          <a:srgbClr val="06A9E2"/>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xdr:from>
      <xdr:col>6</xdr:col>
      <xdr:colOff>281940</xdr:colOff>
      <xdr:row>8</xdr:row>
      <xdr:rowOff>152400</xdr:rowOff>
    </xdr:from>
    <xdr:to>
      <xdr:col>7</xdr:col>
      <xdr:colOff>129540</xdr:colOff>
      <xdr:row>11</xdr:row>
      <xdr:rowOff>60960</xdr:rowOff>
    </xdr:to>
    <xdr:sp macro="" textlink="">
      <xdr:nvSpPr>
        <xdr:cNvPr id="51" name="Oval 50">
          <a:extLst>
            <a:ext uri="{FF2B5EF4-FFF2-40B4-BE49-F238E27FC236}">
              <a16:creationId xmlns:a16="http://schemas.microsoft.com/office/drawing/2014/main" id="{BBD399D6-EECB-4739-B999-2414336A7CE3}"/>
            </a:ext>
          </a:extLst>
        </xdr:cNvPr>
        <xdr:cNvSpPr/>
      </xdr:nvSpPr>
      <xdr:spPr>
        <a:xfrm>
          <a:off x="3939540" y="1615440"/>
          <a:ext cx="457200" cy="457200"/>
        </a:xfrm>
        <a:prstGeom prst="ellipse">
          <a:avLst/>
        </a:prstGeom>
        <a:solidFill>
          <a:srgbClr val="0075A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6</xdr:col>
      <xdr:colOff>22860</xdr:colOff>
      <xdr:row>14</xdr:row>
      <xdr:rowOff>53340</xdr:rowOff>
    </xdr:from>
    <xdr:to>
      <xdr:col>6</xdr:col>
      <xdr:colOff>480060</xdr:colOff>
      <xdr:row>16</xdr:row>
      <xdr:rowOff>144780</xdr:rowOff>
    </xdr:to>
    <xdr:sp macro="" textlink="">
      <xdr:nvSpPr>
        <xdr:cNvPr id="52" name="Oval 51">
          <a:extLst>
            <a:ext uri="{FF2B5EF4-FFF2-40B4-BE49-F238E27FC236}">
              <a16:creationId xmlns:a16="http://schemas.microsoft.com/office/drawing/2014/main" id="{E150839D-E2D2-49FA-8E77-0960477568D4}"/>
            </a:ext>
          </a:extLst>
        </xdr:cNvPr>
        <xdr:cNvSpPr/>
      </xdr:nvSpPr>
      <xdr:spPr>
        <a:xfrm>
          <a:off x="3680460" y="2613660"/>
          <a:ext cx="457200" cy="457200"/>
        </a:xfrm>
        <a:prstGeom prst="ellipse">
          <a:avLst/>
        </a:prstGeom>
        <a:solidFill>
          <a:srgbClr val="B9F5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b="1" kern="1200">
            <a:solidFill>
              <a:schemeClr val="lt1"/>
            </a:solidFill>
            <a:latin typeface="+mn-lt"/>
            <a:ea typeface="+mn-ea"/>
            <a:cs typeface="+mn-cs"/>
          </a:endParaRPr>
        </a:p>
      </xdr:txBody>
    </xdr:sp>
    <xdr:clientData/>
  </xdr:twoCellAnchor>
  <xdr:twoCellAnchor>
    <xdr:from>
      <xdr:col>6</xdr:col>
      <xdr:colOff>472440</xdr:colOff>
      <xdr:row>1</xdr:row>
      <xdr:rowOff>76200</xdr:rowOff>
    </xdr:from>
    <xdr:to>
      <xdr:col>7</xdr:col>
      <xdr:colOff>266700</xdr:colOff>
      <xdr:row>3</xdr:row>
      <xdr:rowOff>114300</xdr:rowOff>
    </xdr:to>
    <xdr:sp macro="" textlink="">
      <xdr:nvSpPr>
        <xdr:cNvPr id="53" name="Oval 52">
          <a:extLst>
            <a:ext uri="{FF2B5EF4-FFF2-40B4-BE49-F238E27FC236}">
              <a16:creationId xmlns:a16="http://schemas.microsoft.com/office/drawing/2014/main" id="{81558149-DAC5-43EF-B639-6009186A2CF8}"/>
            </a:ext>
          </a:extLst>
        </xdr:cNvPr>
        <xdr:cNvSpPr/>
      </xdr:nvSpPr>
      <xdr:spPr>
        <a:xfrm>
          <a:off x="4130040" y="2590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400" b="1" kern="1200">
              <a:solidFill>
                <a:schemeClr val="tx2">
                  <a:lumMod val="75000"/>
                  <a:lumOff val="25000"/>
                </a:schemeClr>
              </a:solidFill>
            </a:rPr>
            <a:t>A</a:t>
          </a:r>
          <a:endParaRPr lang="ru-RU" sz="2400" b="1" kern="1200">
            <a:solidFill>
              <a:schemeClr val="tx2">
                <a:lumMod val="75000"/>
                <a:lumOff val="25000"/>
              </a:schemeClr>
            </a:solidFill>
          </a:endParaRPr>
        </a:p>
      </xdr:txBody>
    </xdr:sp>
    <xdr:clientData/>
  </xdr:twoCellAnchor>
  <xdr:twoCellAnchor>
    <xdr:from>
      <xdr:col>7</xdr:col>
      <xdr:colOff>213360</xdr:colOff>
      <xdr:row>8</xdr:row>
      <xdr:rowOff>175260</xdr:rowOff>
    </xdr:from>
    <xdr:to>
      <xdr:col>8</xdr:col>
      <xdr:colOff>7620</xdr:colOff>
      <xdr:row>11</xdr:row>
      <xdr:rowOff>30480</xdr:rowOff>
    </xdr:to>
    <xdr:sp macro="" textlink="">
      <xdr:nvSpPr>
        <xdr:cNvPr id="54" name="Oval 53">
          <a:extLst>
            <a:ext uri="{FF2B5EF4-FFF2-40B4-BE49-F238E27FC236}">
              <a16:creationId xmlns:a16="http://schemas.microsoft.com/office/drawing/2014/main" id="{F5CDEDFC-0640-4946-9D39-F16D30709E2A}"/>
            </a:ext>
          </a:extLst>
        </xdr:cNvPr>
        <xdr:cNvSpPr/>
      </xdr:nvSpPr>
      <xdr:spPr>
        <a:xfrm>
          <a:off x="4480560" y="163830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B</a:t>
          </a:r>
          <a:endParaRPr lang="ru-RU" sz="2400" b="1" kern="1200">
            <a:solidFill>
              <a:schemeClr val="tx2">
                <a:lumMod val="75000"/>
                <a:lumOff val="25000"/>
              </a:schemeClr>
            </a:solidFill>
            <a:latin typeface="+mn-lt"/>
            <a:ea typeface="+mn-ea"/>
            <a:cs typeface="+mn-cs"/>
          </a:endParaRPr>
        </a:p>
      </xdr:txBody>
    </xdr:sp>
    <xdr:clientData/>
  </xdr:twoCellAnchor>
  <xdr:twoCellAnchor>
    <xdr:from>
      <xdr:col>6</xdr:col>
      <xdr:colOff>457200</xdr:colOff>
      <xdr:row>16</xdr:row>
      <xdr:rowOff>114300</xdr:rowOff>
    </xdr:from>
    <xdr:to>
      <xdr:col>7</xdr:col>
      <xdr:colOff>251460</xdr:colOff>
      <xdr:row>18</xdr:row>
      <xdr:rowOff>152400</xdr:rowOff>
    </xdr:to>
    <xdr:sp macro="" textlink="">
      <xdr:nvSpPr>
        <xdr:cNvPr id="55" name="Oval 54">
          <a:extLst>
            <a:ext uri="{FF2B5EF4-FFF2-40B4-BE49-F238E27FC236}">
              <a16:creationId xmlns:a16="http://schemas.microsoft.com/office/drawing/2014/main" id="{E3CFE8F9-BC71-4C0D-B10B-6AD4E620AC31}"/>
            </a:ext>
          </a:extLst>
        </xdr:cNvPr>
        <xdr:cNvSpPr/>
      </xdr:nvSpPr>
      <xdr:spPr>
        <a:xfrm>
          <a:off x="4114800" y="3040380"/>
          <a:ext cx="40386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l-PL" sz="2400" b="1" kern="1200">
              <a:solidFill>
                <a:schemeClr val="tx2">
                  <a:lumMod val="75000"/>
                  <a:lumOff val="25000"/>
                </a:schemeClr>
              </a:solidFill>
              <a:latin typeface="+mn-lt"/>
              <a:ea typeface="+mn-ea"/>
              <a:cs typeface="+mn-cs"/>
            </a:rPr>
            <a:t>C</a:t>
          </a:r>
          <a:endParaRPr lang="ru-RU" sz="2400" b="1" kern="1200">
            <a:solidFill>
              <a:schemeClr val="tx2">
                <a:lumMod val="75000"/>
                <a:lumOff val="25000"/>
              </a:schemeClr>
            </a:solidFill>
            <a:latin typeface="+mn-lt"/>
            <a:ea typeface="+mn-ea"/>
            <a:cs typeface="+mn-cs"/>
          </a:endParaRPr>
        </a:p>
      </xdr:txBody>
    </xdr:sp>
    <xdr:clientData/>
  </xdr:twoCellAnchor>
  <xdr:oneCellAnchor>
    <xdr:from>
      <xdr:col>7</xdr:col>
      <xdr:colOff>233814</xdr:colOff>
      <xdr:row>0</xdr:row>
      <xdr:rowOff>0</xdr:rowOff>
    </xdr:from>
    <xdr:ext cx="6152216" cy="598690"/>
    <xdr:sp macro="" textlink="">
      <xdr:nvSpPr>
        <xdr:cNvPr id="56" name="Rectangle 55">
          <a:extLst>
            <a:ext uri="{FF2B5EF4-FFF2-40B4-BE49-F238E27FC236}">
              <a16:creationId xmlns:a16="http://schemas.microsoft.com/office/drawing/2014/main" id="{7DDC71AB-2723-422F-A789-9A34E4A2CB4A}"/>
            </a:ext>
          </a:extLst>
        </xdr:cNvPr>
        <xdr:cNvSpPr/>
      </xdr:nvSpPr>
      <xdr:spPr>
        <a:xfrm>
          <a:off x="4501014" y="0"/>
          <a:ext cx="6152216" cy="598690"/>
        </a:xfrm>
        <a:prstGeom prst="rect">
          <a:avLst/>
        </a:prstGeom>
        <a:noFill/>
        <a:ln>
          <a:noFill/>
        </a:ln>
        <a:effectLst/>
      </xdr:spPr>
      <xdr:txBody>
        <a:bodyPr wrap="square" lIns="91440" tIns="45720" rIns="91440" bIns="45720">
          <a:spAutoFit/>
        </a:bodyPr>
        <a:lstStyle/>
        <a:p>
          <a:pPr algn="ctr"/>
          <a:r>
            <a:rPr lang="pl-PL"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rPr>
            <a:t>Coverage of Regions</a:t>
          </a:r>
          <a:endParaRPr lang="en-US" sz="2800" b="1" cap="none" spc="0">
            <a:ln w="9525"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Arial Black" panose="020B0A04020102020204" pitchFamily="34" charset="0"/>
          </a:endParaRPr>
        </a:p>
      </xdr:txBody>
    </xdr:sp>
    <xdr:clientData/>
  </xdr:oneCellAnchor>
  <xdr:twoCellAnchor>
    <xdr:from>
      <xdr:col>5</xdr:col>
      <xdr:colOff>556260</xdr:colOff>
      <xdr:row>14</xdr:row>
      <xdr:rowOff>121920</xdr:rowOff>
    </xdr:from>
    <xdr:to>
      <xdr:col>6</xdr:col>
      <xdr:colOff>563880</xdr:colOff>
      <xdr:row>16</xdr:row>
      <xdr:rowOff>60960</xdr:rowOff>
    </xdr:to>
    <xdr:sp macro="" textlink="Processing!B3">
      <xdr:nvSpPr>
        <xdr:cNvPr id="58" name="TextBox 57">
          <a:extLst>
            <a:ext uri="{FF2B5EF4-FFF2-40B4-BE49-F238E27FC236}">
              <a16:creationId xmlns:a16="http://schemas.microsoft.com/office/drawing/2014/main" id="{E688D638-4D2F-4B06-BEE3-6A3D14872E8C}"/>
            </a:ext>
          </a:extLst>
        </xdr:cNvPr>
        <xdr:cNvSpPr txBox="1"/>
      </xdr:nvSpPr>
      <xdr:spPr>
        <a:xfrm>
          <a:off x="3604260" y="268224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3C542D-35F1-4AB8-9684-48687BB1F6B9}" type="TxLink">
            <a:rPr lang="en-US" sz="1400" b="1" i="0" u="none" strike="noStrike" kern="1200">
              <a:solidFill>
                <a:srgbClr val="0075AA"/>
              </a:solidFill>
              <a:latin typeface="Aptos Narrow"/>
            </a:rPr>
            <a:pPr algn="ctr"/>
            <a:t>44%</a:t>
          </a:fld>
          <a:endParaRPr lang="ru-RU" sz="1400" b="1" kern="1200">
            <a:solidFill>
              <a:srgbClr val="0075AA"/>
            </a:solidFill>
          </a:endParaRPr>
        </a:p>
      </xdr:txBody>
    </xdr:sp>
    <xdr:clientData/>
  </xdr:twoCellAnchor>
  <xdr:twoCellAnchor>
    <xdr:from>
      <xdr:col>6</xdr:col>
      <xdr:colOff>148552</xdr:colOff>
      <xdr:row>8</xdr:row>
      <xdr:rowOff>127938</xdr:rowOff>
    </xdr:from>
    <xdr:to>
      <xdr:col>7</xdr:col>
      <xdr:colOff>285788</xdr:colOff>
      <xdr:row>11</xdr:row>
      <xdr:rowOff>70182</xdr:rowOff>
    </xdr:to>
    <xdr:sp macro="" textlink="Processing!B4">
      <xdr:nvSpPr>
        <xdr:cNvPr id="59" name="TextBox 58">
          <a:extLst>
            <a:ext uri="{FF2B5EF4-FFF2-40B4-BE49-F238E27FC236}">
              <a16:creationId xmlns:a16="http://schemas.microsoft.com/office/drawing/2014/main" id="{87F1FB71-3ACD-46F5-84C7-44F69E676346}"/>
            </a:ext>
          </a:extLst>
        </xdr:cNvPr>
        <xdr:cNvSpPr txBox="1"/>
      </xdr:nvSpPr>
      <xdr:spPr>
        <a:xfrm>
          <a:off x="3806152" y="1590978"/>
          <a:ext cx="746836" cy="490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5C59C6-B73C-4885-A2B4-D97D564F334A}" type="TxLink">
            <a:rPr lang="en-US" sz="1400" b="1" i="0" u="none" strike="noStrike" kern="1200">
              <a:solidFill>
                <a:schemeClr val="bg1"/>
              </a:solidFill>
              <a:latin typeface="Aptos Narrow"/>
            </a:rPr>
            <a:pPr algn="ctr"/>
            <a:t>31%</a:t>
          </a:fld>
          <a:endParaRPr lang="ru-RU" sz="1600" b="1" kern="1200">
            <a:solidFill>
              <a:schemeClr val="bg1"/>
            </a:solidFill>
          </a:endParaRPr>
        </a:p>
      </xdr:txBody>
    </xdr:sp>
    <xdr:clientData/>
  </xdr:twoCellAnchor>
  <xdr:twoCellAnchor>
    <xdr:from>
      <xdr:col>5</xdr:col>
      <xdr:colOff>548640</xdr:colOff>
      <xdr:row>3</xdr:row>
      <xdr:rowOff>99060</xdr:rowOff>
    </xdr:from>
    <xdr:to>
      <xdr:col>6</xdr:col>
      <xdr:colOff>556260</xdr:colOff>
      <xdr:row>5</xdr:row>
      <xdr:rowOff>38100</xdr:rowOff>
    </xdr:to>
    <xdr:sp macro="" textlink="Processing!B5">
      <xdr:nvSpPr>
        <xdr:cNvPr id="60" name="TextBox 59">
          <a:extLst>
            <a:ext uri="{FF2B5EF4-FFF2-40B4-BE49-F238E27FC236}">
              <a16:creationId xmlns:a16="http://schemas.microsoft.com/office/drawing/2014/main" id="{950D9CE0-3A2C-4F47-9CB0-402A171AF96A}"/>
            </a:ext>
          </a:extLst>
        </xdr:cNvPr>
        <xdr:cNvSpPr txBox="1"/>
      </xdr:nvSpPr>
      <xdr:spPr>
        <a:xfrm>
          <a:off x="3596640" y="647700"/>
          <a:ext cx="6172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9BCA5-D2E1-4F75-9AA4-753F08AB4141}" type="TxLink">
            <a:rPr lang="en-US" sz="1400" b="1" i="0" u="none" strike="noStrike" kern="1200">
              <a:solidFill>
                <a:schemeClr val="bg1"/>
              </a:solidFill>
              <a:latin typeface="Aptos Narrow"/>
            </a:rPr>
            <a:pPr algn="ctr"/>
            <a:t>64%</a:t>
          </a:fld>
          <a:endParaRPr lang="ru-RU" sz="1600" b="1" kern="1200">
            <a:solidFill>
              <a:schemeClr val="bg1"/>
            </a:solidFill>
          </a:endParaRPr>
        </a:p>
      </xdr:txBody>
    </xdr:sp>
    <xdr:clientData/>
  </xdr:twoCellAnchor>
  <xdr:twoCellAnchor>
    <xdr:from>
      <xdr:col>3</xdr:col>
      <xdr:colOff>403860</xdr:colOff>
      <xdr:row>13</xdr:row>
      <xdr:rowOff>68580</xdr:rowOff>
    </xdr:from>
    <xdr:to>
      <xdr:col>3</xdr:col>
      <xdr:colOff>601980</xdr:colOff>
      <xdr:row>18</xdr:row>
      <xdr:rowOff>83820</xdr:rowOff>
    </xdr:to>
    <xdr:sp macro="" textlink="">
      <xdr:nvSpPr>
        <xdr:cNvPr id="61" name="Rectangle 60">
          <a:extLst>
            <a:ext uri="{FF2B5EF4-FFF2-40B4-BE49-F238E27FC236}">
              <a16:creationId xmlns:a16="http://schemas.microsoft.com/office/drawing/2014/main" id="{F752AF40-6106-4147-B0CF-6B9622FEAE1B}"/>
            </a:ext>
          </a:extLst>
        </xdr:cNvPr>
        <xdr:cNvSpPr/>
      </xdr:nvSpPr>
      <xdr:spPr>
        <a:xfrm>
          <a:off x="2232660" y="2446020"/>
          <a:ext cx="198120" cy="929640"/>
        </a:xfrm>
        <a:prstGeom prst="rect">
          <a:avLst/>
        </a:prstGeom>
        <a:solidFill>
          <a:schemeClr val="bg1"/>
        </a:solidFill>
        <a:ln>
          <a:noFill/>
        </a:ln>
        <a:effectLst>
          <a:outerShdw blurRad="152400" dist="1524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kern="1200">
            <a:solidFill>
              <a:schemeClr val="lt1"/>
            </a:solidFill>
            <a:latin typeface="+mn-lt"/>
            <a:ea typeface="+mn-ea"/>
            <a:cs typeface="+mn-cs"/>
          </a:endParaRPr>
        </a:p>
      </xdr:txBody>
    </xdr:sp>
    <xdr:clientData/>
  </xdr:twoCellAnchor>
  <xdr:twoCellAnchor>
    <xdr:from>
      <xdr:col>3</xdr:col>
      <xdr:colOff>403860</xdr:colOff>
      <xdr:row>12</xdr:row>
      <xdr:rowOff>7620</xdr:rowOff>
    </xdr:from>
    <xdr:to>
      <xdr:col>4</xdr:col>
      <xdr:colOff>7620</xdr:colOff>
      <xdr:row>19</xdr:row>
      <xdr:rowOff>152400</xdr:rowOff>
    </xdr:to>
    <xdr:sp macro="" textlink="">
      <xdr:nvSpPr>
        <xdr:cNvPr id="62" name="Rectangle 61">
          <a:extLst>
            <a:ext uri="{FF2B5EF4-FFF2-40B4-BE49-F238E27FC236}">
              <a16:creationId xmlns:a16="http://schemas.microsoft.com/office/drawing/2014/main" id="{3BDF2AFC-A9C5-4186-B28A-F93034396DC2}"/>
            </a:ext>
          </a:extLst>
        </xdr:cNvPr>
        <xdr:cNvSpPr/>
      </xdr:nvSpPr>
      <xdr:spPr>
        <a:xfrm>
          <a:off x="2232660" y="2202180"/>
          <a:ext cx="213360" cy="142494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twoCellAnchor editAs="oneCell">
    <xdr:from>
      <xdr:col>17</xdr:col>
      <xdr:colOff>190500</xdr:colOff>
      <xdr:row>10</xdr:row>
      <xdr:rowOff>121921</xdr:rowOff>
    </xdr:from>
    <xdr:to>
      <xdr:col>23</xdr:col>
      <xdr:colOff>434340</xdr:colOff>
      <xdr:row>13</xdr:row>
      <xdr:rowOff>160020</xdr:rowOff>
    </xdr:to>
    <mc:AlternateContent xmlns:mc="http://schemas.openxmlformats.org/markup-compatibility/2006" xmlns:a14="http://schemas.microsoft.com/office/drawing/2010/main">
      <mc:Choice Requires="a14">
        <xdr:graphicFrame macro="">
          <xdr:nvGraphicFramePr>
            <xdr:cNvPr id="65" name="Month 6">
              <a:extLst>
                <a:ext uri="{FF2B5EF4-FFF2-40B4-BE49-F238E27FC236}">
                  <a16:creationId xmlns:a16="http://schemas.microsoft.com/office/drawing/2014/main" id="{9D0A8C8F-07E2-4C4A-A380-EC9F3781F6D7}"/>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0553700" y="1914862"/>
              <a:ext cx="3901440" cy="575982"/>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8</xdr:row>
      <xdr:rowOff>106681</xdr:rowOff>
    </xdr:from>
    <xdr:to>
      <xdr:col>20</xdr:col>
      <xdr:colOff>30480</xdr:colOff>
      <xdr:row>10</xdr:row>
      <xdr:rowOff>106680</xdr:rowOff>
    </xdr:to>
    <mc:AlternateContent xmlns:mc="http://schemas.openxmlformats.org/markup-compatibility/2006" xmlns:a14="http://schemas.microsoft.com/office/drawing/2010/main">
      <mc:Choice Requires="a14">
        <xdr:graphicFrame macro="">
          <xdr:nvGraphicFramePr>
            <xdr:cNvPr id="66" name="Product 4">
              <a:extLst>
                <a:ext uri="{FF2B5EF4-FFF2-40B4-BE49-F238E27FC236}">
                  <a16:creationId xmlns:a16="http://schemas.microsoft.com/office/drawing/2014/main" id="{AAA13601-70B9-4EC8-AAD6-748648B0DE41}"/>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0668000" y="1541034"/>
              <a:ext cx="1554480" cy="35858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8</xdr:row>
      <xdr:rowOff>106681</xdr:rowOff>
    </xdr:from>
    <xdr:to>
      <xdr:col>23</xdr:col>
      <xdr:colOff>434340</xdr:colOff>
      <xdr:row>10</xdr:row>
      <xdr:rowOff>106681</xdr:rowOff>
    </xdr:to>
    <mc:AlternateContent xmlns:mc="http://schemas.openxmlformats.org/markup-compatibility/2006" xmlns:a14="http://schemas.microsoft.com/office/drawing/2010/main">
      <mc:Choice Requires="a14">
        <xdr:graphicFrame macro="">
          <xdr:nvGraphicFramePr>
            <xdr:cNvPr id="67" name="Year 4">
              <a:extLst>
                <a:ext uri="{FF2B5EF4-FFF2-40B4-BE49-F238E27FC236}">
                  <a16:creationId xmlns:a16="http://schemas.microsoft.com/office/drawing/2014/main" id="{ACF70F37-02F3-4486-A7AD-DCCF8D4FFE18}"/>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626340" y="1541034"/>
              <a:ext cx="1828800" cy="35858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320040</xdr:colOff>
      <xdr:row>0</xdr:row>
      <xdr:rowOff>45720</xdr:rowOff>
    </xdr:from>
    <xdr:to>
      <xdr:col>20</xdr:col>
      <xdr:colOff>213360</xdr:colOff>
      <xdr:row>2</xdr:row>
      <xdr:rowOff>144780</xdr:rowOff>
    </xdr:to>
    <xdr:sp macro="" textlink="Processing!C12">
      <xdr:nvSpPr>
        <xdr:cNvPr id="68" name="TextBox 67">
          <a:extLst>
            <a:ext uri="{FF2B5EF4-FFF2-40B4-BE49-F238E27FC236}">
              <a16:creationId xmlns:a16="http://schemas.microsoft.com/office/drawing/2014/main" id="{2B058AEA-BF78-40C2-8F17-947469FECFFB}"/>
            </a:ext>
          </a:extLst>
        </xdr:cNvPr>
        <xdr:cNvSpPr txBox="1"/>
      </xdr:nvSpPr>
      <xdr:spPr>
        <a:xfrm>
          <a:off x="10683240" y="45720"/>
          <a:ext cx="172212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2E1BFE-00CC-48C5-AB03-5B68B5206D7E}" type="TxLink">
            <a:rPr lang="en-US" sz="3200" b="0" i="0" u="none" strike="noStrike" kern="1200">
              <a:solidFill>
                <a:schemeClr val="bg1"/>
              </a:solidFill>
              <a:latin typeface="Aptos Narrow"/>
            </a:rPr>
            <a:pPr/>
            <a:t>$ 2.0 M</a:t>
          </a:fld>
          <a:endParaRPr lang="ru-RU" sz="3200" kern="1200">
            <a:solidFill>
              <a:schemeClr val="bg1"/>
            </a:solidFill>
          </a:endParaRPr>
        </a:p>
      </xdr:txBody>
    </xdr:sp>
    <xdr:clientData/>
  </xdr:twoCellAnchor>
  <xdr:twoCellAnchor>
    <xdr:from>
      <xdr:col>20</xdr:col>
      <xdr:colOff>552332</xdr:colOff>
      <xdr:row>3</xdr:row>
      <xdr:rowOff>81291</xdr:rowOff>
    </xdr:from>
    <xdr:to>
      <xdr:col>22</xdr:col>
      <xdr:colOff>125848</xdr:colOff>
      <xdr:row>5</xdr:row>
      <xdr:rowOff>33009</xdr:rowOff>
    </xdr:to>
    <xdr:sp macro="" textlink="Processing!A12">
      <xdr:nvSpPr>
        <xdr:cNvPr id="69" name="TextBox 68">
          <a:extLst>
            <a:ext uri="{FF2B5EF4-FFF2-40B4-BE49-F238E27FC236}">
              <a16:creationId xmlns:a16="http://schemas.microsoft.com/office/drawing/2014/main" id="{953E180F-B8D7-49B6-8307-A58E200F4C7E}"/>
            </a:ext>
          </a:extLst>
        </xdr:cNvPr>
        <xdr:cNvSpPr txBox="1"/>
      </xdr:nvSpPr>
      <xdr:spPr>
        <a:xfrm>
          <a:off x="12744332" y="629931"/>
          <a:ext cx="792716"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1959B-1540-4DE1-AF44-4FD0DE18A8F6}" type="TxLink">
            <a:rPr lang="en-US" sz="1100" b="1" i="0" u="none" strike="noStrike" kern="1200">
              <a:solidFill>
                <a:schemeClr val="tx2">
                  <a:lumMod val="75000"/>
                  <a:lumOff val="25000"/>
                </a:schemeClr>
              </a:solidFill>
              <a:latin typeface="Aptos Narrow"/>
            </a:rPr>
            <a:pPr algn="ctr"/>
            <a:t>SALES</a:t>
          </a:fld>
          <a:endParaRPr lang="ru-RU" sz="3200" kern="1200">
            <a:solidFill>
              <a:schemeClr val="tx2">
                <a:lumMod val="75000"/>
                <a:lumOff val="25000"/>
              </a:schemeClr>
            </a:solidFill>
          </a:endParaRPr>
        </a:p>
      </xdr:txBody>
    </xdr:sp>
    <xdr:clientData/>
  </xdr:twoCellAnchor>
  <xdr:twoCellAnchor>
    <xdr:from>
      <xdr:col>18</xdr:col>
      <xdr:colOff>369452</xdr:colOff>
      <xdr:row>3</xdr:row>
      <xdr:rowOff>123990</xdr:rowOff>
    </xdr:from>
    <xdr:to>
      <xdr:col>19</xdr:col>
      <xdr:colOff>552568</xdr:colOff>
      <xdr:row>4</xdr:row>
      <xdr:rowOff>157951</xdr:rowOff>
    </xdr:to>
    <xdr:sp macro="" textlink="Processing!B8">
      <xdr:nvSpPr>
        <xdr:cNvPr id="70" name="TextBox 69">
          <a:extLst>
            <a:ext uri="{FF2B5EF4-FFF2-40B4-BE49-F238E27FC236}">
              <a16:creationId xmlns:a16="http://schemas.microsoft.com/office/drawing/2014/main" id="{D55C7497-3CBD-46B3-A09A-DD14845BDA23}"/>
            </a:ext>
          </a:extLst>
        </xdr:cNvPr>
        <xdr:cNvSpPr txBox="1"/>
      </xdr:nvSpPr>
      <xdr:spPr>
        <a:xfrm>
          <a:off x="11342252" y="67263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CEC2B3A-7EF9-4A31-AB19-2FF7DAA9F7CA}" type="TxLink">
            <a:rPr lang="en-US" sz="1100" b="0" i="0" u="none" strike="noStrike" kern="1200">
              <a:solidFill>
                <a:schemeClr val="tx2">
                  <a:lumMod val="25000"/>
                  <a:lumOff val="75000"/>
                </a:schemeClr>
              </a:solidFill>
              <a:latin typeface="Aptos Narrow"/>
            </a:rPr>
            <a:pPr algn="r"/>
            <a:t>29%</a:t>
          </a:fld>
          <a:endParaRPr lang="ru-RU" sz="3200" kern="1200">
            <a:solidFill>
              <a:schemeClr val="tx2">
                <a:lumMod val="25000"/>
                <a:lumOff val="75000"/>
              </a:schemeClr>
            </a:solidFill>
          </a:endParaRPr>
        </a:p>
      </xdr:txBody>
    </xdr:sp>
    <xdr:clientData/>
  </xdr:twoCellAnchor>
  <xdr:twoCellAnchor>
    <xdr:from>
      <xdr:col>18</xdr:col>
      <xdr:colOff>369452</xdr:colOff>
      <xdr:row>4</xdr:row>
      <xdr:rowOff>149390</xdr:rowOff>
    </xdr:from>
    <xdr:to>
      <xdr:col>19</xdr:col>
      <xdr:colOff>552568</xdr:colOff>
      <xdr:row>6</xdr:row>
      <xdr:rowOff>471</xdr:rowOff>
    </xdr:to>
    <xdr:sp macro="" textlink="Processing!B9">
      <xdr:nvSpPr>
        <xdr:cNvPr id="71" name="TextBox 70">
          <a:extLst>
            <a:ext uri="{FF2B5EF4-FFF2-40B4-BE49-F238E27FC236}">
              <a16:creationId xmlns:a16="http://schemas.microsoft.com/office/drawing/2014/main" id="{52038D7E-5073-4FC1-810A-9C02C9F30D70}"/>
            </a:ext>
          </a:extLst>
        </xdr:cNvPr>
        <xdr:cNvSpPr txBox="1"/>
      </xdr:nvSpPr>
      <xdr:spPr>
        <a:xfrm>
          <a:off x="11342252" y="88091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8AB93D1-F445-4747-8FBE-45A33CB3C3E1}" type="TxLink">
            <a:rPr lang="en-US" sz="1100" b="0" i="0" u="none" strike="noStrike" kern="1200">
              <a:solidFill>
                <a:schemeClr val="tx2">
                  <a:lumMod val="25000"/>
                  <a:lumOff val="75000"/>
                </a:schemeClr>
              </a:solidFill>
              <a:latin typeface="Aptos Narrow"/>
            </a:rPr>
            <a:pPr algn="r"/>
            <a:t>31%</a:t>
          </a:fld>
          <a:endParaRPr lang="ru-RU" sz="3200" kern="1200">
            <a:solidFill>
              <a:schemeClr val="tx2">
                <a:lumMod val="25000"/>
                <a:lumOff val="75000"/>
              </a:schemeClr>
            </a:solidFill>
          </a:endParaRPr>
        </a:p>
      </xdr:txBody>
    </xdr:sp>
    <xdr:clientData/>
  </xdr:twoCellAnchor>
  <xdr:twoCellAnchor>
    <xdr:from>
      <xdr:col>18</xdr:col>
      <xdr:colOff>369452</xdr:colOff>
      <xdr:row>5</xdr:row>
      <xdr:rowOff>174790</xdr:rowOff>
    </xdr:from>
    <xdr:to>
      <xdr:col>19</xdr:col>
      <xdr:colOff>552568</xdr:colOff>
      <xdr:row>7</xdr:row>
      <xdr:rowOff>25871</xdr:rowOff>
    </xdr:to>
    <xdr:sp macro="" textlink="Processing!B10">
      <xdr:nvSpPr>
        <xdr:cNvPr id="72" name="TextBox 71">
          <a:extLst>
            <a:ext uri="{FF2B5EF4-FFF2-40B4-BE49-F238E27FC236}">
              <a16:creationId xmlns:a16="http://schemas.microsoft.com/office/drawing/2014/main" id="{2F64ADE7-12FC-420E-A58F-373701D41AB8}"/>
            </a:ext>
          </a:extLst>
        </xdr:cNvPr>
        <xdr:cNvSpPr txBox="1"/>
      </xdr:nvSpPr>
      <xdr:spPr>
        <a:xfrm>
          <a:off x="11342252" y="108919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11AD49D-8599-49E2-8D15-6D72FB20E14B}" type="TxLink">
            <a:rPr lang="en-US" sz="1100" b="0" i="0" u="none" strike="noStrike" kern="1200">
              <a:solidFill>
                <a:schemeClr val="tx2">
                  <a:lumMod val="25000"/>
                  <a:lumOff val="75000"/>
                </a:schemeClr>
              </a:solidFill>
              <a:latin typeface="Aptos Narrow"/>
            </a:rPr>
            <a:pPr algn="r"/>
            <a:t>25%</a:t>
          </a:fld>
          <a:endParaRPr lang="ru-RU" sz="3200" kern="1200">
            <a:solidFill>
              <a:schemeClr val="tx2">
                <a:lumMod val="25000"/>
                <a:lumOff val="75000"/>
              </a:schemeClr>
            </a:solidFill>
          </a:endParaRPr>
        </a:p>
      </xdr:txBody>
    </xdr:sp>
    <xdr:clientData/>
  </xdr:twoCellAnchor>
  <xdr:twoCellAnchor>
    <xdr:from>
      <xdr:col>18</xdr:col>
      <xdr:colOff>369452</xdr:colOff>
      <xdr:row>7</xdr:row>
      <xdr:rowOff>17310</xdr:rowOff>
    </xdr:from>
    <xdr:to>
      <xdr:col>19</xdr:col>
      <xdr:colOff>552568</xdr:colOff>
      <xdr:row>8</xdr:row>
      <xdr:rowOff>51271</xdr:rowOff>
    </xdr:to>
    <xdr:sp macro="" textlink="Processing!B11">
      <xdr:nvSpPr>
        <xdr:cNvPr id="73" name="TextBox 72">
          <a:extLst>
            <a:ext uri="{FF2B5EF4-FFF2-40B4-BE49-F238E27FC236}">
              <a16:creationId xmlns:a16="http://schemas.microsoft.com/office/drawing/2014/main" id="{171797A8-127D-45F9-BBDD-3A2BA996CFC0}"/>
            </a:ext>
          </a:extLst>
        </xdr:cNvPr>
        <xdr:cNvSpPr txBox="1"/>
      </xdr:nvSpPr>
      <xdr:spPr>
        <a:xfrm>
          <a:off x="11342252" y="1297470"/>
          <a:ext cx="792716" cy="21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5397759-BB56-4E91-BB8B-E364D76AD2EE}" type="TxLink">
            <a:rPr lang="en-US" sz="1100" b="0" i="0" u="none" strike="noStrike" kern="1200">
              <a:solidFill>
                <a:schemeClr val="tx2">
                  <a:lumMod val="25000"/>
                  <a:lumOff val="75000"/>
                </a:schemeClr>
              </a:solidFill>
              <a:latin typeface="Aptos Narrow"/>
            </a:rPr>
            <a:pPr algn="r"/>
            <a:t>15%</a:t>
          </a:fld>
          <a:endParaRPr lang="ru-RU" sz="3200" kern="1200">
            <a:solidFill>
              <a:schemeClr val="tx2">
                <a:lumMod val="25000"/>
                <a:lumOff val="75000"/>
              </a:schemeClr>
            </a:solidFill>
          </a:endParaRPr>
        </a:p>
      </xdr:txBody>
    </xdr:sp>
    <xdr:clientData/>
  </xdr:twoCellAnchor>
  <xdr:twoCellAnchor>
    <xdr:from>
      <xdr:col>9</xdr:col>
      <xdr:colOff>596286</xdr:colOff>
      <xdr:row>3</xdr:row>
      <xdr:rowOff>66051</xdr:rowOff>
    </xdr:from>
    <xdr:to>
      <xdr:col>14</xdr:col>
      <xdr:colOff>36174</xdr:colOff>
      <xdr:row>5</xdr:row>
      <xdr:rowOff>17769</xdr:rowOff>
    </xdr:to>
    <xdr:sp macro="" textlink="Processing!D10">
      <xdr:nvSpPr>
        <xdr:cNvPr id="79" name="TextBox 78">
          <a:extLst>
            <a:ext uri="{FF2B5EF4-FFF2-40B4-BE49-F238E27FC236}">
              <a16:creationId xmlns:a16="http://schemas.microsoft.com/office/drawing/2014/main" id="{B4517534-AD4E-4236-B139-31C92B995A73}"/>
            </a:ext>
          </a:extLst>
        </xdr:cNvPr>
        <xdr:cNvSpPr txBox="1"/>
      </xdr:nvSpPr>
      <xdr:spPr>
        <a:xfrm>
          <a:off x="6082686" y="614691"/>
          <a:ext cx="2487888"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16CAD5-EC82-4017-A459-E8B468783007}" type="TxLink">
            <a:rPr lang="en-US" sz="1800" b="0" i="0" u="none" strike="noStrike" kern="1200">
              <a:solidFill>
                <a:schemeClr val="tx2">
                  <a:lumMod val="90000"/>
                  <a:lumOff val="10000"/>
                </a:schemeClr>
              </a:solidFill>
              <a:latin typeface="Aptos Narrow"/>
              <a:ea typeface="+mn-ea"/>
              <a:cs typeface="+mn-cs"/>
            </a:rPr>
            <a:pPr marL="0" indent="0" algn="ctr"/>
            <a:t>Total Coverage</a:t>
          </a:fld>
          <a:endParaRPr lang="ru-RU" sz="2400" b="0" i="0" u="none" strike="noStrike" kern="1200">
            <a:solidFill>
              <a:schemeClr val="tx2">
                <a:lumMod val="90000"/>
                <a:lumOff val="10000"/>
              </a:schemeClr>
            </a:solidFill>
            <a:latin typeface="Aptos Narrow"/>
            <a:ea typeface="+mn-ea"/>
            <a:cs typeface="+mn-cs"/>
          </a:endParaRPr>
        </a:p>
      </xdr:txBody>
    </xdr:sp>
    <xdr:clientData/>
  </xdr:twoCellAnchor>
  <xdr:twoCellAnchor>
    <xdr:from>
      <xdr:col>13</xdr:col>
      <xdr:colOff>241438</xdr:colOff>
      <xdr:row>3</xdr:row>
      <xdr:rowOff>92559</xdr:rowOff>
    </xdr:from>
    <xdr:to>
      <xdr:col>14</xdr:col>
      <xdr:colOff>368163</xdr:colOff>
      <xdr:row>4</xdr:row>
      <xdr:rowOff>158902</xdr:rowOff>
    </xdr:to>
    <xdr:sp macro="" textlink="Processing!E10">
      <xdr:nvSpPr>
        <xdr:cNvPr id="113" name="TextBox 112">
          <a:extLst>
            <a:ext uri="{FF2B5EF4-FFF2-40B4-BE49-F238E27FC236}">
              <a16:creationId xmlns:a16="http://schemas.microsoft.com/office/drawing/2014/main" id="{7E0B2294-2BF5-4DF8-BEB5-56AD553333DE}"/>
            </a:ext>
          </a:extLst>
        </xdr:cNvPr>
        <xdr:cNvSpPr txBox="1"/>
      </xdr:nvSpPr>
      <xdr:spPr>
        <a:xfrm>
          <a:off x="8166238" y="641199"/>
          <a:ext cx="736325" cy="249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91E892-9186-4BE5-9808-5B4AA1BFA34C}" type="TxLink">
            <a:rPr lang="en-US" sz="2400" b="0" i="0" u="none" strike="noStrike" kern="1200">
              <a:solidFill>
                <a:schemeClr val="tx2">
                  <a:lumMod val="75000"/>
                  <a:lumOff val="25000"/>
                </a:schemeClr>
              </a:solidFill>
              <a:latin typeface="Aptos Narrow"/>
            </a:rPr>
            <a:pPr algn="ctr"/>
            <a:t>88%</a:t>
          </a:fld>
          <a:endParaRPr lang="ru-RU" sz="71400" kern="1200">
            <a:solidFill>
              <a:schemeClr val="tx2">
                <a:lumMod val="75000"/>
                <a:lumOff val="25000"/>
              </a:schemeClr>
            </a:solidFill>
          </a:endParaRPr>
        </a:p>
      </xdr:txBody>
    </xdr:sp>
    <xdr:clientData/>
  </xdr:twoCellAnchor>
  <xdr:twoCellAnchor>
    <xdr:from>
      <xdr:col>0</xdr:col>
      <xdr:colOff>180975</xdr:colOff>
      <xdr:row>0</xdr:row>
      <xdr:rowOff>111771</xdr:rowOff>
    </xdr:from>
    <xdr:to>
      <xdr:col>2</xdr:col>
      <xdr:colOff>99060</xdr:colOff>
      <xdr:row>2</xdr:row>
      <xdr:rowOff>63489</xdr:rowOff>
    </xdr:to>
    <xdr:grpSp>
      <xdr:nvGrpSpPr>
        <xdr:cNvPr id="114" name="Group 113">
          <a:hlinkClick xmlns:r="http://schemas.openxmlformats.org/officeDocument/2006/relationships" r:id="rId4"/>
          <a:extLst>
            <a:ext uri="{FF2B5EF4-FFF2-40B4-BE49-F238E27FC236}">
              <a16:creationId xmlns:a16="http://schemas.microsoft.com/office/drawing/2014/main" id="{BD1EEEB1-272E-4D16-B4AF-1ECC7E863D6F}"/>
            </a:ext>
          </a:extLst>
        </xdr:cNvPr>
        <xdr:cNvGrpSpPr/>
      </xdr:nvGrpSpPr>
      <xdr:grpSpPr>
        <a:xfrm>
          <a:off x="180975" y="111771"/>
          <a:ext cx="1103418" cy="332718"/>
          <a:chOff x="180975" y="111771"/>
          <a:chExt cx="1137285" cy="317478"/>
        </a:xfrm>
      </xdr:grpSpPr>
      <xdr:sp macro="" textlink="">
        <xdr:nvSpPr>
          <xdr:cNvPr id="115" name="TextBox 114">
            <a:extLst>
              <a:ext uri="{FF2B5EF4-FFF2-40B4-BE49-F238E27FC236}">
                <a16:creationId xmlns:a16="http://schemas.microsoft.com/office/drawing/2014/main" id="{69D4D9BE-C75D-4BC9-0712-F3741F935B22}"/>
              </a:ext>
            </a:extLst>
          </xdr:cNvPr>
          <xdr:cNvSpPr txBox="1"/>
        </xdr:nvSpPr>
        <xdr:spPr>
          <a:xfrm>
            <a:off x="337206" y="111771"/>
            <a:ext cx="981054"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bg1"/>
                </a:solidFill>
                <a:latin typeface="Aptos Narrow"/>
                <a:ea typeface="+mn-ea"/>
                <a:cs typeface="+mn-cs"/>
              </a:rPr>
              <a:t>Dashboard</a:t>
            </a:r>
          </a:p>
        </xdr:txBody>
      </xdr:sp>
      <xdr:sp macro="" textlink="">
        <xdr:nvSpPr>
          <xdr:cNvPr id="116" name="Freeform: Shape 115">
            <a:extLst>
              <a:ext uri="{FF2B5EF4-FFF2-40B4-BE49-F238E27FC236}">
                <a16:creationId xmlns:a16="http://schemas.microsoft.com/office/drawing/2014/main" id="{4EC15A1F-C300-12BA-2721-E0C8A7CA3A2A}"/>
              </a:ext>
            </a:extLst>
          </xdr:cNvPr>
          <xdr:cNvSpPr/>
        </xdr:nvSpPr>
        <xdr:spPr>
          <a:xfrm flipH="1">
            <a:off x="327932"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7" name="Freeform: Shape 116">
            <a:extLst>
              <a:ext uri="{FF2B5EF4-FFF2-40B4-BE49-F238E27FC236}">
                <a16:creationId xmlns:a16="http://schemas.microsoft.com/office/drawing/2014/main" id="{67705DCE-3CEF-F1EA-1A7F-BFCDA65AC2E5}"/>
              </a:ext>
            </a:extLst>
          </xdr:cNvPr>
          <xdr:cNvSpPr/>
        </xdr:nvSpPr>
        <xdr:spPr>
          <a:xfrm flipH="1">
            <a:off x="278946" y="140970"/>
            <a:ext cx="35923" cy="18288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solidFill>
            <a:schemeClr val="bg1"/>
          </a:solidFill>
          <a:ln w="9525" cap="flat">
            <a:noFill/>
            <a:prstDash val="solid"/>
            <a:miter/>
          </a:ln>
        </xdr:spPr>
        <xdr:txBody>
          <a:bodyPr rtlCol="0" anchor="ctr"/>
          <a:lstStyle/>
          <a:p>
            <a:endParaRPr lang="ru-RU"/>
          </a:p>
        </xdr:txBody>
      </xdr:sp>
      <xdr:sp macro="" textlink="">
        <xdr:nvSpPr>
          <xdr:cNvPr id="118" name="Freeform: Shape 117">
            <a:extLst>
              <a:ext uri="{FF2B5EF4-FFF2-40B4-BE49-F238E27FC236}">
                <a16:creationId xmlns:a16="http://schemas.microsoft.com/office/drawing/2014/main" id="{47077CE0-D485-444A-77EE-9EDDDA29069F}"/>
              </a:ext>
            </a:extLst>
          </xdr:cNvPr>
          <xdr:cNvSpPr/>
        </xdr:nvSpPr>
        <xdr:spPr>
          <a:xfrm flipH="1">
            <a:off x="229961" y="209550"/>
            <a:ext cx="35923" cy="114300"/>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solidFill>
            <a:schemeClr val="bg1"/>
          </a:solidFill>
          <a:ln w="9525" cap="flat">
            <a:noFill/>
            <a:prstDash val="solid"/>
            <a:miter/>
          </a:ln>
        </xdr:spPr>
        <xdr:txBody>
          <a:bodyPr rtlCol="0" anchor="ctr"/>
          <a:lstStyle/>
          <a:p>
            <a:endParaRPr lang="ru-RU"/>
          </a:p>
        </xdr:txBody>
      </xdr:sp>
      <xdr:sp macro="" textlink="">
        <xdr:nvSpPr>
          <xdr:cNvPr id="119" name="Freeform: Shape 118">
            <a:extLst>
              <a:ext uri="{FF2B5EF4-FFF2-40B4-BE49-F238E27FC236}">
                <a16:creationId xmlns:a16="http://schemas.microsoft.com/office/drawing/2014/main" id="{ED8C4BD6-61A6-1F72-D80D-BD4FDE005397}"/>
              </a:ext>
            </a:extLst>
          </xdr:cNvPr>
          <xdr:cNvSpPr/>
        </xdr:nvSpPr>
        <xdr:spPr>
          <a:xfrm flipH="1">
            <a:off x="180975" y="265067"/>
            <a:ext cx="35923" cy="58783"/>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1</xdr:col>
      <xdr:colOff>91440</xdr:colOff>
      <xdr:row>20</xdr:row>
      <xdr:rowOff>144780</xdr:rowOff>
    </xdr:from>
    <xdr:to>
      <xdr:col>3</xdr:col>
      <xdr:colOff>152400</xdr:colOff>
      <xdr:row>22</xdr:row>
      <xdr:rowOff>96498</xdr:rowOff>
    </xdr:to>
    <xdr:sp macro="" textlink="">
      <xdr:nvSpPr>
        <xdr:cNvPr id="120" name="TextBox 119">
          <a:hlinkClick xmlns:r="http://schemas.openxmlformats.org/officeDocument/2006/relationships" r:id="rId5"/>
          <a:extLst>
            <a:ext uri="{FF2B5EF4-FFF2-40B4-BE49-F238E27FC236}">
              <a16:creationId xmlns:a16="http://schemas.microsoft.com/office/drawing/2014/main" id="{22B87DF9-8F0F-437C-8A56-F1D854402168}"/>
            </a:ext>
          </a:extLst>
        </xdr:cNvPr>
        <xdr:cNvSpPr txBox="1"/>
      </xdr:nvSpPr>
      <xdr:spPr>
        <a:xfrm>
          <a:off x="701040" y="380238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Point Of Sales</a:t>
          </a:r>
        </a:p>
      </xdr:txBody>
    </xdr:sp>
    <xdr:clientData/>
  </xdr:twoCellAnchor>
  <xdr:twoCellAnchor>
    <xdr:from>
      <xdr:col>1</xdr:col>
      <xdr:colOff>91440</xdr:colOff>
      <xdr:row>24</xdr:row>
      <xdr:rowOff>53340</xdr:rowOff>
    </xdr:from>
    <xdr:to>
      <xdr:col>3</xdr:col>
      <xdr:colOff>152400</xdr:colOff>
      <xdr:row>26</xdr:row>
      <xdr:rowOff>5058</xdr:rowOff>
    </xdr:to>
    <xdr:sp macro="" textlink="">
      <xdr:nvSpPr>
        <xdr:cNvPr id="121" name="TextBox 120">
          <a:hlinkClick xmlns:r="http://schemas.openxmlformats.org/officeDocument/2006/relationships" r:id="rId6"/>
          <a:extLst>
            <a:ext uri="{FF2B5EF4-FFF2-40B4-BE49-F238E27FC236}">
              <a16:creationId xmlns:a16="http://schemas.microsoft.com/office/drawing/2014/main" id="{EF927F41-787E-46F2-83E9-EE7F24035AC6}"/>
            </a:ext>
          </a:extLst>
        </xdr:cNvPr>
        <xdr:cNvSpPr txBox="1"/>
      </xdr:nvSpPr>
      <xdr:spPr>
        <a:xfrm>
          <a:off x="701040" y="444246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Aptos Narrow"/>
              <a:ea typeface="+mn-ea"/>
              <a:cs typeface="+mn-cs"/>
            </a:rPr>
            <a:t>Targeting</a:t>
          </a:r>
        </a:p>
      </xdr:txBody>
    </xdr:sp>
    <xdr:clientData/>
  </xdr:twoCellAnchor>
  <xdr:twoCellAnchor>
    <xdr:from>
      <xdr:col>1</xdr:col>
      <xdr:colOff>91440</xdr:colOff>
      <xdr:row>27</xdr:row>
      <xdr:rowOff>152400</xdr:rowOff>
    </xdr:from>
    <xdr:to>
      <xdr:col>3</xdr:col>
      <xdr:colOff>266700</xdr:colOff>
      <xdr:row>29</xdr:row>
      <xdr:rowOff>104118</xdr:rowOff>
    </xdr:to>
    <xdr:sp macro="" textlink="">
      <xdr:nvSpPr>
        <xdr:cNvPr id="122" name="TextBox 121">
          <a:hlinkClick xmlns:r="http://schemas.openxmlformats.org/officeDocument/2006/relationships" r:id="rId7"/>
          <a:extLst>
            <a:ext uri="{FF2B5EF4-FFF2-40B4-BE49-F238E27FC236}">
              <a16:creationId xmlns:a16="http://schemas.microsoft.com/office/drawing/2014/main" id="{678680E2-49CE-43DF-8848-0D46EC3A528A}"/>
            </a:ext>
          </a:extLst>
        </xdr:cNvPr>
        <xdr:cNvSpPr txBox="1"/>
      </xdr:nvSpPr>
      <xdr:spPr>
        <a:xfrm>
          <a:off x="701040" y="5090160"/>
          <a:ext cx="13944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rgbClr val="658F96"/>
              </a:solidFill>
              <a:latin typeface="+mn-lt"/>
              <a:ea typeface="+mn-ea"/>
              <a:cs typeface="+mn-cs"/>
            </a:rPr>
            <a:t>Sales Dynamics</a:t>
          </a:r>
        </a:p>
      </xdr:txBody>
    </xdr:sp>
    <xdr:clientData/>
  </xdr:twoCellAnchor>
  <xdr:twoCellAnchor>
    <xdr:from>
      <xdr:col>1</xdr:col>
      <xdr:colOff>91440</xdr:colOff>
      <xdr:row>31</xdr:row>
      <xdr:rowOff>60960</xdr:rowOff>
    </xdr:from>
    <xdr:to>
      <xdr:col>3</xdr:col>
      <xdr:colOff>152400</xdr:colOff>
      <xdr:row>33</xdr:row>
      <xdr:rowOff>12678</xdr:rowOff>
    </xdr:to>
    <xdr:sp macro="" textlink="">
      <xdr:nvSpPr>
        <xdr:cNvPr id="123" name="TextBox 122">
          <a:extLst>
            <a:ext uri="{FF2B5EF4-FFF2-40B4-BE49-F238E27FC236}">
              <a16:creationId xmlns:a16="http://schemas.microsoft.com/office/drawing/2014/main" id="{7D250360-DC76-4857-A521-804861698CFF}"/>
            </a:ext>
          </a:extLst>
        </xdr:cNvPr>
        <xdr:cNvSpPr txBox="1"/>
      </xdr:nvSpPr>
      <xdr:spPr>
        <a:xfrm>
          <a:off x="701040" y="5730240"/>
          <a:ext cx="1280160" cy="317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400" b="0" i="0" u="none" strike="noStrike" kern="1200">
              <a:solidFill>
                <a:schemeClr val="tx2">
                  <a:lumMod val="90000"/>
                  <a:lumOff val="10000"/>
                </a:schemeClr>
              </a:solidFill>
              <a:latin typeface="+mn-lt"/>
              <a:ea typeface="+mn-ea"/>
              <a:cs typeface="+mn-cs"/>
            </a:rPr>
            <a:t>Coverage</a:t>
          </a:r>
        </a:p>
      </xdr:txBody>
    </xdr:sp>
    <xdr:clientData/>
  </xdr:twoCellAnchor>
  <xdr:twoCellAnchor>
    <xdr:from>
      <xdr:col>6</xdr:col>
      <xdr:colOff>7620</xdr:colOff>
      <xdr:row>33</xdr:row>
      <xdr:rowOff>144780</xdr:rowOff>
    </xdr:from>
    <xdr:to>
      <xdr:col>18</xdr:col>
      <xdr:colOff>255493</xdr:colOff>
      <xdr:row>36</xdr:row>
      <xdr:rowOff>36981</xdr:rowOff>
    </xdr:to>
    <xdr:grpSp>
      <xdr:nvGrpSpPr>
        <xdr:cNvPr id="135" name="Group 134">
          <a:extLst>
            <a:ext uri="{FF2B5EF4-FFF2-40B4-BE49-F238E27FC236}">
              <a16:creationId xmlns:a16="http://schemas.microsoft.com/office/drawing/2014/main" id="{E8D9850F-3237-E2EC-BB0E-C884BADC4C71}"/>
            </a:ext>
          </a:extLst>
        </xdr:cNvPr>
        <xdr:cNvGrpSpPr/>
      </xdr:nvGrpSpPr>
      <xdr:grpSpPr>
        <a:xfrm>
          <a:off x="3563620" y="6431280"/>
          <a:ext cx="7359873" cy="463701"/>
          <a:chOff x="3848100" y="5875020"/>
          <a:chExt cx="7563073" cy="440841"/>
        </a:xfrm>
      </xdr:grpSpPr>
      <xdr:sp macro="" textlink="">
        <xdr:nvSpPr>
          <xdr:cNvPr id="124" name="Oval 123">
            <a:extLst>
              <a:ext uri="{FF2B5EF4-FFF2-40B4-BE49-F238E27FC236}">
                <a16:creationId xmlns:a16="http://schemas.microsoft.com/office/drawing/2014/main" id="{6D5AB6B9-E6C6-4EE0-B530-60CD54DD6D5F}"/>
              </a:ext>
            </a:extLst>
          </xdr:cNvPr>
          <xdr:cNvSpPr/>
        </xdr:nvSpPr>
        <xdr:spPr>
          <a:xfrm>
            <a:off x="9022080" y="6014871"/>
            <a:ext cx="182880" cy="182880"/>
          </a:xfrm>
          <a:prstGeom prst="ellipse">
            <a:avLst/>
          </a:prstGeom>
          <a:solidFill>
            <a:srgbClr val="CBF7FF"/>
          </a:solidFill>
          <a:ln w="31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125" name="Oval 124">
            <a:extLst>
              <a:ext uri="{FF2B5EF4-FFF2-40B4-BE49-F238E27FC236}">
                <a16:creationId xmlns:a16="http://schemas.microsoft.com/office/drawing/2014/main" id="{A96BFAA5-DA05-403D-8359-C351EF86CE31}"/>
              </a:ext>
            </a:extLst>
          </xdr:cNvPr>
          <xdr:cNvSpPr/>
        </xdr:nvSpPr>
        <xdr:spPr>
          <a:xfrm>
            <a:off x="8869680" y="5912001"/>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solidFill>
                    <a:schemeClr val="accent1">
                      <a:lumMod val="60000"/>
                      <a:lumOff val="40000"/>
                    </a:schemeClr>
                  </a:solidFill>
                </a:ln>
                <a:solidFill>
                  <a:srgbClr val="B9F5FF"/>
                </a:solidFill>
              </a:rPr>
              <a:t>Products C</a:t>
            </a:r>
            <a:endParaRPr lang="ru-RU" sz="2000" b="1" kern="1200">
              <a:ln w="3175">
                <a:solidFill>
                  <a:schemeClr val="accent1">
                    <a:lumMod val="60000"/>
                    <a:lumOff val="40000"/>
                  </a:schemeClr>
                </a:solidFill>
              </a:ln>
              <a:solidFill>
                <a:srgbClr val="B9F5FF"/>
              </a:solidFill>
            </a:endParaRPr>
          </a:p>
        </xdr:txBody>
      </xdr:sp>
      <xdr:sp macro="" textlink="Processing!G9">
        <xdr:nvSpPr>
          <xdr:cNvPr id="126" name="TextBox 125">
            <a:extLst>
              <a:ext uri="{FF2B5EF4-FFF2-40B4-BE49-F238E27FC236}">
                <a16:creationId xmlns:a16="http://schemas.microsoft.com/office/drawing/2014/main" id="{BEA60262-4691-4FE2-976B-09B13ECD603A}"/>
              </a:ext>
            </a:extLst>
          </xdr:cNvPr>
          <xdr:cNvSpPr txBox="1"/>
        </xdr:nvSpPr>
        <xdr:spPr>
          <a:xfrm>
            <a:off x="10537114" y="5875020"/>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FE2035-3ACA-48F9-998A-02659BCBDEF5}" type="TxLink">
              <a:rPr lang="en-US" sz="2400" b="0" i="0" u="none" strike="noStrike" kern="1200">
                <a:solidFill>
                  <a:srgbClr val="0075AA"/>
                </a:solidFill>
                <a:latin typeface="Aptos Narrow"/>
                <a:ea typeface="+mn-ea"/>
                <a:cs typeface="+mn-cs"/>
              </a:rPr>
              <a:pPr marL="0" indent="0" algn="l"/>
              <a:t>73%</a:t>
            </a:fld>
            <a:endParaRPr lang="ru-RU" sz="2400" b="0" i="0" u="none" strike="noStrike" kern="1200">
              <a:solidFill>
                <a:srgbClr val="0075AA"/>
              </a:solidFill>
              <a:latin typeface="Aptos Narrow"/>
              <a:ea typeface="+mn-ea"/>
              <a:cs typeface="+mn-cs"/>
            </a:endParaRPr>
          </a:p>
        </xdr:txBody>
      </xdr:sp>
      <xdr:sp macro="" textlink="">
        <xdr:nvSpPr>
          <xdr:cNvPr id="127" name="Oval 126">
            <a:extLst>
              <a:ext uri="{FF2B5EF4-FFF2-40B4-BE49-F238E27FC236}">
                <a16:creationId xmlns:a16="http://schemas.microsoft.com/office/drawing/2014/main" id="{70B972A1-AFEB-4982-BDC8-CECEE343D53B}"/>
              </a:ext>
            </a:extLst>
          </xdr:cNvPr>
          <xdr:cNvSpPr/>
        </xdr:nvSpPr>
        <xdr:spPr>
          <a:xfrm>
            <a:off x="6511290" y="6014871"/>
            <a:ext cx="182880" cy="182880"/>
          </a:xfrm>
          <a:prstGeom prst="ellipse">
            <a:avLst/>
          </a:prstGeom>
          <a:solidFill>
            <a:srgbClr val="0075AA"/>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128" name="Oval 127">
            <a:extLst>
              <a:ext uri="{FF2B5EF4-FFF2-40B4-BE49-F238E27FC236}">
                <a16:creationId xmlns:a16="http://schemas.microsoft.com/office/drawing/2014/main" id="{F99EA153-65B0-4DCD-A4DF-4672D1B0BC41}"/>
              </a:ext>
            </a:extLst>
          </xdr:cNvPr>
          <xdr:cNvSpPr/>
        </xdr:nvSpPr>
        <xdr:spPr>
          <a:xfrm>
            <a:off x="6358890" y="5912001"/>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noFill/>
                </a:ln>
                <a:solidFill>
                  <a:srgbClr val="0075AA"/>
                </a:solidFill>
              </a:rPr>
              <a:t>Products</a:t>
            </a:r>
            <a:r>
              <a:rPr lang="pl-PL" sz="2000" b="1" kern="1200">
                <a:ln w="3175">
                  <a:solidFill>
                    <a:schemeClr val="accent1">
                      <a:lumMod val="60000"/>
                      <a:lumOff val="40000"/>
                    </a:schemeClr>
                  </a:solidFill>
                </a:ln>
                <a:solidFill>
                  <a:srgbClr val="0075AA"/>
                </a:solidFill>
              </a:rPr>
              <a:t> </a:t>
            </a:r>
            <a:r>
              <a:rPr lang="pl-PL" sz="2000" b="1" kern="1200">
                <a:ln w="3175">
                  <a:noFill/>
                </a:ln>
                <a:solidFill>
                  <a:srgbClr val="0075AA"/>
                </a:solidFill>
              </a:rPr>
              <a:t>B</a:t>
            </a:r>
            <a:endParaRPr lang="ru-RU" sz="2000" b="1" kern="1200">
              <a:ln w="3175">
                <a:noFill/>
              </a:ln>
              <a:solidFill>
                <a:srgbClr val="0075AA"/>
              </a:solidFill>
            </a:endParaRPr>
          </a:p>
        </xdr:txBody>
      </xdr:sp>
      <xdr:sp macro="" textlink="Processing!F9">
        <xdr:nvSpPr>
          <xdr:cNvPr id="129" name="TextBox 128">
            <a:extLst>
              <a:ext uri="{FF2B5EF4-FFF2-40B4-BE49-F238E27FC236}">
                <a16:creationId xmlns:a16="http://schemas.microsoft.com/office/drawing/2014/main" id="{DDE6FFD2-9E3A-4B3C-8FE9-731B4247018B}"/>
              </a:ext>
            </a:extLst>
          </xdr:cNvPr>
          <xdr:cNvSpPr txBox="1"/>
        </xdr:nvSpPr>
        <xdr:spPr>
          <a:xfrm>
            <a:off x="8026324" y="5875020"/>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D224B96-D609-4F2D-AFA6-0F2E02CA2C7B}" type="TxLink">
              <a:rPr lang="en-US" sz="2400" b="0" i="0" u="none" strike="noStrike" kern="1200">
                <a:solidFill>
                  <a:srgbClr val="0075AA"/>
                </a:solidFill>
                <a:latin typeface="Aptos Narrow"/>
                <a:ea typeface="+mn-ea"/>
                <a:cs typeface="+mn-cs"/>
              </a:rPr>
              <a:pPr marL="0" indent="0" algn="l"/>
              <a:t>75%</a:t>
            </a:fld>
            <a:endParaRPr lang="ru-RU" sz="2400" b="0" i="0" u="none" strike="noStrike" kern="1200">
              <a:solidFill>
                <a:srgbClr val="0075AA"/>
              </a:solidFill>
              <a:latin typeface="Aptos Narrow"/>
              <a:ea typeface="+mn-ea"/>
              <a:cs typeface="+mn-cs"/>
            </a:endParaRPr>
          </a:p>
        </xdr:txBody>
      </xdr:sp>
      <xdr:sp macro="" textlink="">
        <xdr:nvSpPr>
          <xdr:cNvPr id="130" name="Oval 129">
            <a:extLst>
              <a:ext uri="{FF2B5EF4-FFF2-40B4-BE49-F238E27FC236}">
                <a16:creationId xmlns:a16="http://schemas.microsoft.com/office/drawing/2014/main" id="{846BCEF1-2320-49DD-8D36-3C7C1DDCF468}"/>
              </a:ext>
            </a:extLst>
          </xdr:cNvPr>
          <xdr:cNvSpPr/>
        </xdr:nvSpPr>
        <xdr:spPr>
          <a:xfrm>
            <a:off x="4000500" y="6014871"/>
            <a:ext cx="182880" cy="182880"/>
          </a:xfrm>
          <a:prstGeom prst="ellipse">
            <a:avLst/>
          </a:prstGeom>
          <a:solidFill>
            <a:srgbClr val="06A9E2"/>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sp macro="" textlink="">
        <xdr:nvSpPr>
          <xdr:cNvPr id="131" name="Oval 130">
            <a:extLst>
              <a:ext uri="{FF2B5EF4-FFF2-40B4-BE49-F238E27FC236}">
                <a16:creationId xmlns:a16="http://schemas.microsoft.com/office/drawing/2014/main" id="{20CE131C-06BC-4F3D-8B66-61CB1330EDBA}"/>
              </a:ext>
            </a:extLst>
          </xdr:cNvPr>
          <xdr:cNvSpPr/>
        </xdr:nvSpPr>
        <xdr:spPr>
          <a:xfrm>
            <a:off x="3848100" y="5912001"/>
            <a:ext cx="1981200" cy="403860"/>
          </a:xfrm>
          <a:prstGeom prst="ellipse">
            <a:avLst/>
          </a:prstGeom>
          <a:no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l-PL" sz="2000" b="1" kern="1200">
                <a:ln w="3175">
                  <a:noFill/>
                </a:ln>
                <a:solidFill>
                  <a:srgbClr val="06A9E2"/>
                </a:solidFill>
              </a:rPr>
              <a:t>Products A</a:t>
            </a:r>
            <a:endParaRPr lang="ru-RU" sz="2000" b="1" kern="1200">
              <a:ln w="3175">
                <a:noFill/>
              </a:ln>
              <a:solidFill>
                <a:srgbClr val="06A9E2"/>
              </a:solidFill>
            </a:endParaRPr>
          </a:p>
        </xdr:txBody>
      </xdr:sp>
      <xdr:sp macro="" textlink="Processing!E9">
        <xdr:nvSpPr>
          <xdr:cNvPr id="132" name="TextBox 131">
            <a:extLst>
              <a:ext uri="{FF2B5EF4-FFF2-40B4-BE49-F238E27FC236}">
                <a16:creationId xmlns:a16="http://schemas.microsoft.com/office/drawing/2014/main" id="{EE12A347-1850-47F2-B5B9-F155F42E6C64}"/>
              </a:ext>
            </a:extLst>
          </xdr:cNvPr>
          <xdr:cNvSpPr txBox="1"/>
        </xdr:nvSpPr>
        <xdr:spPr>
          <a:xfrm>
            <a:off x="5515534" y="5875020"/>
            <a:ext cx="874059" cy="434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9680C5-F903-4927-8DA4-BF0AA3F03215}" type="TxLink">
              <a:rPr lang="en-US" sz="2400" b="0" i="0" u="none" strike="noStrike" kern="1200">
                <a:solidFill>
                  <a:srgbClr val="0075AA"/>
                </a:solidFill>
                <a:latin typeface="Aptos Narrow"/>
                <a:ea typeface="+mn-ea"/>
                <a:cs typeface="+mn-cs"/>
              </a:rPr>
              <a:pPr marL="0" indent="0" algn="l"/>
              <a:t>42%</a:t>
            </a:fld>
            <a:endParaRPr lang="ru-RU" sz="2400" b="0" i="0" u="none" strike="noStrike" kern="1200">
              <a:solidFill>
                <a:srgbClr val="0075AA"/>
              </a:solidFill>
              <a:latin typeface="Aptos Narrow"/>
              <a:ea typeface="+mn-ea"/>
              <a:cs typeface="+mn-cs"/>
            </a:endParaRPr>
          </a:p>
        </xdr:txBody>
      </xdr:sp>
    </xdr:grpSp>
    <xdr:clientData/>
  </xdr:twoCellAnchor>
  <xdr:twoCellAnchor>
    <xdr:from>
      <xdr:col>17</xdr:col>
      <xdr:colOff>396240</xdr:colOff>
      <xdr:row>14</xdr:row>
      <xdr:rowOff>99060</xdr:rowOff>
    </xdr:from>
    <xdr:to>
      <xdr:col>23</xdr:col>
      <xdr:colOff>175260</xdr:colOff>
      <xdr:row>17</xdr:row>
      <xdr:rowOff>61722</xdr:rowOff>
    </xdr:to>
    <xdr:sp macro="" textlink="Processing!I2">
      <xdr:nvSpPr>
        <xdr:cNvPr id="133" name="TextBox 132">
          <a:extLst>
            <a:ext uri="{FF2B5EF4-FFF2-40B4-BE49-F238E27FC236}">
              <a16:creationId xmlns:a16="http://schemas.microsoft.com/office/drawing/2014/main" id="{0D0534F9-2D99-437B-94A1-2E1C6F608FED}"/>
            </a:ext>
          </a:extLst>
        </xdr:cNvPr>
        <xdr:cNvSpPr txBox="1"/>
      </xdr:nvSpPr>
      <xdr:spPr>
        <a:xfrm>
          <a:off x="10759440" y="2659380"/>
          <a:ext cx="3436620" cy="511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3DEF4F-CE48-47C7-B2B8-BB451529D0BF}" type="TxLink">
            <a:rPr lang="en-US" sz="2400" b="0" i="0" u="none" strike="noStrike" kern="1200">
              <a:solidFill>
                <a:schemeClr val="tx2">
                  <a:lumMod val="90000"/>
                  <a:lumOff val="10000"/>
                </a:schemeClr>
              </a:solidFill>
              <a:latin typeface="Aptos Narrow"/>
            </a:rPr>
            <a:pPr algn="ctr"/>
            <a:t>OCTOBER 2027</a:t>
          </a:fld>
          <a:endParaRPr lang="ru-RU" sz="11500" kern="1200">
            <a:solidFill>
              <a:schemeClr val="tx2">
                <a:lumMod val="90000"/>
                <a:lumOff val="10000"/>
              </a:schemeClr>
            </a:solidFill>
          </a:endParaRPr>
        </a:p>
      </xdr:txBody>
    </xdr:sp>
    <xdr:clientData/>
  </xdr:twoCellAnchor>
  <xdr:twoCellAnchor>
    <xdr:from>
      <xdr:col>17</xdr:col>
      <xdr:colOff>60960</xdr:colOff>
      <xdr:row>17</xdr:row>
      <xdr:rowOff>114300</xdr:rowOff>
    </xdr:from>
    <xdr:to>
      <xdr:col>23</xdr:col>
      <xdr:colOff>381000</xdr:colOff>
      <xdr:row>32</xdr:row>
      <xdr:rowOff>114300</xdr:rowOff>
    </xdr:to>
    <xdr:graphicFrame macro="">
      <xdr:nvGraphicFramePr>
        <xdr:cNvPr id="134" name="Chart 133">
          <a:extLst>
            <a:ext uri="{FF2B5EF4-FFF2-40B4-BE49-F238E27FC236}">
              <a16:creationId xmlns:a16="http://schemas.microsoft.com/office/drawing/2014/main" id="{3A41E828-CF5C-4E8E-AB51-87FC64A18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106680</xdr:colOff>
      <xdr:row>11</xdr:row>
      <xdr:rowOff>160020</xdr:rowOff>
    </xdr:from>
    <xdr:to>
      <xdr:col>16</xdr:col>
      <xdr:colOff>228600</xdr:colOff>
      <xdr:row>13</xdr:row>
      <xdr:rowOff>68580</xdr:rowOff>
    </xdr:to>
    <xdr:sp macro="" textlink="Processing!D3">
      <xdr:nvSpPr>
        <xdr:cNvPr id="136" name="TextBox 135">
          <a:extLst>
            <a:ext uri="{FF2B5EF4-FFF2-40B4-BE49-F238E27FC236}">
              <a16:creationId xmlns:a16="http://schemas.microsoft.com/office/drawing/2014/main" id="{856F9CD0-2D49-C8E3-C703-AB60EA2DA3C7}"/>
            </a:ext>
          </a:extLst>
        </xdr:cNvPr>
        <xdr:cNvSpPr txBox="1"/>
      </xdr:nvSpPr>
      <xdr:spPr>
        <a:xfrm>
          <a:off x="9250680" y="217170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3F02D8-1FDE-4D1C-B5FA-381E43FD9BF5}" type="TxLink">
            <a:rPr lang="en-US" sz="1100" b="0" i="0" u="none" strike="noStrike" kern="1200">
              <a:solidFill>
                <a:srgbClr val="000000"/>
              </a:solidFill>
              <a:latin typeface="Aptos Narrow"/>
            </a:rPr>
            <a:pPr/>
            <a:t>Region 1</a:t>
          </a:fld>
          <a:endParaRPr lang="ru-RU" sz="1100" kern="1200"/>
        </a:p>
      </xdr:txBody>
    </xdr:sp>
    <xdr:clientData/>
  </xdr:twoCellAnchor>
  <xdr:twoCellAnchor>
    <xdr:from>
      <xdr:col>15</xdr:col>
      <xdr:colOff>144780</xdr:colOff>
      <xdr:row>25</xdr:row>
      <xdr:rowOff>106680</xdr:rowOff>
    </xdr:from>
    <xdr:to>
      <xdr:col>16</xdr:col>
      <xdr:colOff>266700</xdr:colOff>
      <xdr:row>27</xdr:row>
      <xdr:rowOff>15240</xdr:rowOff>
    </xdr:to>
    <xdr:sp macro="" textlink="Processing!D4">
      <xdr:nvSpPr>
        <xdr:cNvPr id="137" name="TextBox 136">
          <a:extLst>
            <a:ext uri="{FF2B5EF4-FFF2-40B4-BE49-F238E27FC236}">
              <a16:creationId xmlns:a16="http://schemas.microsoft.com/office/drawing/2014/main" id="{4EBB7032-2C57-359E-ADC1-176E60A82940}"/>
            </a:ext>
          </a:extLst>
        </xdr:cNvPr>
        <xdr:cNvSpPr txBox="1"/>
      </xdr:nvSpPr>
      <xdr:spPr>
        <a:xfrm>
          <a:off x="9288780" y="467868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C02086-0FE5-4977-A3F8-9E7DF78B1525}" type="TxLink">
            <a:rPr lang="en-US" sz="1100" b="0" i="0" u="none" strike="noStrike" kern="1200">
              <a:solidFill>
                <a:srgbClr val="000000"/>
              </a:solidFill>
              <a:latin typeface="Aptos Narrow"/>
            </a:rPr>
            <a:pPr/>
            <a:t>Region 2</a:t>
          </a:fld>
          <a:endParaRPr lang="ru-RU" sz="1100" kern="1200"/>
        </a:p>
      </xdr:txBody>
    </xdr:sp>
    <xdr:clientData/>
  </xdr:twoCellAnchor>
  <xdr:twoCellAnchor>
    <xdr:from>
      <xdr:col>11</xdr:col>
      <xdr:colOff>251460</xdr:colOff>
      <xdr:row>32</xdr:row>
      <xdr:rowOff>22860</xdr:rowOff>
    </xdr:from>
    <xdr:to>
      <xdr:col>12</xdr:col>
      <xdr:colOff>373380</xdr:colOff>
      <xdr:row>33</xdr:row>
      <xdr:rowOff>114300</xdr:rowOff>
    </xdr:to>
    <xdr:sp macro="" textlink="Processing!D5">
      <xdr:nvSpPr>
        <xdr:cNvPr id="138" name="TextBox 137">
          <a:extLst>
            <a:ext uri="{FF2B5EF4-FFF2-40B4-BE49-F238E27FC236}">
              <a16:creationId xmlns:a16="http://schemas.microsoft.com/office/drawing/2014/main" id="{62661C3D-F0D9-5192-5200-080ACC3BD27A}"/>
            </a:ext>
          </a:extLst>
        </xdr:cNvPr>
        <xdr:cNvSpPr txBox="1"/>
      </xdr:nvSpPr>
      <xdr:spPr>
        <a:xfrm>
          <a:off x="6957060" y="587502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DA6478-D38B-405A-B5A9-46639355D915}" type="TxLink">
            <a:rPr lang="en-US" sz="1100" b="0" i="0" u="none" strike="noStrike" kern="1200">
              <a:solidFill>
                <a:srgbClr val="000000"/>
              </a:solidFill>
              <a:latin typeface="Aptos Narrow"/>
            </a:rPr>
            <a:pPr/>
            <a:t>Region 3</a:t>
          </a:fld>
          <a:endParaRPr lang="ru-RU" sz="1100" kern="1200"/>
        </a:p>
      </xdr:txBody>
    </xdr:sp>
    <xdr:clientData/>
  </xdr:twoCellAnchor>
  <xdr:twoCellAnchor>
    <xdr:from>
      <xdr:col>7</xdr:col>
      <xdr:colOff>342900</xdr:colOff>
      <xdr:row>25</xdr:row>
      <xdr:rowOff>106680</xdr:rowOff>
    </xdr:from>
    <xdr:to>
      <xdr:col>8</xdr:col>
      <xdr:colOff>464820</xdr:colOff>
      <xdr:row>27</xdr:row>
      <xdr:rowOff>15240</xdr:rowOff>
    </xdr:to>
    <xdr:sp macro="" textlink="Processing!D6">
      <xdr:nvSpPr>
        <xdr:cNvPr id="139" name="TextBox 138">
          <a:extLst>
            <a:ext uri="{FF2B5EF4-FFF2-40B4-BE49-F238E27FC236}">
              <a16:creationId xmlns:a16="http://schemas.microsoft.com/office/drawing/2014/main" id="{387C85E0-38E5-CCD4-8CC2-81EB2C2A5E97}"/>
            </a:ext>
          </a:extLst>
        </xdr:cNvPr>
        <xdr:cNvSpPr txBox="1"/>
      </xdr:nvSpPr>
      <xdr:spPr>
        <a:xfrm>
          <a:off x="4610100" y="467868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FB2945-661E-47C2-B210-20C32B0C2BBC}" type="TxLink">
            <a:rPr lang="en-US" sz="1100" b="0" i="0" u="none" strike="noStrike" kern="1200">
              <a:solidFill>
                <a:srgbClr val="000000"/>
              </a:solidFill>
              <a:latin typeface="Aptos Narrow"/>
            </a:rPr>
            <a:pPr/>
            <a:t>Region 4</a:t>
          </a:fld>
          <a:endParaRPr lang="ru-RU" sz="1100" kern="1200"/>
        </a:p>
      </xdr:txBody>
    </xdr:sp>
    <xdr:clientData/>
  </xdr:twoCellAnchor>
  <xdr:twoCellAnchor>
    <xdr:from>
      <xdr:col>7</xdr:col>
      <xdr:colOff>342900</xdr:colOff>
      <xdr:row>11</xdr:row>
      <xdr:rowOff>129540</xdr:rowOff>
    </xdr:from>
    <xdr:to>
      <xdr:col>8</xdr:col>
      <xdr:colOff>464820</xdr:colOff>
      <xdr:row>13</xdr:row>
      <xdr:rowOff>38100</xdr:rowOff>
    </xdr:to>
    <xdr:sp macro="" textlink="Processing!D7">
      <xdr:nvSpPr>
        <xdr:cNvPr id="140" name="TextBox 139">
          <a:extLst>
            <a:ext uri="{FF2B5EF4-FFF2-40B4-BE49-F238E27FC236}">
              <a16:creationId xmlns:a16="http://schemas.microsoft.com/office/drawing/2014/main" id="{69284993-385D-E644-B080-30D8659027FD}"/>
            </a:ext>
          </a:extLst>
        </xdr:cNvPr>
        <xdr:cNvSpPr txBox="1"/>
      </xdr:nvSpPr>
      <xdr:spPr>
        <a:xfrm>
          <a:off x="4610100" y="214122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E7712D-E3ED-4169-9F10-52FFB3A46A15}" type="TxLink">
            <a:rPr lang="en-US" sz="1100" b="0" i="0" u="none" strike="noStrike" kern="1200">
              <a:solidFill>
                <a:srgbClr val="000000"/>
              </a:solidFill>
              <a:latin typeface="Aptos Narrow"/>
            </a:rPr>
            <a:pPr/>
            <a:t>Region 5</a:t>
          </a:fld>
          <a:endParaRPr lang="ru-RU" sz="1100" kern="1200"/>
        </a:p>
      </xdr:txBody>
    </xdr:sp>
    <xdr:clientData/>
  </xdr:twoCellAnchor>
  <xdr:twoCellAnchor>
    <xdr:from>
      <xdr:col>11</xdr:col>
      <xdr:colOff>251460</xdr:colOff>
      <xdr:row>5</xdr:row>
      <xdr:rowOff>83820</xdr:rowOff>
    </xdr:from>
    <xdr:to>
      <xdr:col>12</xdr:col>
      <xdr:colOff>373380</xdr:colOff>
      <xdr:row>6</xdr:row>
      <xdr:rowOff>175260</xdr:rowOff>
    </xdr:to>
    <xdr:sp macro="" textlink="Processing!D8">
      <xdr:nvSpPr>
        <xdr:cNvPr id="141" name="TextBox 140">
          <a:extLst>
            <a:ext uri="{FF2B5EF4-FFF2-40B4-BE49-F238E27FC236}">
              <a16:creationId xmlns:a16="http://schemas.microsoft.com/office/drawing/2014/main" id="{D91A3C8D-31AA-2604-C961-AFBA9D787F7B}"/>
            </a:ext>
          </a:extLst>
        </xdr:cNvPr>
        <xdr:cNvSpPr txBox="1"/>
      </xdr:nvSpPr>
      <xdr:spPr>
        <a:xfrm>
          <a:off x="6957060" y="998220"/>
          <a:ext cx="731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F55BB4-3B1C-4F55-9DA4-CD482DFD2F4B}" type="TxLink">
            <a:rPr lang="en-US" sz="1100" b="0" i="0" u="none" strike="noStrike" kern="1200">
              <a:solidFill>
                <a:srgbClr val="000000"/>
              </a:solidFill>
              <a:latin typeface="Aptos Narrow"/>
            </a:rPr>
            <a:pPr/>
            <a:t>Region 6</a:t>
          </a:fld>
          <a:endParaRPr lang="ru-RU" sz="1100" kern="1200"/>
        </a:p>
      </xdr:txBody>
    </xdr:sp>
    <xdr:clientData/>
  </xdr:twoCellAnchor>
  <xdr:twoCellAnchor>
    <xdr:from>
      <xdr:col>0</xdr:col>
      <xdr:colOff>281940</xdr:colOff>
      <xdr:row>32</xdr:row>
      <xdr:rowOff>0</xdr:rowOff>
    </xdr:from>
    <xdr:to>
      <xdr:col>0</xdr:col>
      <xdr:colOff>373380</xdr:colOff>
      <xdr:row>32</xdr:row>
      <xdr:rowOff>91440</xdr:rowOff>
    </xdr:to>
    <xdr:sp macro="" textlink="">
      <xdr:nvSpPr>
        <xdr:cNvPr id="142" name="Oval 141">
          <a:extLst>
            <a:ext uri="{FF2B5EF4-FFF2-40B4-BE49-F238E27FC236}">
              <a16:creationId xmlns:a16="http://schemas.microsoft.com/office/drawing/2014/main" id="{0EA853BC-9F64-47AC-9EFE-0674762D88C0}"/>
            </a:ext>
          </a:extLst>
        </xdr:cNvPr>
        <xdr:cNvSpPr/>
      </xdr:nvSpPr>
      <xdr:spPr>
        <a:xfrm>
          <a:off x="281940" y="5852160"/>
          <a:ext cx="91440" cy="91440"/>
        </a:xfrm>
        <a:prstGeom prst="ellipse">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80.503194907411" createdVersion="8" refreshedVersion="8" minRefreshableVersion="3" recordCount="108" xr:uid="{CD403DE6-9A6D-4E82-B5D8-1C830F8932DC}">
  <cacheSource type="worksheet">
    <worksheetSource name="mydata"/>
  </cacheSource>
  <cacheFields count="30">
    <cacheField name="Year" numFmtId="0">
      <sharedItems containsSemiMixedTypes="0" containsString="0" containsNumber="1" containsInteger="1" minValue="2025" maxValue="2027" count="3">
        <n v="2025"/>
        <n v="2026"/>
        <n v="2027"/>
      </sharedItems>
    </cacheField>
    <cacheField name="Month" numFmtId="0">
      <sharedItems count="12">
        <s v="JAN"/>
        <s v="FEB"/>
        <s v="MAR"/>
        <s v="APR"/>
        <s v="MAY"/>
        <s v="JUN"/>
        <s v="JUL"/>
        <s v="AUG"/>
        <s v="SEP"/>
        <s v="OCT"/>
        <s v="NOV"/>
        <s v="DEC"/>
      </sharedItems>
    </cacheField>
    <cacheField name="Product" numFmtId="0">
      <sharedItems count="3">
        <s v="A"/>
        <s v="B"/>
        <s v="C"/>
      </sharedItems>
    </cacheField>
    <cacheField name="Result" numFmtId="9">
      <sharedItems containsSemiMixedTypes="0" containsString="0" containsNumber="1" minValue="0.31" maxValue="1"/>
    </cacheField>
    <cacheField name="Cross" numFmtId="9">
      <sharedItems containsSemiMixedTypes="0" containsString="0" containsNumber="1" minValue="0.3" maxValue="1"/>
    </cacheField>
    <cacheField name="Sales" numFmtId="0">
      <sharedItems containsSemiMixedTypes="0" containsString="0" containsNumber="1" containsInteger="1" minValue="0" maxValue="1262"/>
    </cacheField>
    <cacheField name="POS Sales 1" numFmtId="0">
      <sharedItems containsSemiMixedTypes="0" containsString="0" containsNumber="1" containsInteger="1" minValue="0" maxValue="257"/>
    </cacheField>
    <cacheField name="POS Sales 2" numFmtId="0">
      <sharedItems containsSemiMixedTypes="0" containsString="0" containsNumber="1" containsInteger="1" minValue="0" maxValue="317"/>
    </cacheField>
    <cacheField name="POS Sales 3" numFmtId="0">
      <sharedItems containsSemiMixedTypes="0" containsString="0" containsNumber="1" containsInteger="1" minValue="0" maxValue="358"/>
    </cacheField>
    <cacheField name="POS Sales 4" numFmtId="0">
      <sharedItems containsSemiMixedTypes="0" containsString="0" containsNumber="1" containsInteger="1" minValue="0" maxValue="383"/>
    </cacheField>
    <cacheField name="POS Sales 5" numFmtId="0">
      <sharedItems containsSemiMixedTypes="0" containsString="0" containsNumber="1" containsInteger="1" minValue="0" maxValue="332"/>
    </cacheField>
    <cacheField name="POS Sales 6" numFmtId="0">
      <sharedItems containsSemiMixedTypes="0" containsString="0" containsNumber="1" containsInteger="1" minValue="0" maxValue="272"/>
    </cacheField>
    <cacheField name="POS Sales 7" numFmtId="0">
      <sharedItems containsSemiMixedTypes="0" containsString="0" containsNumber="1" containsInteger="1" minValue="0" maxValue="180"/>
    </cacheField>
    <cacheField name="POS Plan 1" numFmtId="0">
      <sharedItems containsSemiMixedTypes="0" containsString="0" containsNumber="1" containsInteger="1" minValue="0" maxValue="543"/>
    </cacheField>
    <cacheField name="POS Plan 2" numFmtId="0">
      <sharedItems containsSemiMixedTypes="0" containsString="0" containsNumber="1" containsInteger="1" minValue="0" maxValue="500"/>
    </cacheField>
    <cacheField name="POS Plan 3" numFmtId="0">
      <sharedItems containsSemiMixedTypes="0" containsString="0" containsNumber="1" containsInteger="1" minValue="0" maxValue="351"/>
    </cacheField>
    <cacheField name="POS Plan 4" numFmtId="0">
      <sharedItems containsSemiMixedTypes="0" containsString="0" containsNumber="1" containsInteger="1" minValue="0" maxValue="414"/>
    </cacheField>
    <cacheField name="POS Plan 5" numFmtId="0">
      <sharedItems containsSemiMixedTypes="0" containsString="0" containsNumber="1" containsInteger="1" minValue="0" maxValue="465"/>
    </cacheField>
    <cacheField name="POS Plan 6" numFmtId="0">
      <sharedItems containsSemiMixedTypes="0" containsString="0" containsNumber="1" containsInteger="1" minValue="0" maxValue="668"/>
    </cacheField>
    <cacheField name="POS Plan 7" numFmtId="0">
      <sharedItems containsSemiMixedTypes="0" containsString="0" containsNumber="1" containsInteger="1" minValue="0" maxValue="234"/>
    </cacheField>
    <cacheField name="Region 1" numFmtId="9">
      <sharedItems containsSemiMixedTypes="0" containsString="0" containsNumber="1" minValue="0.22" maxValue="0.99"/>
    </cacheField>
    <cacheField name="Region 2" numFmtId="9">
      <sharedItems containsSemiMixedTypes="0" containsString="0" containsNumber="1" minValue="0.21" maxValue="0.99"/>
    </cacheField>
    <cacheField name="Region 3" numFmtId="9">
      <sharedItems containsSemiMixedTypes="0" containsString="0" containsNumber="1" minValue="0.2" maxValue="1"/>
    </cacheField>
    <cacheField name="Region 4" numFmtId="9">
      <sharedItems containsSemiMixedTypes="0" containsString="0" containsNumber="1" minValue="0.2" maxValue="1"/>
    </cacheField>
    <cacheField name="Region 5" numFmtId="9">
      <sharedItems containsSemiMixedTypes="0" containsString="0" containsNumber="1" minValue="0.1" maxValue="1"/>
    </cacheField>
    <cacheField name="Region 6" numFmtId="9">
      <sharedItems containsSemiMixedTypes="0" containsString="0" containsNumber="1" minValue="0.2" maxValue="1"/>
    </cacheField>
    <cacheField name="Online sales" numFmtId="0">
      <sharedItems containsString="0" containsBlank="1" containsNumber="1" minValue="0.03" maxValue="0.41"/>
    </cacheField>
    <cacheField name="Regular sales" numFmtId="0">
      <sharedItems containsString="0" containsBlank="1" containsNumber="1" minValue="0.26" maxValue="0.73"/>
    </cacheField>
    <cacheField name="Upselling" numFmtId="0">
      <sharedItems containsString="0" containsBlank="1" containsNumber="1" minValue="0" maxValue="0.44"/>
    </cacheField>
    <cacheField name="Other" numFmtId="0">
      <sharedItems containsString="0" containsBlank="1" containsNumber="1" minValue="0.02" maxValue="0.44"/>
    </cacheField>
  </cacheFields>
  <extLst>
    <ext xmlns:x14="http://schemas.microsoft.com/office/spreadsheetml/2009/9/main" uri="{725AE2AE-9491-48be-B2B4-4EB974FC3084}">
      <x14:pivotCacheDefinition pivotCacheId="1913848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80.568737499998" createdVersion="8" refreshedVersion="8" minRefreshableVersion="3" recordCount="7" xr:uid="{1CD40F81-52A5-488B-8DD3-2A9A206B4544}">
  <cacheSource type="worksheet">
    <worksheetSource ref="A14:A21" sheet="Processing"/>
  </cacheSource>
  <cacheFields count="1">
    <cacheField name="Point Of Sales" numFmtId="0">
      <sharedItems count="7">
        <s v="POS 1"/>
        <s v="POS 2"/>
        <s v="POS 3"/>
        <s v="POS 4"/>
        <s v="POS 5"/>
        <s v="POS 6"/>
        <s v="POS 7"/>
      </sharedItems>
    </cacheField>
  </cacheFields>
  <extLst>
    <ext xmlns:x14="http://schemas.microsoft.com/office/spreadsheetml/2009/9/main" uri="{725AE2AE-9491-48be-B2B4-4EB974FC3084}">
      <x14:pivotCacheDefinition pivotCacheId="1151888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n v="0.85"/>
    <n v="1"/>
    <n v="1"/>
    <n v="1"/>
    <n v="0"/>
    <n v="0"/>
    <n v="0"/>
    <n v="0"/>
    <n v="0"/>
    <n v="0"/>
    <n v="69"/>
    <n v="61"/>
    <n v="22"/>
    <n v="4"/>
    <n v="88"/>
    <n v="54"/>
    <n v="49"/>
    <n v="0.25"/>
    <n v="0.6"/>
    <n v="0.5"/>
    <n v="0.4"/>
    <n v="0.9"/>
    <n v="0.75"/>
    <n v="0.25"/>
    <n v="0.28000000000000003"/>
    <n v="0.15"/>
    <n v="0.32"/>
  </r>
  <r>
    <x v="0"/>
    <x v="1"/>
    <x v="0"/>
    <n v="0.5"/>
    <n v="0.66"/>
    <n v="267"/>
    <n v="60"/>
    <n v="64"/>
    <n v="21"/>
    <n v="35"/>
    <n v="2"/>
    <n v="47"/>
    <n v="38"/>
    <n v="79"/>
    <n v="67"/>
    <n v="123"/>
    <n v="117"/>
    <n v="27"/>
    <n v="25"/>
    <n v="72"/>
    <n v="0.64"/>
    <n v="0.31"/>
    <n v="0.53"/>
    <n v="0.27"/>
    <n v="0.56000000000000005"/>
    <n v="0.24"/>
    <n v="0.41"/>
    <n v="0.26"/>
    <n v="0.26"/>
    <n v="7.0000000000000007E-2"/>
  </r>
  <r>
    <x v="0"/>
    <x v="2"/>
    <x v="0"/>
    <n v="0.46"/>
    <n v="0.75"/>
    <n v="392"/>
    <n v="9"/>
    <n v="67"/>
    <n v="60"/>
    <n v="99"/>
    <n v="9"/>
    <n v="92"/>
    <n v="56"/>
    <n v="117"/>
    <n v="147"/>
    <n v="27"/>
    <n v="46"/>
    <n v="29"/>
    <n v="195"/>
    <n v="94"/>
    <n v="0.67"/>
    <n v="0.28000000000000003"/>
    <n v="0.45"/>
    <n v="0.55000000000000004"/>
    <n v="0.48"/>
    <n v="0.77"/>
    <n v="0.39"/>
    <n v="0.43"/>
    <n v="0.12"/>
    <n v="0.06"/>
  </r>
  <r>
    <x v="0"/>
    <x v="3"/>
    <x v="0"/>
    <n v="0.75"/>
    <n v="0.36"/>
    <n v="504"/>
    <n v="18"/>
    <n v="175"/>
    <n v="33"/>
    <n v="43"/>
    <n v="51"/>
    <n v="112"/>
    <n v="72"/>
    <n v="91"/>
    <n v="162"/>
    <n v="24"/>
    <n v="245"/>
    <n v="235"/>
    <n v="39"/>
    <n v="132"/>
    <n v="0.34"/>
    <n v="0.61"/>
    <n v="0.25"/>
    <n v="0.65"/>
    <n v="0.28000000000000003"/>
    <n v="0.34"/>
    <n v="0.2"/>
    <n v="0.38"/>
    <n v="0.34"/>
    <n v="0.08"/>
  </r>
  <r>
    <x v="0"/>
    <x v="4"/>
    <x v="0"/>
    <n v="0.59"/>
    <n v="0.86"/>
    <n v="714"/>
    <n v="73"/>
    <n v="97"/>
    <n v="44"/>
    <n v="103"/>
    <n v="96"/>
    <n v="199"/>
    <n v="102"/>
    <n v="183"/>
    <n v="143"/>
    <n v="161"/>
    <n v="174"/>
    <n v="184"/>
    <n v="180"/>
    <n v="171"/>
    <n v="0.97"/>
    <n v="0.91"/>
    <n v="0.37"/>
    <n v="0.91"/>
    <n v="0.59"/>
    <n v="0.56000000000000005"/>
    <n v="0.28000000000000003"/>
    <n v="0.27"/>
    <n v="0.27"/>
    <n v="0.18"/>
  </r>
  <r>
    <x v="0"/>
    <x v="5"/>
    <x v="0"/>
    <n v="0.92"/>
    <n v="0.92"/>
    <n v="920"/>
    <n v="114"/>
    <n v="230"/>
    <n v="59"/>
    <n v="82"/>
    <n v="191"/>
    <n v="112"/>
    <n v="132"/>
    <n v="231"/>
    <n v="185"/>
    <n v="289"/>
    <n v="316"/>
    <n v="16"/>
    <n v="57"/>
    <n v="183"/>
    <n v="0.43"/>
    <n v="0.32"/>
    <n v="0.89"/>
    <n v="0.32"/>
    <n v="0.72"/>
    <n v="0.5"/>
    <n v="0.24"/>
    <n v="0.32"/>
    <n v="0.34"/>
    <n v="0.1"/>
  </r>
  <r>
    <x v="0"/>
    <x v="6"/>
    <x v="0"/>
    <n v="0.77"/>
    <n v="0.38"/>
    <n v="982"/>
    <n v="257"/>
    <n v="87"/>
    <n v="207"/>
    <n v="64"/>
    <n v="119"/>
    <n v="108"/>
    <n v="140"/>
    <n v="125"/>
    <n v="57"/>
    <n v="127"/>
    <n v="244"/>
    <n v="152"/>
    <n v="323"/>
    <n v="171"/>
    <n v="0.46"/>
    <n v="0.45"/>
    <n v="0.78"/>
    <n v="0.84"/>
    <n v="0.42"/>
    <n v="0.31"/>
    <n v="0.06"/>
    <n v="0.64"/>
    <n v="0.18"/>
    <n v="0.12"/>
  </r>
  <r>
    <x v="0"/>
    <x v="7"/>
    <x v="0"/>
    <n v="0.32"/>
    <n v="0.54"/>
    <n v="922"/>
    <n v="143"/>
    <n v="173"/>
    <n v="89"/>
    <n v="47"/>
    <n v="122"/>
    <n v="217"/>
    <n v="131"/>
    <n v="227"/>
    <n v="47"/>
    <n v="291"/>
    <n v="13"/>
    <n v="30"/>
    <n v="269"/>
    <n v="146"/>
    <n v="0.84"/>
    <n v="0.28999999999999998"/>
    <n v="0.21"/>
    <n v="0.51"/>
    <n v="0.3"/>
    <n v="0.98"/>
    <n v="0.16"/>
    <n v="0.53"/>
    <n v="0"/>
    <n v="0.31"/>
  </r>
  <r>
    <x v="0"/>
    <x v="8"/>
    <x v="0"/>
    <n v="0.75"/>
    <n v="0.52"/>
    <n v="787"/>
    <n v="120"/>
    <n v="179"/>
    <n v="35"/>
    <n v="170"/>
    <n v="23"/>
    <n v="148"/>
    <n v="112"/>
    <n v="141"/>
    <n v="98"/>
    <n v="80"/>
    <n v="113"/>
    <n v="102"/>
    <n v="108"/>
    <n v="109"/>
    <n v="0.55000000000000004"/>
    <n v="0.35"/>
    <n v="0.69"/>
    <n v="0.61"/>
    <n v="0.9"/>
    <n v="0.57999999999999996"/>
    <n v="0.19"/>
    <n v="0.4"/>
    <n v="0.28000000000000003"/>
    <n v="0.13"/>
  </r>
  <r>
    <x v="0"/>
    <x v="9"/>
    <x v="0"/>
    <n v="0.89"/>
    <n v="0.53"/>
    <n v="578"/>
    <n v="119"/>
    <n v="101"/>
    <n v="58"/>
    <n v="65"/>
    <n v="88"/>
    <n v="65"/>
    <n v="82"/>
    <n v="13"/>
    <n v="97"/>
    <n v="77"/>
    <n v="96"/>
    <n v="69"/>
    <n v="78"/>
    <n v="73"/>
    <n v="0.52"/>
    <n v="0.8"/>
    <n v="0.75"/>
    <n v="0.28000000000000003"/>
    <n v="0.53"/>
    <n v="0.99"/>
    <n v="0.33"/>
    <n v="0.28000000000000003"/>
    <n v="0.06"/>
    <n v="0.33"/>
  </r>
  <r>
    <x v="0"/>
    <x v="10"/>
    <x v="0"/>
    <n v="0.61"/>
    <n v="0.77"/>
    <n v="387"/>
    <n v="42"/>
    <n v="46"/>
    <n v="23"/>
    <n v="46"/>
    <n v="96"/>
    <n v="79"/>
    <n v="55"/>
    <n v="97"/>
    <n v="13"/>
    <n v="100"/>
    <n v="7"/>
    <n v="26"/>
    <n v="52"/>
    <n v="48"/>
    <n v="0.22"/>
    <n v="0.41"/>
    <n v="0.27"/>
    <n v="0.47"/>
    <n v="0.26"/>
    <n v="0.54"/>
    <n v="0.18"/>
    <n v="0.48"/>
    <n v="0.03"/>
    <n v="0.31"/>
  </r>
  <r>
    <x v="0"/>
    <x v="11"/>
    <x v="0"/>
    <n v="0.35"/>
    <n v="0.33"/>
    <n v="264"/>
    <n v="45"/>
    <n v="44"/>
    <n v="12"/>
    <n v="29"/>
    <n v="58"/>
    <n v="40"/>
    <n v="36"/>
    <n v="207"/>
    <n v="224"/>
    <n v="280"/>
    <n v="163"/>
    <n v="181"/>
    <n v="167"/>
    <n v="204"/>
    <n v="0.69"/>
    <n v="0.71"/>
    <n v="0.57999999999999996"/>
    <n v="0.94"/>
    <n v="0.82"/>
    <n v="0.94"/>
    <n v="0.17"/>
    <n v="0.3"/>
    <n v="0.28999999999999998"/>
    <n v="0.24"/>
  </r>
  <r>
    <x v="1"/>
    <x v="0"/>
    <x v="0"/>
    <n v="0.55000000000000004"/>
    <n v="0.76"/>
    <n v="1097"/>
    <n v="130"/>
    <n v="214"/>
    <n v="91"/>
    <n v="162"/>
    <n v="215"/>
    <n v="128"/>
    <n v="157"/>
    <n v="318"/>
    <n v="304"/>
    <n v="22"/>
    <n v="12"/>
    <n v="68"/>
    <n v="371"/>
    <n v="182"/>
    <n v="0.94"/>
    <n v="0.71"/>
    <n v="0.28999999999999998"/>
    <n v="0.46"/>
    <n v="0.33"/>
    <n v="0.65"/>
    <n v="0.12"/>
    <n v="0.5"/>
    <n v="0.3"/>
    <n v="0.08"/>
  </r>
  <r>
    <x v="1"/>
    <x v="1"/>
    <x v="0"/>
    <n v="0.71"/>
    <n v="0.38"/>
    <n v="982"/>
    <n v="99"/>
    <n v="24"/>
    <n v="288"/>
    <n v="40"/>
    <n v="267"/>
    <n v="124"/>
    <n v="140"/>
    <n v="543"/>
    <n v="164"/>
    <n v="212"/>
    <n v="17"/>
    <n v="31"/>
    <n v="58"/>
    <n v="171"/>
    <n v="0.54"/>
    <n v="0.42"/>
    <n v="0.76"/>
    <n v="0.95"/>
    <n v="0.48"/>
    <n v="0.34"/>
    <n v="0.24"/>
    <n v="0.42"/>
    <n v="0.04"/>
    <n v="0.3"/>
  </r>
  <r>
    <x v="1"/>
    <x v="2"/>
    <x v="0"/>
    <n v="0.91"/>
    <n v="0.69"/>
    <n v="920"/>
    <n v="34"/>
    <n v="266"/>
    <n v="67"/>
    <n v="77"/>
    <n v="295"/>
    <n v="49"/>
    <n v="132"/>
    <n v="58"/>
    <n v="285"/>
    <n v="201"/>
    <n v="83"/>
    <n v="138"/>
    <n v="242"/>
    <n v="168"/>
    <n v="0.45"/>
    <n v="0.88"/>
    <n v="0.84"/>
    <n v="0.72"/>
    <n v="0.86"/>
    <n v="0.94"/>
    <n v="0.13"/>
    <n v="0.49"/>
    <n v="0.14000000000000001"/>
    <n v="0.24"/>
  </r>
  <r>
    <x v="1"/>
    <x v="3"/>
    <x v="0"/>
    <n v="0.64"/>
    <n v="0.38"/>
    <n v="904"/>
    <n v="150"/>
    <n v="217"/>
    <n v="56"/>
    <n v="3"/>
    <n v="168"/>
    <n v="180"/>
    <n v="130"/>
    <n v="276"/>
    <n v="251"/>
    <n v="178"/>
    <n v="180"/>
    <n v="165"/>
    <n v="15"/>
    <n v="178"/>
    <n v="0.5"/>
    <n v="0.31"/>
    <n v="0.62"/>
    <n v="0.9"/>
    <n v="0.26"/>
    <n v="0.61"/>
    <n v="0.2"/>
    <n v="0.46"/>
    <n v="0.18"/>
    <n v="0.16"/>
  </r>
  <r>
    <x v="1"/>
    <x v="4"/>
    <x v="0"/>
    <n v="0.72"/>
    <n v="0.73"/>
    <n v="956"/>
    <n v="121"/>
    <n v="42"/>
    <n v="126"/>
    <n v="147"/>
    <n v="152"/>
    <n v="230"/>
    <n v="138"/>
    <n v="72"/>
    <n v="145"/>
    <n v="288"/>
    <n v="313"/>
    <n v="96"/>
    <n v="259"/>
    <n v="197"/>
    <n v="0.25"/>
    <n v="0.9"/>
    <n v="0.23"/>
    <n v="0.67"/>
    <n v="0.26"/>
    <n v="0.83"/>
    <n v="0.1"/>
    <n v="0.53"/>
    <n v="0.02"/>
    <n v="0.35"/>
  </r>
  <r>
    <x v="1"/>
    <x v="5"/>
    <x v="0"/>
    <n v="0.98"/>
    <n v="0.95"/>
    <n v="1054"/>
    <n v="156"/>
    <n v="17"/>
    <n v="293"/>
    <n v="160"/>
    <n v="56"/>
    <n v="222"/>
    <n v="150"/>
    <n v="14"/>
    <n v="371"/>
    <n v="177"/>
    <n v="9"/>
    <n v="180"/>
    <n v="475"/>
    <n v="204"/>
    <n v="0.28000000000000003"/>
    <n v="0.95"/>
    <n v="0.41"/>
    <n v="0.87"/>
    <n v="0.3"/>
    <n v="0.92"/>
    <n v="0.2"/>
    <n v="0.37"/>
    <n v="0.22"/>
    <n v="0.21"/>
  </r>
  <r>
    <x v="1"/>
    <x v="6"/>
    <x v="0"/>
    <n v="0.43"/>
    <n v="0.91"/>
    <n v="1100"/>
    <n v="123"/>
    <n v="272"/>
    <n v="118"/>
    <n v="132"/>
    <n v="27"/>
    <n v="272"/>
    <n v="156"/>
    <n v="0"/>
    <n v="232"/>
    <n v="120"/>
    <n v="321"/>
    <n v="448"/>
    <n v="77"/>
    <n v="201"/>
    <n v="0.4"/>
    <n v="0.48"/>
    <n v="0.28999999999999998"/>
    <n v="0.34"/>
    <n v="0.23"/>
    <n v="0.7"/>
    <n v="0.2"/>
    <n v="0.36"/>
    <n v="0.4"/>
    <n v="0.04"/>
  </r>
  <r>
    <x v="1"/>
    <x v="7"/>
    <x v="0"/>
    <n v="0.87"/>
    <n v="0.56999999999999995"/>
    <n v="1076"/>
    <n v="70"/>
    <n v="166"/>
    <n v="136"/>
    <n v="142"/>
    <n v="267"/>
    <n v="141"/>
    <n v="154"/>
    <n v="55"/>
    <n v="48"/>
    <n v="351"/>
    <n v="383"/>
    <n v="103"/>
    <n v="203"/>
    <n v="190"/>
    <n v="0.94"/>
    <n v="0.59"/>
    <n v="0.42"/>
    <n v="0.98"/>
    <n v="0.82"/>
    <n v="0.95"/>
    <n v="0.16"/>
    <n v="0.64"/>
    <n v="0.1"/>
    <n v="0.1"/>
  </r>
  <r>
    <x v="1"/>
    <x v="8"/>
    <x v="0"/>
    <n v="0.84"/>
    <n v="0.39"/>
    <n v="1025"/>
    <n v="21"/>
    <n v="129"/>
    <n v="243"/>
    <n v="169"/>
    <n v="242"/>
    <n v="75"/>
    <n v="146"/>
    <n v="210"/>
    <n v="207"/>
    <n v="220"/>
    <n v="211"/>
    <n v="234"/>
    <n v="54"/>
    <n v="189"/>
    <n v="0.22"/>
    <n v="0.91"/>
    <n v="0.56999999999999995"/>
    <n v="0.92"/>
    <n v="0.4"/>
    <n v="0.24"/>
    <n v="0.26"/>
    <n v="0.5"/>
    <n v="0.06"/>
    <n v="0.18"/>
  </r>
  <r>
    <x v="1"/>
    <x v="9"/>
    <x v="0"/>
    <n v="0.69"/>
    <n v="0.94"/>
    <n v="1019"/>
    <n v="130"/>
    <n v="152"/>
    <n v="87"/>
    <n v="101"/>
    <n v="226"/>
    <n v="177"/>
    <n v="146"/>
    <n v="68"/>
    <n v="233"/>
    <n v="28"/>
    <n v="288"/>
    <n v="465"/>
    <n v="136"/>
    <n v="204"/>
    <n v="0.99"/>
    <n v="0.57999999999999996"/>
    <n v="0.62"/>
    <n v="0.46"/>
    <n v="0.63"/>
    <n v="0.85"/>
    <n v="0.21"/>
    <n v="0.39"/>
    <n v="0.08"/>
    <n v="0.32"/>
  </r>
  <r>
    <x v="1"/>
    <x v="10"/>
    <x v="0"/>
    <n v="0.41"/>
    <n v="0.73"/>
    <n v="1094"/>
    <n v="57"/>
    <n v="171"/>
    <n v="95"/>
    <n v="135"/>
    <n v="332"/>
    <n v="147"/>
    <n v="157"/>
    <n v="37"/>
    <n v="268"/>
    <n v="328"/>
    <n v="414"/>
    <n v="265"/>
    <n v="95"/>
    <n v="234"/>
    <n v="0.61"/>
    <n v="0.39"/>
    <n v="0.77"/>
    <n v="0.95"/>
    <n v="0.46"/>
    <n v="0.61"/>
    <n v="0.04"/>
    <n v="0.57999999999999996"/>
    <n v="0.13"/>
    <n v="0.25"/>
  </r>
  <r>
    <x v="1"/>
    <x v="11"/>
    <x v="0"/>
    <n v="0.87"/>
    <n v="0.38"/>
    <n v="1262"/>
    <n v="216"/>
    <n v="77"/>
    <n v="254"/>
    <n v="223"/>
    <n v="152"/>
    <n v="160"/>
    <n v="180"/>
    <n v="149"/>
    <n v="424"/>
    <n v="29"/>
    <n v="138"/>
    <n v="94"/>
    <n v="278"/>
    <n v="185"/>
    <n v="0.76"/>
    <n v="0.97"/>
    <n v="0.46"/>
    <n v="0.5"/>
    <n v="0.63"/>
    <n v="0.55000000000000004"/>
    <n v="0.18"/>
    <n v="0.52"/>
    <n v="0.27"/>
    <n v="0.03"/>
  </r>
  <r>
    <x v="2"/>
    <x v="0"/>
    <x v="0"/>
    <n v="0.89"/>
    <n v="0.9"/>
    <n v="998"/>
    <n v="204"/>
    <n v="160"/>
    <n v="155"/>
    <n v="173"/>
    <n v="25"/>
    <n v="138"/>
    <n v="143"/>
    <n v="276"/>
    <n v="52"/>
    <n v="156"/>
    <n v="335"/>
    <n v="229"/>
    <n v="155"/>
    <n v="201"/>
    <n v="0.96"/>
    <n v="0.33"/>
    <n v="0.23"/>
    <n v="0.31"/>
    <n v="0.84"/>
    <n v="0.59"/>
    <n v="0.13"/>
    <n v="0.52"/>
    <n v="0.25"/>
    <n v="0.1"/>
  </r>
  <r>
    <x v="2"/>
    <x v="1"/>
    <x v="0"/>
    <n v="0.98"/>
    <n v="0.86"/>
    <n v="1080"/>
    <n v="179"/>
    <n v="165"/>
    <n v="133"/>
    <n v="154"/>
    <n v="106"/>
    <n v="190"/>
    <n v="153"/>
    <n v="148"/>
    <n v="96"/>
    <n v="124"/>
    <n v="318"/>
    <n v="6"/>
    <n v="668"/>
    <n v="226"/>
    <n v="0.81"/>
    <n v="0.96"/>
    <n v="0.81"/>
    <n v="0.28000000000000003"/>
    <n v="0.53"/>
    <n v="0.44"/>
    <n v="0.16"/>
    <n v="0.38"/>
    <n v="0.19"/>
    <n v="0.27"/>
  </r>
  <r>
    <x v="2"/>
    <x v="2"/>
    <x v="0"/>
    <n v="0.59"/>
    <n v="0.52"/>
    <n v="1220"/>
    <n v="16"/>
    <n v="75"/>
    <n v="358"/>
    <n v="367"/>
    <n v="54"/>
    <n v="177"/>
    <n v="173"/>
    <n v="18"/>
    <n v="423"/>
    <n v="304"/>
    <n v="203"/>
    <n v="293"/>
    <n v="114"/>
    <n v="225"/>
    <n v="0.66"/>
    <n v="0.83"/>
    <n v="0.31"/>
    <n v="0.46"/>
    <n v="0.61"/>
    <n v="0.73"/>
    <n v="0.14000000000000001"/>
    <n v="0.5"/>
    <n v="0.27"/>
    <n v="0.09"/>
  </r>
  <r>
    <x v="2"/>
    <x v="3"/>
    <x v="0"/>
    <n v="0.5"/>
    <n v="0.73"/>
    <n v="1215"/>
    <n v="215"/>
    <n v="18"/>
    <n v="96"/>
    <n v="383"/>
    <n v="173"/>
    <n v="157"/>
    <n v="173"/>
    <n v="60"/>
    <n v="352"/>
    <n v="26"/>
    <n v="326"/>
    <n v="301"/>
    <n v="48"/>
    <n v="187"/>
    <n v="0.28000000000000003"/>
    <n v="0.78"/>
    <n v="0.95"/>
    <n v="0.39"/>
    <n v="0.82"/>
    <n v="0.2"/>
    <n v="0.25"/>
    <n v="0.52"/>
    <n v="0.12"/>
    <n v="0.11"/>
  </r>
  <r>
    <x v="2"/>
    <x v="4"/>
    <x v="0"/>
    <n v="0.66"/>
    <n v="0.47"/>
    <n v="1000"/>
    <n v="167"/>
    <n v="113"/>
    <n v="16"/>
    <n v="263"/>
    <n v="173"/>
    <n v="126"/>
    <n v="142"/>
    <n v="300"/>
    <n v="151"/>
    <n v="19"/>
    <n v="73"/>
    <n v="411"/>
    <n v="72"/>
    <n v="170"/>
    <n v="0.56999999999999995"/>
    <n v="0.77"/>
    <n v="0.25"/>
    <n v="0.32"/>
    <n v="0.59"/>
    <n v="0.68"/>
    <n v="0.21"/>
    <n v="0.56999999999999995"/>
    <n v="0.12"/>
    <n v="0.1"/>
  </r>
  <r>
    <x v="2"/>
    <x v="5"/>
    <x v="0"/>
    <n v="0.88"/>
    <n v="0.68"/>
    <n v="920"/>
    <n v="181"/>
    <n v="135"/>
    <n v="47"/>
    <n v="173"/>
    <n v="147"/>
    <n v="106"/>
    <n v="131"/>
    <n v="29"/>
    <n v="500"/>
    <n v="150"/>
    <n v="295"/>
    <n v="18"/>
    <n v="6"/>
    <n v="166"/>
    <n v="0.91"/>
    <n v="0.6"/>
    <n v="0.94"/>
    <n v="0.2"/>
    <n v="0.21"/>
    <n v="0.42"/>
    <n v="0.25"/>
    <n v="0.44"/>
    <n v="0.08"/>
    <n v="0.23"/>
  </r>
  <r>
    <x v="2"/>
    <x v="6"/>
    <x v="0"/>
    <n v="0.96"/>
    <n v="0.5"/>
    <n v="895"/>
    <n v="7"/>
    <n v="208"/>
    <n v="30"/>
    <n v="165"/>
    <n v="229"/>
    <n v="128"/>
    <n v="128"/>
    <n v="211"/>
    <n v="273"/>
    <n v="92"/>
    <n v="348"/>
    <n v="136"/>
    <n v="6"/>
    <n v="177"/>
    <n v="0.25"/>
    <n v="0.55000000000000004"/>
    <n v="0.32"/>
    <n v="0.28999999999999998"/>
    <n v="0.94"/>
    <n v="0.98"/>
    <n v="0.05"/>
    <n v="0.56000000000000005"/>
    <n v="0.05"/>
    <n v="0.34"/>
  </r>
  <r>
    <x v="2"/>
    <x v="7"/>
    <x v="0"/>
    <n v="0.85"/>
    <n v="0.9"/>
    <n v="956"/>
    <n v="84"/>
    <n v="129"/>
    <n v="156"/>
    <n v="20"/>
    <n v="161"/>
    <n v="269"/>
    <n v="137"/>
    <n v="339"/>
    <n v="21"/>
    <n v="341"/>
    <n v="4"/>
    <n v="218"/>
    <n v="272"/>
    <n v="199"/>
    <n v="0.24"/>
    <n v="0.27"/>
    <n v="0.94"/>
    <n v="0.44"/>
    <n v="0.77"/>
    <n v="0.43"/>
    <n v="0.22"/>
    <n v="0.46"/>
    <n v="0.18"/>
    <n v="0.14000000000000001"/>
  </r>
  <r>
    <x v="2"/>
    <x v="8"/>
    <x v="0"/>
    <n v="0.69"/>
    <n v="0.8"/>
    <n v="1072"/>
    <n v="210"/>
    <n v="224"/>
    <n v="109"/>
    <n v="39"/>
    <n v="325"/>
    <n v="12"/>
    <n v="153"/>
    <n v="196"/>
    <n v="140"/>
    <n v="193"/>
    <n v="248"/>
    <n v="243"/>
    <n v="188"/>
    <n v="201"/>
    <n v="0.54"/>
    <n v="0.37"/>
    <n v="0.86"/>
    <n v="0.74"/>
    <n v="0.95"/>
    <n v="0.28000000000000003"/>
    <n v="0.23"/>
    <n v="0.42"/>
    <n v="0.15"/>
    <n v="0.2"/>
  </r>
  <r>
    <x v="2"/>
    <x v="9"/>
    <x v="0"/>
    <n v="0.64"/>
    <n v="0.87"/>
    <n v="1084"/>
    <n v="32"/>
    <n v="218"/>
    <n v="244"/>
    <n v="227"/>
    <n v="173"/>
    <n v="34"/>
    <n v="156"/>
    <n v="264"/>
    <n v="181"/>
    <n v="133"/>
    <n v="235"/>
    <n v="118"/>
    <n v="180"/>
    <n v="185"/>
    <n v="0.27"/>
    <n v="0.54"/>
    <n v="0.25"/>
    <n v="0.33"/>
    <n v="0.36"/>
    <n v="0.75"/>
    <n v="0.28999999999999998"/>
    <n v="0.28000000000000003"/>
    <n v="0.3"/>
    <n v="0.13"/>
  </r>
  <r>
    <x v="2"/>
    <x v="10"/>
    <x v="0"/>
    <n v="0.37"/>
    <n v="0.52"/>
    <n v="997"/>
    <n v="114"/>
    <n v="105"/>
    <n v="94"/>
    <n v="257"/>
    <n v="83"/>
    <n v="201"/>
    <n v="143"/>
    <n v="87"/>
    <n v="39"/>
    <n v="315"/>
    <n v="247"/>
    <n v="61"/>
    <n v="165"/>
    <n v="153"/>
    <n v="0.51"/>
    <n v="0.23"/>
    <n v="0.51"/>
    <n v="0.4"/>
    <n v="0.83"/>
    <n v="0.5"/>
    <n v="0.26"/>
    <n v="0.44"/>
    <n v="0.13"/>
    <n v="0.17"/>
  </r>
  <r>
    <x v="2"/>
    <x v="11"/>
    <x v="0"/>
    <n v="0.5"/>
    <n v="0.77"/>
    <n v="821"/>
    <n v="179"/>
    <n v="201"/>
    <n v="127"/>
    <n v="3"/>
    <n v="2"/>
    <n v="193"/>
    <n v="116"/>
    <n v="0"/>
    <n v="0"/>
    <n v="0"/>
    <n v="0"/>
    <n v="0"/>
    <n v="0"/>
    <n v="0"/>
    <n v="0.68"/>
    <n v="0.55000000000000004"/>
    <n v="0.35"/>
    <n v="0.44"/>
    <n v="0.88"/>
    <n v="0.25"/>
    <n v="0.12"/>
    <n v="0.55000000000000004"/>
    <n v="0.04"/>
    <n v="0.28999999999999998"/>
  </r>
  <r>
    <x v="0"/>
    <x v="0"/>
    <x v="1"/>
    <n v="0.77"/>
    <n v="0.75"/>
    <n v="0"/>
    <n v="0"/>
    <n v="0"/>
    <n v="0"/>
    <n v="0"/>
    <n v="0"/>
    <n v="0"/>
    <n v="0"/>
    <n v="1"/>
    <n v="0"/>
    <n v="1"/>
    <n v="1"/>
    <n v="1"/>
    <n v="1"/>
    <n v="2"/>
    <n v="0.7"/>
    <n v="0.85"/>
    <n v="0.3"/>
    <n v="0.5"/>
    <n v="0.3"/>
    <n v="0.35"/>
    <n v="7.0000000000000007E-2"/>
    <n v="0.55000000000000004"/>
    <n v="0.13"/>
    <n v="0.25"/>
  </r>
  <r>
    <x v="0"/>
    <x v="1"/>
    <x v="1"/>
    <n v="0.53"/>
    <n v="0.72"/>
    <n v="5"/>
    <n v="2"/>
    <n v="0"/>
    <n v="1"/>
    <n v="1"/>
    <n v="0"/>
    <n v="0"/>
    <n v="1"/>
    <n v="5"/>
    <n v="4"/>
    <n v="24"/>
    <n v="6"/>
    <n v="7"/>
    <n v="43"/>
    <n v="15"/>
    <n v="0.28000000000000003"/>
    <n v="0.43"/>
    <n v="0.7"/>
    <n v="0.26"/>
    <n v="0.75"/>
    <n v="0.2"/>
    <n v="7.0000000000000007E-2"/>
    <n v="0.27"/>
    <n v="0.28999999999999998"/>
    <n v="0.37"/>
  </r>
  <r>
    <x v="0"/>
    <x v="2"/>
    <x v="1"/>
    <n v="0.9"/>
    <n v="0.44"/>
    <n v="80"/>
    <n v="10"/>
    <n v="11"/>
    <n v="20"/>
    <n v="14"/>
    <n v="4"/>
    <n v="9"/>
    <n v="12"/>
    <n v="63"/>
    <n v="117"/>
    <n v="13"/>
    <n v="24"/>
    <n v="59"/>
    <n v="1"/>
    <n v="48"/>
    <n v="0.91"/>
    <n v="0.75"/>
    <n v="0.5"/>
    <n v="0.38"/>
    <n v="0.61"/>
    <n v="0.71"/>
    <n v="0.23"/>
    <n v="0.3"/>
    <n v="0.15"/>
    <n v="0.32"/>
  </r>
  <r>
    <x v="0"/>
    <x v="3"/>
    <x v="1"/>
    <n v="0.35"/>
    <n v="0.71"/>
    <n v="250"/>
    <n v="36"/>
    <n v="26"/>
    <n v="21"/>
    <n v="46"/>
    <n v="55"/>
    <n v="30"/>
    <n v="36"/>
    <n v="121"/>
    <n v="18"/>
    <n v="49"/>
    <n v="135"/>
    <n v="120"/>
    <n v="71"/>
    <n v="85"/>
    <n v="0.73"/>
    <n v="0.92"/>
    <n v="0.38"/>
    <n v="0.45"/>
    <n v="0.79"/>
    <n v="0.24"/>
    <n v="0.19"/>
    <n v="0.42"/>
    <n v="0.22"/>
    <n v="0.17"/>
  </r>
  <r>
    <x v="0"/>
    <x v="4"/>
    <x v="1"/>
    <n v="0.41"/>
    <n v="0.49"/>
    <n v="461"/>
    <n v="80"/>
    <n v="63"/>
    <n v="76"/>
    <n v="48"/>
    <n v="32"/>
    <n v="97"/>
    <n v="65"/>
    <n v="133"/>
    <n v="33"/>
    <n v="149"/>
    <n v="123"/>
    <n v="125"/>
    <n v="142"/>
    <n v="117"/>
    <n v="0.95"/>
    <n v="0.99"/>
    <n v="0.26"/>
    <n v="0.55000000000000004"/>
    <n v="0.91"/>
    <n v="0.93"/>
    <n v="0.15"/>
    <n v="0.43"/>
    <n v="0.16"/>
    <n v="0.26"/>
  </r>
  <r>
    <x v="0"/>
    <x v="5"/>
    <x v="1"/>
    <n v="0.83"/>
    <n v="0.79"/>
    <n v="632"/>
    <n v="91"/>
    <n v="135"/>
    <n v="138"/>
    <n v="78"/>
    <n v="73"/>
    <n v="25"/>
    <n v="92"/>
    <n v="169"/>
    <n v="197"/>
    <n v="4"/>
    <n v="247"/>
    <n v="79"/>
    <n v="131"/>
    <n v="138"/>
    <n v="0.82"/>
    <n v="0.64"/>
    <n v="0.72"/>
    <n v="0.91"/>
    <n v="0.78"/>
    <n v="0.49"/>
    <n v="0.25"/>
    <n v="0.37"/>
    <n v="0.18"/>
    <n v="0.2"/>
  </r>
  <r>
    <x v="0"/>
    <x v="6"/>
    <x v="1"/>
    <n v="0.64"/>
    <n v="0.72"/>
    <n v="742"/>
    <n v="11"/>
    <n v="177"/>
    <n v="172"/>
    <n v="105"/>
    <n v="12"/>
    <n v="159"/>
    <n v="106"/>
    <n v="29"/>
    <n v="149"/>
    <n v="3"/>
    <n v="235"/>
    <n v="223"/>
    <n v="177"/>
    <n v="137"/>
    <n v="0.51"/>
    <n v="0.77"/>
    <n v="0.62"/>
    <n v="0.84"/>
    <n v="0.5"/>
    <n v="0.93"/>
    <n v="0.22"/>
    <n v="0.44"/>
    <n v="0.22"/>
    <n v="0.12"/>
  </r>
  <r>
    <x v="0"/>
    <x v="7"/>
    <x v="1"/>
    <n v="0.82"/>
    <n v="0.48"/>
    <n v="733"/>
    <n v="148"/>
    <n v="201"/>
    <n v="31"/>
    <n v="76"/>
    <n v="147"/>
    <n v="26"/>
    <n v="104"/>
    <n v="104"/>
    <n v="33"/>
    <n v="128"/>
    <n v="89"/>
    <n v="167"/>
    <n v="137"/>
    <n v="109"/>
    <n v="0.69"/>
    <n v="0.88"/>
    <n v="0.38"/>
    <n v="0.56999999999999995"/>
    <n v="0.93"/>
    <n v="0.27"/>
    <n v="0.27"/>
    <n v="0.47"/>
    <n v="0.17"/>
    <n v="0.09"/>
  </r>
  <r>
    <x v="0"/>
    <x v="8"/>
    <x v="1"/>
    <n v="0.94"/>
    <n v="0.3"/>
    <n v="590"/>
    <n v="61"/>
    <n v="5"/>
    <n v="117"/>
    <n v="116"/>
    <n v="65"/>
    <n v="142"/>
    <n v="84"/>
    <n v="85"/>
    <n v="81"/>
    <n v="80"/>
    <n v="63"/>
    <n v="58"/>
    <n v="84"/>
    <n v="76"/>
    <n v="0.74"/>
    <n v="0.78"/>
    <n v="0.25"/>
    <n v="0.34"/>
    <n v="0.72"/>
    <n v="0.54"/>
    <n v="0.24"/>
    <n v="0.34"/>
    <n v="0.18"/>
    <n v="0.24"/>
  </r>
  <r>
    <x v="0"/>
    <x v="9"/>
    <x v="1"/>
    <n v="0.95"/>
    <n v="0.35"/>
    <n v="405"/>
    <n v="32"/>
    <n v="37"/>
    <n v="59"/>
    <n v="3"/>
    <n v="92"/>
    <n v="124"/>
    <n v="58"/>
    <n v="93"/>
    <n v="52"/>
    <n v="81"/>
    <n v="31"/>
    <n v="44"/>
    <n v="10"/>
    <n v="50"/>
    <n v="0.45"/>
    <n v="0.85"/>
    <n v="0.37"/>
    <n v="0.91"/>
    <n v="0.71"/>
    <n v="0.22"/>
    <n v="0.22"/>
    <n v="0.38"/>
    <n v="0.14000000000000001"/>
    <n v="0.26"/>
  </r>
  <r>
    <x v="0"/>
    <x v="10"/>
    <x v="1"/>
    <n v="0.66"/>
    <n v="0.72"/>
    <n v="278"/>
    <n v="26"/>
    <n v="72"/>
    <n v="12"/>
    <n v="22"/>
    <n v="56"/>
    <n v="50"/>
    <n v="40"/>
    <n v="50"/>
    <n v="27"/>
    <n v="40"/>
    <n v="23"/>
    <n v="48"/>
    <n v="43"/>
    <n v="38"/>
    <n v="0.79"/>
    <n v="0.92"/>
    <n v="0.81"/>
    <n v="0.88"/>
    <n v="0.47"/>
    <n v="0.65"/>
    <n v="0.12"/>
    <n v="0.51"/>
    <n v="0.21"/>
    <n v="0.16"/>
  </r>
  <r>
    <x v="0"/>
    <x v="11"/>
    <x v="1"/>
    <n v="0.59"/>
    <n v="0.67"/>
    <n v="207"/>
    <n v="17"/>
    <n v="51"/>
    <n v="46"/>
    <n v="26"/>
    <n v="34"/>
    <n v="2"/>
    <n v="31"/>
    <n v="80"/>
    <n v="93"/>
    <n v="83"/>
    <n v="76"/>
    <n v="104"/>
    <n v="66"/>
    <n v="84"/>
    <n v="0.96"/>
    <n v="0.3"/>
    <n v="0.45"/>
    <n v="0.45"/>
    <n v="0.63"/>
    <n v="0.22"/>
    <n v="0.24"/>
    <n v="0.44"/>
    <n v="0.26"/>
    <n v="0.06"/>
  </r>
  <r>
    <x v="1"/>
    <x v="0"/>
    <x v="1"/>
    <n v="0.73"/>
    <n v="0.8"/>
    <n v="451"/>
    <n v="18"/>
    <n v="112"/>
    <n v="91"/>
    <n v="2"/>
    <n v="120"/>
    <n v="43"/>
    <n v="65"/>
    <n v="157"/>
    <n v="127"/>
    <n v="9"/>
    <n v="173"/>
    <n v="98"/>
    <n v="134"/>
    <n v="117"/>
    <n v="0.91"/>
    <n v="0.62"/>
    <n v="0.2"/>
    <n v="0.39"/>
    <n v="0.67"/>
    <n v="0.38"/>
    <n v="0.21"/>
    <n v="0.5"/>
    <n v="0.18"/>
    <n v="0.11"/>
  </r>
  <r>
    <x v="1"/>
    <x v="1"/>
    <x v="1"/>
    <n v="0.76"/>
    <n v="0.54"/>
    <n v="627"/>
    <n v="15"/>
    <n v="170"/>
    <n v="7"/>
    <n v="137"/>
    <n v="96"/>
    <n v="112"/>
    <n v="90"/>
    <n v="131"/>
    <n v="256"/>
    <n v="9"/>
    <n v="237"/>
    <n v="3"/>
    <n v="160"/>
    <n v="132"/>
    <n v="0.42"/>
    <n v="0.49"/>
    <n v="0.54"/>
    <n v="0.3"/>
    <n v="0.34"/>
    <n v="0.64"/>
    <n v="0.35"/>
    <n v="0.32"/>
    <n v="0.08"/>
    <n v="0.25"/>
  </r>
  <r>
    <x v="1"/>
    <x v="2"/>
    <x v="1"/>
    <n v="0.96"/>
    <n v="0.51"/>
    <n v="714"/>
    <n v="36"/>
    <n v="75"/>
    <n v="104"/>
    <n v="131"/>
    <n v="176"/>
    <n v="90"/>
    <n v="102"/>
    <n v="52"/>
    <n v="4"/>
    <n v="178"/>
    <n v="77"/>
    <n v="307"/>
    <n v="163"/>
    <n v="132"/>
    <n v="0.3"/>
    <n v="0.88"/>
    <n v="0.42"/>
    <n v="0.45"/>
    <n v="0.41"/>
    <n v="0.57999999999999996"/>
    <n v="0.16"/>
    <n v="0.48"/>
    <n v="0.23"/>
    <n v="0.13"/>
  </r>
  <r>
    <x v="1"/>
    <x v="3"/>
    <x v="1"/>
    <n v="0.46"/>
    <n v="0.64"/>
    <n v="702"/>
    <n v="160"/>
    <n v="26"/>
    <n v="97"/>
    <n v="109"/>
    <n v="207"/>
    <n v="3"/>
    <n v="100"/>
    <n v="111"/>
    <n v="61"/>
    <n v="26"/>
    <n v="225"/>
    <n v="184"/>
    <n v="47"/>
    <n v="108"/>
    <n v="0.25"/>
    <n v="0.65"/>
    <n v="0.99"/>
    <n v="0.39"/>
    <n v="0.62"/>
    <n v="0.27"/>
    <n v="0.03"/>
    <n v="0.46"/>
    <n v="0.28000000000000003"/>
    <n v="0.23"/>
  </r>
  <r>
    <x v="1"/>
    <x v="4"/>
    <x v="1"/>
    <n v="0.32"/>
    <n v="0.72"/>
    <n v="586"/>
    <n v="58"/>
    <n v="133"/>
    <n v="138"/>
    <n v="37"/>
    <n v="63"/>
    <n v="74"/>
    <n v="83"/>
    <n v="93"/>
    <n v="51"/>
    <n v="77"/>
    <n v="119"/>
    <n v="108"/>
    <n v="138"/>
    <n v="97"/>
    <n v="0.53"/>
    <n v="0.96"/>
    <n v="0.62"/>
    <n v="0.31"/>
    <n v="0.73"/>
    <n v="0.82"/>
    <n v="0.04"/>
    <n v="0.38"/>
    <n v="0.28999999999999998"/>
    <n v="0.28999999999999998"/>
  </r>
  <r>
    <x v="1"/>
    <x v="5"/>
    <x v="1"/>
    <n v="0.72"/>
    <n v="0.85"/>
    <n v="525"/>
    <n v="5"/>
    <n v="123"/>
    <n v="63"/>
    <n v="70"/>
    <n v="54"/>
    <n v="135"/>
    <n v="75"/>
    <n v="63"/>
    <n v="108"/>
    <n v="90"/>
    <n v="146"/>
    <n v="57"/>
    <n v="150"/>
    <n v="101"/>
    <n v="0.6"/>
    <n v="0.56999999999999995"/>
    <n v="1"/>
    <n v="0.44"/>
    <n v="0.84"/>
    <n v="0.39"/>
    <n v="0.15"/>
    <n v="0.41"/>
    <n v="0.28999999999999998"/>
    <n v="0.15"/>
  </r>
  <r>
    <x v="1"/>
    <x v="6"/>
    <x v="1"/>
    <n v="0.35"/>
    <n v="0.61"/>
    <n v="550"/>
    <n v="55"/>
    <n v="185"/>
    <n v="48"/>
    <n v="24"/>
    <n v="104"/>
    <n v="56"/>
    <n v="78"/>
    <n v="77"/>
    <n v="124"/>
    <n v="94"/>
    <n v="96"/>
    <n v="165"/>
    <n v="147"/>
    <n v="116"/>
    <n v="0.75"/>
    <n v="0.55000000000000004"/>
    <n v="0.34"/>
    <n v="0.83"/>
    <n v="0.42"/>
    <n v="0.43"/>
    <n v="0.24"/>
    <n v="0.33"/>
    <n v="0.12"/>
    <n v="0.31"/>
  </r>
  <r>
    <x v="1"/>
    <x v="7"/>
    <x v="1"/>
    <n v="0.74"/>
    <n v="0.98"/>
    <n v="630"/>
    <n v="96"/>
    <n v="34"/>
    <n v="108"/>
    <n v="147"/>
    <n v="1"/>
    <n v="152"/>
    <n v="92"/>
    <n v="30"/>
    <n v="123"/>
    <n v="216"/>
    <n v="303"/>
    <n v="66"/>
    <n v="203"/>
    <n v="158"/>
    <n v="0.3"/>
    <n v="0.7"/>
    <n v="0.66"/>
    <n v="0.28000000000000003"/>
    <n v="0.85"/>
    <n v="0.28999999999999998"/>
    <n v="0.23"/>
    <n v="0.47"/>
    <n v="0.11"/>
    <n v="0.19"/>
  </r>
  <r>
    <x v="1"/>
    <x v="8"/>
    <x v="1"/>
    <n v="0.82"/>
    <n v="0.54"/>
    <n v="845"/>
    <n v="53"/>
    <n v="317"/>
    <n v="30"/>
    <n v="70"/>
    <n v="18"/>
    <n v="237"/>
    <n v="120"/>
    <n v="108"/>
    <n v="266"/>
    <n v="257"/>
    <n v="23"/>
    <n v="163"/>
    <n v="130"/>
    <n v="158"/>
    <n v="0.71"/>
    <n v="0.36"/>
    <n v="0.6"/>
    <n v="0.34"/>
    <n v="0.5"/>
    <n v="0.37"/>
    <n v="0.09"/>
    <n v="0.33"/>
    <n v="0.18"/>
    <n v="0.4"/>
  </r>
  <r>
    <x v="1"/>
    <x v="9"/>
    <x v="1"/>
    <n v="0.56000000000000005"/>
    <n v="0.45"/>
    <n v="850"/>
    <n v="70"/>
    <n v="210"/>
    <n v="62"/>
    <n v="18"/>
    <n v="206"/>
    <n v="164"/>
    <n v="120"/>
    <n v="116"/>
    <n v="74"/>
    <n v="129"/>
    <n v="180"/>
    <n v="179"/>
    <n v="112"/>
    <n v="133"/>
    <n v="0.8"/>
    <n v="0.63"/>
    <n v="0.72"/>
    <n v="0.39"/>
    <n v="0.45"/>
    <n v="0.28000000000000003"/>
    <n v="0.25"/>
    <n v="0.5"/>
    <n v="0.15"/>
    <n v="0.1"/>
  </r>
  <r>
    <x v="1"/>
    <x v="10"/>
    <x v="1"/>
    <n v="0.37"/>
    <n v="0.69"/>
    <n v="710"/>
    <n v="154"/>
    <n v="139"/>
    <n v="40"/>
    <n v="94"/>
    <n v="110"/>
    <n v="72"/>
    <n v="101"/>
    <n v="158"/>
    <n v="27"/>
    <n v="167"/>
    <n v="17"/>
    <n v="139"/>
    <n v="191"/>
    <n v="117"/>
    <n v="0.95"/>
    <n v="0.89"/>
    <n v="0.72"/>
    <n v="0.2"/>
    <n v="0.65"/>
    <n v="0.21"/>
    <n v="0.05"/>
    <n v="0.4"/>
    <n v="0.25"/>
    <n v="0.3"/>
  </r>
  <r>
    <x v="1"/>
    <x v="11"/>
    <x v="1"/>
    <n v="0.39"/>
    <n v="0.53"/>
    <n v="628"/>
    <n v="29"/>
    <n v="145"/>
    <n v="123"/>
    <n v="14"/>
    <n v="103"/>
    <n v="124"/>
    <n v="90"/>
    <n v="206"/>
    <n v="179"/>
    <n v="53"/>
    <n v="209"/>
    <n v="116"/>
    <n v="104"/>
    <n v="144"/>
    <n v="0.36"/>
    <n v="0.31"/>
    <n v="0.38"/>
    <n v="0.97"/>
    <n v="0.4"/>
    <n v="0.22"/>
    <n v="0.11"/>
    <n v="0.42"/>
    <n v="0.24"/>
    <n v="0.23"/>
  </r>
  <r>
    <x v="2"/>
    <x v="0"/>
    <x v="1"/>
    <n v="0.34"/>
    <n v="0.52"/>
    <n v="778"/>
    <n v="216"/>
    <n v="42"/>
    <n v="95"/>
    <n v="82"/>
    <n v="91"/>
    <n v="141"/>
    <n v="111"/>
    <n v="182"/>
    <n v="77"/>
    <n v="219"/>
    <n v="15"/>
    <n v="237"/>
    <n v="66"/>
    <n v="134"/>
    <n v="0.73"/>
    <n v="0.38"/>
    <n v="1"/>
    <n v="0.53"/>
    <n v="0.76"/>
    <n v="0.76"/>
    <n v="0.17"/>
    <n v="0.48"/>
    <n v="0.12"/>
    <n v="0.23"/>
  </r>
  <r>
    <x v="2"/>
    <x v="1"/>
    <x v="1"/>
    <n v="0.56999999999999995"/>
    <n v="0.65"/>
    <n v="715"/>
    <n v="110"/>
    <n v="148"/>
    <n v="127"/>
    <n v="38"/>
    <n v="129"/>
    <n v="62"/>
    <n v="101"/>
    <n v="86"/>
    <n v="122"/>
    <n v="115"/>
    <n v="45"/>
    <n v="138"/>
    <n v="150"/>
    <n v="110"/>
    <n v="0.33"/>
    <n v="0.73"/>
    <n v="0.99"/>
    <n v="1"/>
    <n v="0.68"/>
    <n v="0.24"/>
    <n v="0.09"/>
    <n v="0.34"/>
    <n v="0.38"/>
    <n v="0.19"/>
  </r>
  <r>
    <x v="2"/>
    <x v="2"/>
    <x v="1"/>
    <n v="0.42"/>
    <n v="0.5"/>
    <n v="589"/>
    <n v="106"/>
    <n v="79"/>
    <n v="80"/>
    <n v="58"/>
    <n v="125"/>
    <n v="56"/>
    <n v="85"/>
    <n v="225"/>
    <n v="27"/>
    <n v="38"/>
    <n v="56"/>
    <n v="215"/>
    <n v="183"/>
    <n v="124"/>
    <n v="0.47"/>
    <n v="0.84"/>
    <n v="0.62"/>
    <n v="0.57999999999999996"/>
    <n v="0.94"/>
    <n v="0.74"/>
    <n v="0.16"/>
    <n v="0.42"/>
    <n v="0.34"/>
    <n v="0.08"/>
  </r>
  <r>
    <x v="2"/>
    <x v="3"/>
    <x v="1"/>
    <n v="0.42"/>
    <n v="0.76"/>
    <n v="668"/>
    <n v="100"/>
    <n v="16"/>
    <n v="33"/>
    <n v="201"/>
    <n v="168"/>
    <n v="55"/>
    <n v="95"/>
    <n v="88"/>
    <n v="53"/>
    <n v="310"/>
    <n v="16"/>
    <n v="20"/>
    <n v="259"/>
    <n v="125"/>
    <n v="0.35"/>
    <n v="0.21"/>
    <n v="0.92"/>
    <n v="0.35"/>
    <n v="0.96"/>
    <n v="0.78"/>
    <n v="0.36"/>
    <n v="0.39"/>
    <n v="0.23"/>
    <n v="0.02"/>
  </r>
  <r>
    <x v="2"/>
    <x v="4"/>
    <x v="1"/>
    <n v="0.53"/>
    <n v="0.59"/>
    <n v="670"/>
    <n v="67"/>
    <n v="142"/>
    <n v="49"/>
    <n v="217"/>
    <n v="12"/>
    <n v="87"/>
    <n v="96"/>
    <n v="130"/>
    <n v="2"/>
    <n v="36"/>
    <n v="302"/>
    <n v="42"/>
    <n v="143"/>
    <n v="109"/>
    <n v="0.83"/>
    <n v="0.71"/>
    <n v="0.82"/>
    <n v="0.72"/>
    <n v="0.69"/>
    <n v="0.92"/>
    <n v="0.23"/>
    <n v="0.42"/>
    <n v="0.03"/>
    <n v="0.32"/>
  </r>
  <r>
    <x v="2"/>
    <x v="5"/>
    <x v="1"/>
    <n v="0.9"/>
    <n v="0.97"/>
    <n v="588"/>
    <n v="16"/>
    <n v="117"/>
    <n v="55"/>
    <n v="88"/>
    <n v="128"/>
    <n v="100"/>
    <n v="84"/>
    <n v="33"/>
    <n v="38"/>
    <n v="193"/>
    <n v="163"/>
    <n v="33"/>
    <n v="135"/>
    <n v="99"/>
    <n v="0.43"/>
    <n v="0.59"/>
    <n v="0.95"/>
    <n v="0.87"/>
    <n v="0.52"/>
    <n v="0.45"/>
    <n v="0.08"/>
    <n v="0.31"/>
    <n v="0.38"/>
    <n v="0.23"/>
  </r>
  <r>
    <x v="2"/>
    <x v="6"/>
    <x v="1"/>
    <n v="0.71"/>
    <n v="0.65"/>
    <n v="534"/>
    <n v="105"/>
    <n v="75"/>
    <n v="56"/>
    <n v="46"/>
    <n v="72"/>
    <n v="105"/>
    <n v="75"/>
    <n v="82"/>
    <n v="9"/>
    <n v="120"/>
    <n v="163"/>
    <n v="108"/>
    <n v="160"/>
    <n v="107"/>
    <n v="0.56999999999999995"/>
    <n v="0.8"/>
    <n v="0.78"/>
    <n v="0.31"/>
    <n v="0.4"/>
    <n v="0.56999999999999995"/>
    <n v="0.28000000000000003"/>
    <n v="0.28000000000000003"/>
    <n v="0.28000000000000003"/>
    <n v="0.16"/>
  </r>
  <r>
    <x v="2"/>
    <x v="7"/>
    <x v="1"/>
    <n v="0.51"/>
    <n v="0.75"/>
    <n v="576"/>
    <n v="89"/>
    <n v="12"/>
    <n v="114"/>
    <n v="73"/>
    <n v="149"/>
    <n v="56"/>
    <n v="83"/>
    <n v="10"/>
    <n v="194"/>
    <n v="51"/>
    <n v="112"/>
    <n v="175"/>
    <n v="220"/>
    <n v="127"/>
    <n v="0.44"/>
    <n v="0.43"/>
    <n v="0.7"/>
    <n v="0.4"/>
    <n v="0.92"/>
    <n v="0.9"/>
    <n v="0.11"/>
    <n v="0.55000000000000004"/>
    <n v="0.2"/>
    <n v="0.14000000000000001"/>
  </r>
  <r>
    <x v="2"/>
    <x v="8"/>
    <x v="1"/>
    <n v="0.55000000000000004"/>
    <n v="0.86"/>
    <n v="684"/>
    <n v="17"/>
    <n v="60"/>
    <n v="141"/>
    <n v="77"/>
    <n v="141"/>
    <n v="151"/>
    <n v="97"/>
    <n v="111"/>
    <n v="203"/>
    <n v="205"/>
    <n v="158"/>
    <n v="134"/>
    <n v="9"/>
    <n v="137"/>
    <n v="0.89"/>
    <n v="0.62"/>
    <n v="0.76"/>
    <n v="0.5"/>
    <n v="0.56999999999999995"/>
    <n v="0.87"/>
    <n v="0.13"/>
    <n v="0.51"/>
    <n v="0.28000000000000003"/>
    <n v="0.08"/>
  </r>
  <r>
    <x v="2"/>
    <x v="9"/>
    <x v="1"/>
    <n v="0.31"/>
    <n v="0.84"/>
    <n v="736"/>
    <n v="131"/>
    <n v="119"/>
    <n v="89"/>
    <n v="124"/>
    <n v="125"/>
    <n v="43"/>
    <n v="105"/>
    <n v="264"/>
    <n v="76"/>
    <n v="49"/>
    <n v="277"/>
    <n v="93"/>
    <n v="32"/>
    <n v="132"/>
    <n v="0.28000000000000003"/>
    <n v="0.72"/>
    <n v="0.68"/>
    <n v="0.87"/>
    <n v="0.98"/>
    <n v="0.96"/>
    <n v="0.34"/>
    <n v="0.33"/>
    <n v="0.25"/>
    <n v="0.08"/>
  </r>
  <r>
    <x v="2"/>
    <x v="10"/>
    <x v="1"/>
    <n v="0.63"/>
    <n v="0.66"/>
    <n v="710"/>
    <n v="218"/>
    <n v="53"/>
    <n v="171"/>
    <n v="149"/>
    <n v="2"/>
    <n v="16"/>
    <n v="101"/>
    <n v="49"/>
    <n v="45"/>
    <n v="230"/>
    <n v="55"/>
    <n v="199"/>
    <n v="121"/>
    <n v="117"/>
    <n v="0.41"/>
    <n v="0.67"/>
    <n v="0.88"/>
    <n v="0.69"/>
    <n v="0.71"/>
    <n v="0.63"/>
    <n v="0.2"/>
    <n v="0.43"/>
    <n v="0.12"/>
    <n v="0.25"/>
  </r>
  <r>
    <x v="2"/>
    <x v="11"/>
    <x v="1"/>
    <n v="0.64"/>
    <n v="0.52"/>
    <n v="628"/>
    <n v="134"/>
    <n v="12"/>
    <n v="82"/>
    <n v="95"/>
    <n v="106"/>
    <n v="109"/>
    <n v="90"/>
    <n v="0"/>
    <n v="0"/>
    <n v="0"/>
    <n v="0"/>
    <n v="0"/>
    <n v="0"/>
    <n v="0"/>
    <n v="0.86"/>
    <n v="0.32"/>
    <n v="0.27"/>
    <n v="0.9"/>
    <n v="0.96"/>
    <n v="0.8"/>
    <n v="0.17"/>
    <n v="0.45"/>
    <n v="0.19"/>
    <n v="0.19"/>
  </r>
  <r>
    <x v="0"/>
    <x v="0"/>
    <x v="2"/>
    <n v="0.65"/>
    <n v="0.5"/>
    <n v="0"/>
    <n v="0"/>
    <n v="0"/>
    <n v="0"/>
    <n v="0"/>
    <n v="0"/>
    <n v="0"/>
    <n v="0"/>
    <n v="0"/>
    <n v="0"/>
    <n v="0"/>
    <n v="0"/>
    <n v="0"/>
    <n v="0"/>
    <n v="0"/>
    <n v="0.4"/>
    <n v="0.5"/>
    <n v="0.45"/>
    <n v="0.55000000000000004"/>
    <n v="0.1"/>
    <n v="0.25"/>
    <n v="0.19"/>
    <n v="0.5"/>
    <n v="0.02"/>
    <n v="0.28999999999999998"/>
  </r>
  <r>
    <x v="0"/>
    <x v="1"/>
    <x v="2"/>
    <n v="0.73"/>
    <n v="0.47"/>
    <n v="0"/>
    <n v="0"/>
    <n v="0"/>
    <n v="0"/>
    <n v="0"/>
    <n v="0"/>
    <n v="0"/>
    <n v="0"/>
    <n v="1"/>
    <n v="1"/>
    <n v="1"/>
    <n v="1"/>
    <n v="2"/>
    <n v="2"/>
    <n v="1"/>
    <n v="0.33"/>
    <n v="0.31"/>
    <n v="0.33"/>
    <n v="0.37"/>
    <n v="1"/>
    <n v="0.51"/>
    <n v="0.14000000000000001"/>
    <n v="0.26"/>
    <n v="0.23"/>
    <n v="0.37"/>
  </r>
  <r>
    <x v="0"/>
    <x v="2"/>
    <x v="2"/>
    <n v="0.83"/>
    <n v="0.74"/>
    <n v="7"/>
    <n v="1"/>
    <n v="1"/>
    <n v="0"/>
    <n v="1"/>
    <n v="1"/>
    <n v="0"/>
    <n v="3"/>
    <n v="4"/>
    <n v="10"/>
    <n v="18"/>
    <n v="12"/>
    <n v="1"/>
    <n v="3"/>
    <n v="7"/>
    <n v="0.43"/>
    <n v="0.53"/>
    <n v="0.9"/>
    <n v="0.81"/>
    <n v="0.54"/>
    <n v="0.43"/>
    <n v="0.23"/>
    <n v="0.48"/>
    <n v="0.19"/>
    <n v="0.1"/>
  </r>
  <r>
    <x v="0"/>
    <x v="3"/>
    <x v="2"/>
    <n v="0.57999999999999996"/>
    <n v="0.81"/>
    <n v="42"/>
    <n v="8"/>
    <n v="6"/>
    <n v="5"/>
    <n v="9"/>
    <n v="0"/>
    <n v="9"/>
    <n v="5"/>
    <n v="3"/>
    <n v="6"/>
    <n v="23"/>
    <n v="19"/>
    <n v="30"/>
    <n v="8"/>
    <n v="15"/>
    <n v="0.4"/>
    <n v="0.65"/>
    <n v="0.25"/>
    <n v="0.82"/>
    <n v="0.56000000000000005"/>
    <n v="0.95"/>
    <n v="0.12"/>
    <n v="0.27"/>
    <n v="0.26"/>
    <n v="0.35"/>
  </r>
  <r>
    <x v="0"/>
    <x v="4"/>
    <x v="2"/>
    <n v="0.4"/>
    <n v="0.81"/>
    <n v="80"/>
    <n v="7"/>
    <n v="10"/>
    <n v="17"/>
    <n v="10"/>
    <n v="7"/>
    <n v="16"/>
    <n v="13"/>
    <n v="36"/>
    <n v="25"/>
    <n v="28"/>
    <n v="28"/>
    <n v="19"/>
    <n v="6"/>
    <n v="24"/>
    <n v="0.56000000000000005"/>
    <n v="0.69"/>
    <n v="0.52"/>
    <n v="0.61"/>
    <n v="0.56000000000000005"/>
    <n v="0.23"/>
    <n v="0.28000000000000003"/>
    <n v="0.39"/>
    <n v="0.05"/>
    <n v="0.28000000000000003"/>
  </r>
  <r>
    <x v="0"/>
    <x v="5"/>
    <x v="2"/>
    <n v="0.78"/>
    <n v="0.5"/>
    <n v="128"/>
    <n v="20"/>
    <n v="2"/>
    <n v="21"/>
    <n v="35"/>
    <n v="28"/>
    <n v="5"/>
    <n v="17"/>
    <n v="60"/>
    <n v="67"/>
    <n v="46"/>
    <n v="20"/>
    <n v="40"/>
    <n v="18"/>
    <n v="43"/>
    <n v="0.41"/>
    <n v="0.88"/>
    <n v="0.61"/>
    <n v="0.79"/>
    <n v="0.85"/>
    <n v="0.89"/>
    <n v="0.27"/>
    <n v="0.26"/>
    <n v="0.44"/>
    <n v="0.03"/>
  </r>
  <r>
    <x v="0"/>
    <x v="6"/>
    <x v="2"/>
    <n v="0.46"/>
    <n v="0.66"/>
    <n v="226"/>
    <n v="18"/>
    <n v="20"/>
    <n v="49"/>
    <n v="55"/>
    <n v="26"/>
    <n v="25"/>
    <n v="33"/>
    <n v="19"/>
    <n v="160"/>
    <n v="121"/>
    <n v="22"/>
    <n v="44"/>
    <n v="13"/>
    <n v="64"/>
    <n v="0.66"/>
    <n v="0.34"/>
    <n v="0.66"/>
    <n v="0.86"/>
    <n v="0.95"/>
    <n v="0.94"/>
    <n v="0.27"/>
    <n v="0.49"/>
    <n v="0.12"/>
    <n v="0.12"/>
  </r>
  <r>
    <x v="0"/>
    <x v="7"/>
    <x v="2"/>
    <n v="0.82"/>
    <n v="0.99"/>
    <n v="341"/>
    <n v="125"/>
    <n v="23"/>
    <n v="4"/>
    <n v="55"/>
    <n v="6"/>
    <n v="80"/>
    <n v="48"/>
    <n v="19"/>
    <n v="94"/>
    <n v="183"/>
    <n v="15"/>
    <n v="125"/>
    <n v="30"/>
    <n v="79"/>
    <n v="0.57999999999999996"/>
    <n v="0.25"/>
    <n v="0.93"/>
    <n v="0.55000000000000004"/>
    <n v="0.91"/>
    <n v="0.56000000000000005"/>
    <n v="0.18"/>
    <n v="0.26"/>
    <n v="0.34"/>
    <n v="0.22"/>
  </r>
  <r>
    <x v="0"/>
    <x v="8"/>
    <x v="2"/>
    <n v="0.45"/>
    <n v="0.98"/>
    <n v="419"/>
    <n v="62"/>
    <n v="77"/>
    <n v="75"/>
    <n v="96"/>
    <n v="37"/>
    <n v="11"/>
    <n v="61"/>
    <n v="78"/>
    <n v="103"/>
    <n v="31"/>
    <n v="55"/>
    <n v="72"/>
    <n v="75"/>
    <n v="67"/>
    <n v="0.5"/>
    <n v="0.6"/>
    <n v="0.42"/>
    <n v="0.48"/>
    <n v="0.93"/>
    <n v="0.5"/>
    <n v="0.06"/>
    <n v="0.49"/>
    <n v="0.22"/>
    <n v="0.23"/>
  </r>
  <r>
    <x v="0"/>
    <x v="9"/>
    <x v="2"/>
    <n v="0.68"/>
    <n v="0.6"/>
    <n v="370"/>
    <n v="46"/>
    <n v="18"/>
    <n v="65"/>
    <n v="86"/>
    <n v="17"/>
    <n v="87"/>
    <n v="51"/>
    <n v="23"/>
    <n v="54"/>
    <n v="7"/>
    <n v="51"/>
    <n v="110"/>
    <n v="24"/>
    <n v="46"/>
    <n v="0.45"/>
    <n v="0.49"/>
    <n v="0.59"/>
    <n v="0.2"/>
    <n v="0.84"/>
    <n v="0.21"/>
    <n v="0.11"/>
    <n v="0.64"/>
    <n v="0.09"/>
    <n v="0.16"/>
  </r>
  <r>
    <x v="0"/>
    <x v="10"/>
    <x v="2"/>
    <n v="0.51"/>
    <n v="0.68"/>
    <n v="242"/>
    <n v="51"/>
    <n v="20"/>
    <n v="49"/>
    <n v="53"/>
    <n v="10"/>
    <n v="24"/>
    <n v="35"/>
    <n v="20"/>
    <n v="58"/>
    <n v="57"/>
    <n v="34"/>
    <n v="1"/>
    <n v="4"/>
    <n v="28"/>
    <n v="0.93"/>
    <n v="0.54"/>
    <n v="0.3"/>
    <n v="0.35"/>
    <n v="0.42"/>
    <n v="0.68"/>
    <n v="0.04"/>
    <n v="0.61"/>
    <n v="0.3"/>
    <n v="0.05"/>
  </r>
  <r>
    <x v="0"/>
    <x v="11"/>
    <x v="2"/>
    <n v="0.38"/>
    <n v="0.65"/>
    <n v="155"/>
    <n v="32"/>
    <n v="30"/>
    <n v="4"/>
    <n v="20"/>
    <n v="35"/>
    <n v="12"/>
    <n v="22"/>
    <n v="84"/>
    <n v="38"/>
    <n v="55"/>
    <n v="16"/>
    <n v="96"/>
    <n v="109"/>
    <n v="67"/>
    <n v="0.89"/>
    <n v="0.73"/>
    <n v="0.96"/>
    <n v="0.86"/>
    <n v="0.44"/>
    <n v="0.66"/>
    <n v="0.14000000000000001"/>
    <n v="0.42"/>
    <n v="0.19"/>
    <n v="0.25"/>
  </r>
  <r>
    <x v="1"/>
    <x v="0"/>
    <x v="2"/>
    <n v="0.52"/>
    <n v="0.86"/>
    <n v="358"/>
    <n v="78"/>
    <n v="28"/>
    <n v="43"/>
    <n v="53"/>
    <n v="76"/>
    <n v="29"/>
    <n v="51"/>
    <n v="60"/>
    <n v="143"/>
    <n v="104"/>
    <n v="45"/>
    <n v="65"/>
    <n v="74"/>
    <n v="81"/>
    <n v="0.32"/>
    <n v="0.77"/>
    <n v="0.4"/>
    <n v="0.26"/>
    <n v="0.35"/>
    <n v="0.94"/>
    <n v="0.13"/>
    <n v="0.42"/>
    <n v="0.23"/>
    <n v="0.22"/>
  </r>
  <r>
    <x v="1"/>
    <x v="1"/>
    <x v="2"/>
    <n v="0.8"/>
    <n v="0.89"/>
    <n v="440"/>
    <n v="69"/>
    <n v="92"/>
    <n v="37"/>
    <n v="55"/>
    <n v="108"/>
    <n v="16"/>
    <n v="63"/>
    <n v="160"/>
    <n v="111"/>
    <n v="68"/>
    <n v="16"/>
    <n v="89"/>
    <n v="75"/>
    <n v="87"/>
    <n v="0.74"/>
    <n v="0.62"/>
    <n v="0.36"/>
    <n v="0.96"/>
    <n v="0.36"/>
    <n v="0.55000000000000004"/>
    <n v="0.2"/>
    <n v="0.38"/>
    <n v="0.15"/>
    <n v="0.27"/>
  </r>
  <r>
    <x v="1"/>
    <x v="2"/>
    <x v="2"/>
    <n v="0.85"/>
    <n v="0.47"/>
    <n v="466"/>
    <n v="114"/>
    <n v="56"/>
    <n v="66"/>
    <n v="80"/>
    <n v="74"/>
    <n v="8"/>
    <n v="68"/>
    <n v="125"/>
    <n v="62"/>
    <n v="26"/>
    <n v="19"/>
    <n v="20"/>
    <n v="210"/>
    <n v="76"/>
    <n v="0.59"/>
    <n v="0.33"/>
    <n v="0.86"/>
    <n v="0.46"/>
    <n v="0.24"/>
    <n v="0.94"/>
    <n v="0.14000000000000001"/>
    <n v="0.52"/>
    <n v="0.28000000000000003"/>
    <n v="0.06"/>
  </r>
  <r>
    <x v="1"/>
    <x v="3"/>
    <x v="2"/>
    <n v="0.51"/>
    <n v="0.59"/>
    <n v="414"/>
    <n v="68"/>
    <n v="48"/>
    <n v="19"/>
    <n v="96"/>
    <n v="100"/>
    <n v="23"/>
    <n v="60"/>
    <n v="34"/>
    <n v="91"/>
    <n v="94"/>
    <n v="0"/>
    <n v="27"/>
    <n v="95"/>
    <n v="57"/>
    <n v="0.47"/>
    <n v="0.59"/>
    <n v="0.82"/>
    <n v="0.49"/>
    <n v="0.81"/>
    <n v="0.66"/>
    <n v="0.17"/>
    <n v="0.57999999999999996"/>
    <n v="0.12"/>
    <n v="0.13"/>
  </r>
  <r>
    <x v="1"/>
    <x v="4"/>
    <x v="2"/>
    <n v="0.79"/>
    <n v="0.63"/>
    <n v="306"/>
    <n v="62"/>
    <n v="30"/>
    <n v="0"/>
    <n v="77"/>
    <n v="67"/>
    <n v="27"/>
    <n v="43"/>
    <n v="42"/>
    <n v="81"/>
    <n v="59"/>
    <n v="50"/>
    <n v="26"/>
    <n v="36"/>
    <n v="49"/>
    <n v="0.83"/>
    <n v="0.83"/>
    <n v="0.39"/>
    <n v="0.83"/>
    <n v="0.6"/>
    <n v="0.59"/>
    <n v="0.13"/>
    <n v="0.45"/>
    <n v="0.2"/>
    <n v="0.22"/>
  </r>
  <r>
    <x v="1"/>
    <x v="5"/>
    <x v="2"/>
    <n v="0.4"/>
    <n v="0.54"/>
    <n v="264"/>
    <n v="47"/>
    <n v="28"/>
    <n v="50"/>
    <n v="6"/>
    <n v="64"/>
    <n v="31"/>
    <n v="38"/>
    <n v="29"/>
    <n v="26"/>
    <n v="76"/>
    <n v="67"/>
    <n v="80"/>
    <n v="76"/>
    <n v="59"/>
    <n v="0.99"/>
    <n v="0.46"/>
    <n v="0.25"/>
    <n v="0.38"/>
    <n v="0.54"/>
    <n v="0.39"/>
    <n v="0.13"/>
    <n v="0.49"/>
    <n v="0.09"/>
    <n v="0.28999999999999998"/>
  </r>
  <r>
    <x v="1"/>
    <x v="6"/>
    <x v="2"/>
    <n v="0.36"/>
    <n v="0.87"/>
    <n v="318"/>
    <n v="65"/>
    <n v="21"/>
    <n v="8"/>
    <n v="65"/>
    <n v="66"/>
    <n v="48"/>
    <n v="45"/>
    <n v="83"/>
    <n v="89"/>
    <n v="35"/>
    <n v="70"/>
    <n v="42"/>
    <n v="128"/>
    <n v="73"/>
    <n v="0.46"/>
    <n v="0.4"/>
    <n v="0.32"/>
    <n v="0.79"/>
    <n v="0.26"/>
    <n v="0.73"/>
    <n v="0.22"/>
    <n v="0.43"/>
    <n v="0.13"/>
    <n v="0.22"/>
  </r>
  <r>
    <x v="1"/>
    <x v="7"/>
    <x v="2"/>
    <n v="0.62"/>
    <n v="0.82"/>
    <n v="400"/>
    <n v="10"/>
    <n v="120"/>
    <n v="56"/>
    <n v="78"/>
    <n v="48"/>
    <n v="31"/>
    <n v="57"/>
    <n v="114"/>
    <n v="45"/>
    <n v="105"/>
    <n v="105"/>
    <n v="64"/>
    <n v="9"/>
    <n v="75"/>
    <n v="0.34"/>
    <n v="0.6"/>
    <n v="0.51"/>
    <n v="0.49"/>
    <n v="0.24"/>
    <n v="0.85"/>
    <n v="0.23"/>
    <n v="0.47"/>
    <n v="0.03"/>
    <n v="0.27"/>
  </r>
  <r>
    <x v="1"/>
    <x v="8"/>
    <x v="2"/>
    <n v="0.98"/>
    <n v="0.72"/>
    <n v="398"/>
    <n v="83"/>
    <n v="113"/>
    <n v="47"/>
    <n v="0"/>
    <n v="39"/>
    <n v="59"/>
    <n v="57"/>
    <n v="92"/>
    <n v="26"/>
    <n v="120"/>
    <n v="55"/>
    <n v="43"/>
    <n v="19"/>
    <n v="60"/>
    <n v="0.22"/>
    <n v="0.69"/>
    <n v="0.91"/>
    <n v="1"/>
    <n v="0.49"/>
    <n v="0.73"/>
    <n v="0.28999999999999998"/>
    <n v="0.31"/>
    <n v="0.28999999999999998"/>
    <n v="0.11"/>
  </r>
  <r>
    <x v="1"/>
    <x v="9"/>
    <x v="2"/>
    <n v="0.41"/>
    <n v="0.32"/>
    <n v="319"/>
    <n v="45"/>
    <n v="57"/>
    <n v="65"/>
    <n v="43"/>
    <n v="54"/>
    <n v="9"/>
    <n v="46"/>
    <n v="79"/>
    <n v="131"/>
    <n v="124"/>
    <n v="79"/>
    <n v="66"/>
    <n v="17"/>
    <n v="83"/>
    <n v="0.85"/>
    <n v="0.94"/>
    <n v="0.67"/>
    <n v="0.57999999999999996"/>
    <n v="0.31"/>
    <n v="0.33"/>
    <n v="0.06"/>
    <n v="0.73"/>
    <n v="0.04"/>
    <n v="0.17"/>
  </r>
  <r>
    <x v="1"/>
    <x v="10"/>
    <x v="2"/>
    <n v="0.7"/>
    <n v="0.78"/>
    <n v="445"/>
    <n v="109"/>
    <n v="105"/>
    <n v="19"/>
    <n v="52"/>
    <n v="68"/>
    <n v="29"/>
    <n v="63"/>
    <n v="92"/>
    <n v="87"/>
    <n v="110"/>
    <n v="87"/>
    <n v="129"/>
    <n v="61"/>
    <n v="94"/>
    <n v="0.97"/>
    <n v="0.84"/>
    <n v="0.52"/>
    <n v="0.32"/>
    <n v="0.26"/>
    <n v="0.39"/>
    <n v="7.0000000000000007E-2"/>
    <n v="0.56999999999999995"/>
    <n v="0.19"/>
    <n v="0.17"/>
  </r>
  <r>
    <x v="1"/>
    <x v="11"/>
    <x v="2"/>
    <n v="0.82"/>
    <n v="0.87"/>
    <n v="508"/>
    <n v="86"/>
    <n v="22"/>
    <n v="85"/>
    <n v="62"/>
    <n v="92"/>
    <n v="89"/>
    <n v="72"/>
    <n v="118"/>
    <n v="107"/>
    <n v="50"/>
    <n v="135"/>
    <n v="42"/>
    <n v="141"/>
    <n v="99"/>
    <n v="0.86"/>
    <n v="0.91"/>
    <n v="0.41"/>
    <n v="0.68"/>
    <n v="0.45"/>
    <n v="0.95"/>
    <n v="0.27"/>
    <n v="0.48"/>
    <n v="0.1"/>
    <n v="0.15"/>
  </r>
  <r>
    <x v="2"/>
    <x v="0"/>
    <x v="2"/>
    <n v="0.38"/>
    <n v="0.56999999999999995"/>
    <n v="532"/>
    <n v="175"/>
    <n v="20"/>
    <n v="68"/>
    <n v="84"/>
    <n v="38"/>
    <n v="71"/>
    <n v="76"/>
    <n v="47"/>
    <n v="59"/>
    <n v="129"/>
    <n v="55"/>
    <n v="111"/>
    <n v="3"/>
    <n v="69"/>
    <n v="0.82"/>
    <n v="0.33"/>
    <n v="0.91"/>
    <n v="0.77"/>
    <n v="0.56999999999999995"/>
    <n v="0.65"/>
    <n v="0.23"/>
    <n v="0.33"/>
    <n v="0.22"/>
    <n v="0.22"/>
  </r>
  <r>
    <x v="2"/>
    <x v="1"/>
    <x v="2"/>
    <n v="0.78"/>
    <n v="0.78"/>
    <n v="364"/>
    <n v="42"/>
    <n v="41"/>
    <n v="72"/>
    <n v="67"/>
    <n v="14"/>
    <n v="77"/>
    <n v="51"/>
    <n v="67"/>
    <n v="9"/>
    <n v="130"/>
    <n v="39"/>
    <n v="7"/>
    <n v="71"/>
    <n v="53"/>
    <n v="0.42"/>
    <n v="0.61"/>
    <n v="0.59"/>
    <n v="0.96"/>
    <n v="0.44"/>
    <n v="1"/>
    <n v="0.08"/>
    <n v="0.67"/>
    <n v="0.13"/>
    <n v="0.12"/>
  </r>
  <r>
    <x v="2"/>
    <x v="2"/>
    <x v="2"/>
    <n v="0.95"/>
    <n v="0.38"/>
    <n v="289"/>
    <n v="70"/>
    <n v="54"/>
    <n v="27"/>
    <n v="22"/>
    <n v="42"/>
    <n v="33"/>
    <n v="41"/>
    <n v="61"/>
    <n v="44"/>
    <n v="59"/>
    <n v="33"/>
    <n v="66"/>
    <n v="67"/>
    <n v="54"/>
    <n v="0.33"/>
    <n v="0.63"/>
    <n v="0.49"/>
    <n v="0.42"/>
    <n v="1"/>
    <n v="0.3"/>
    <n v="0.17"/>
    <n v="0.61"/>
    <n v="0.06"/>
    <n v="0.16"/>
  </r>
  <r>
    <x v="2"/>
    <x v="3"/>
    <x v="2"/>
    <n v="0.65"/>
    <n v="0.88"/>
    <n v="295"/>
    <n v="61"/>
    <n v="28"/>
    <n v="56"/>
    <n v="13"/>
    <n v="45"/>
    <n v="50"/>
    <n v="42"/>
    <n v="83"/>
    <n v="32"/>
    <n v="48"/>
    <n v="106"/>
    <n v="24"/>
    <n v="92"/>
    <n v="65"/>
    <n v="0.76"/>
    <n v="0.62"/>
    <n v="0.24"/>
    <n v="0.46"/>
    <n v="0.81"/>
    <n v="0.62"/>
    <n v="0.12"/>
    <n v="0.5"/>
    <n v="0.12"/>
    <n v="0.26"/>
  </r>
  <r>
    <x v="2"/>
    <x v="4"/>
    <x v="2"/>
    <n v="0.81"/>
    <n v="0.84"/>
    <n v="346"/>
    <n v="54"/>
    <n v="23"/>
    <n v="50"/>
    <n v="12"/>
    <n v="75"/>
    <n v="82"/>
    <n v="50"/>
    <n v="116"/>
    <n v="80"/>
    <n v="8"/>
    <n v="82"/>
    <n v="70"/>
    <n v="55"/>
    <n v="70"/>
    <n v="0.56000000000000005"/>
    <n v="0.43"/>
    <n v="0.84"/>
    <n v="0.27"/>
    <n v="0.26"/>
    <n v="0.5"/>
    <n v="0.26"/>
    <n v="0.33"/>
    <n v="0.17"/>
    <n v="0.24"/>
  </r>
  <r>
    <x v="2"/>
    <x v="5"/>
    <x v="2"/>
    <n v="1"/>
    <n v="0.55000000000000004"/>
    <n v="370"/>
    <n v="67"/>
    <n v="112"/>
    <n v="50"/>
    <n v="23"/>
    <n v="2"/>
    <n v="64"/>
    <n v="52"/>
    <n v="3"/>
    <n v="127"/>
    <n v="103"/>
    <n v="21"/>
    <n v="26"/>
    <n v="82"/>
    <n v="59"/>
    <n v="0.35"/>
    <n v="0.96"/>
    <n v="0.31"/>
    <n v="0.42"/>
    <n v="0.78"/>
    <n v="0.56999999999999995"/>
    <n v="0.09"/>
    <n v="0.49"/>
    <n v="0.12"/>
    <n v="0.3"/>
  </r>
  <r>
    <x v="2"/>
    <x v="6"/>
    <x v="2"/>
    <n v="0.43"/>
    <n v="0.76"/>
    <n v="324"/>
    <n v="50"/>
    <n v="94"/>
    <n v="29"/>
    <n v="65"/>
    <n v="3"/>
    <n v="36"/>
    <n v="47"/>
    <n v="57"/>
    <n v="15"/>
    <n v="35"/>
    <n v="58"/>
    <n v="37"/>
    <n v="50"/>
    <n v="42"/>
    <n v="0.74"/>
    <n v="0.9"/>
    <n v="0.78"/>
    <n v="0.43"/>
    <n v="0.76"/>
    <n v="0.21"/>
    <n v="0.26"/>
    <n v="0.48"/>
    <n v="0.01"/>
    <n v="0.25"/>
  </r>
  <r>
    <x v="2"/>
    <x v="7"/>
    <x v="2"/>
    <n v="0.62"/>
    <n v="0.8"/>
    <n v="226"/>
    <n v="20"/>
    <n v="32"/>
    <n v="36"/>
    <n v="11"/>
    <n v="46"/>
    <n v="48"/>
    <n v="33"/>
    <n v="4"/>
    <n v="54"/>
    <n v="44"/>
    <n v="30"/>
    <n v="25"/>
    <n v="35"/>
    <n v="34"/>
    <n v="0.7"/>
    <n v="0.67"/>
    <n v="0.97"/>
    <n v="0.61"/>
    <n v="0.46"/>
    <n v="0.21"/>
    <n v="0.16"/>
    <n v="0.4"/>
    <n v="0.21"/>
    <n v="0.23"/>
  </r>
  <r>
    <x v="2"/>
    <x v="8"/>
    <x v="2"/>
    <n v="0.43"/>
    <n v="0.99"/>
    <n v="174"/>
    <n v="5"/>
    <n v="8"/>
    <n v="15"/>
    <n v="39"/>
    <n v="49"/>
    <n v="32"/>
    <n v="26"/>
    <n v="50"/>
    <n v="22"/>
    <n v="49"/>
    <n v="36"/>
    <n v="46"/>
    <n v="9"/>
    <n v="35"/>
    <n v="0.94"/>
    <n v="0.67"/>
    <n v="0.98"/>
    <n v="0.74"/>
    <n v="0.56999999999999995"/>
    <n v="0.27"/>
    <n v="0.08"/>
    <n v="0.42"/>
    <n v="0.06"/>
    <n v="0.44"/>
  </r>
  <r>
    <x v="2"/>
    <x v="9"/>
    <x v="2"/>
    <n v="0.44"/>
    <n v="0.8"/>
    <n v="190"/>
    <n v="7"/>
    <n v="64"/>
    <n v="27"/>
    <n v="12"/>
    <n v="42"/>
    <n v="10"/>
    <n v="28"/>
    <n v="7"/>
    <n v="49"/>
    <n v="33"/>
    <n v="55"/>
    <n v="70"/>
    <n v="66"/>
    <n v="48"/>
    <n v="0.89"/>
    <n v="0.92"/>
    <n v="0.33"/>
    <n v="0.68"/>
    <n v="0.73"/>
    <n v="0.81"/>
    <n v="0.24"/>
    <n v="0.31"/>
    <n v="0.2"/>
    <n v="0.25"/>
  </r>
  <r>
    <x v="2"/>
    <x v="10"/>
    <x v="2"/>
    <n v="0.92"/>
    <n v="0.81"/>
    <n v="252"/>
    <n v="61"/>
    <n v="3"/>
    <n v="18"/>
    <n v="29"/>
    <n v="83"/>
    <n v="21"/>
    <n v="37"/>
    <n v="34"/>
    <n v="90"/>
    <n v="51"/>
    <n v="114"/>
    <n v="9"/>
    <n v="111"/>
    <n v="68"/>
    <n v="0.91"/>
    <n v="0.8"/>
    <n v="0.51"/>
    <n v="0.43"/>
    <n v="0.65"/>
    <n v="0.32"/>
    <n v="0.27"/>
    <n v="0.33"/>
    <n v="7.0000000000000007E-2"/>
    <n v="0.33"/>
  </r>
  <r>
    <x v="2"/>
    <x v="11"/>
    <x v="2"/>
    <n v="0.95"/>
    <n v="0.62"/>
    <n v="367"/>
    <n v="101"/>
    <n v="54"/>
    <n v="34"/>
    <n v="13"/>
    <n v="64"/>
    <n v="48"/>
    <n v="53"/>
    <n v="67"/>
    <n v="80"/>
    <n v="76"/>
    <n v="29"/>
    <n v="26"/>
    <n v="76"/>
    <n v="53"/>
    <n v="0.24"/>
    <n v="0.95"/>
    <n v="0.98"/>
    <n v="0.27"/>
    <n v="0.76"/>
    <n v="0.28000000000000003"/>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r>
  <r>
    <x v="1"/>
  </r>
  <r>
    <x v="2"/>
  </r>
  <r>
    <x v="3"/>
  </r>
  <r>
    <x v="4"/>
  </r>
  <r>
    <x v="5"/>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63813B-22D7-4DDA-8953-45794AAF3CCD}" name="PivotTable8"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0:B53" firstHeaderRow="1" firstDataRow="1" firstDataCol="1"/>
  <pivotFields count="30">
    <pivotField showAll="0">
      <items count="4">
        <item h="1" x="0"/>
        <item h="1" x="1"/>
        <item x="2"/>
        <item t="default"/>
      </items>
    </pivotField>
    <pivotField showAll="0">
      <items count="13">
        <item h="1" x="0"/>
        <item h="1" x="1"/>
        <item h="1" x="2"/>
        <item h="1" x="3"/>
        <item h="1" x="4"/>
        <item h="1" x="5"/>
        <item h="1" x="6"/>
        <item h="1" x="7"/>
        <item h="1" x="8"/>
        <item x="9"/>
        <item h="1" x="10"/>
        <item h="1" x="11"/>
        <item t="default"/>
      </items>
    </pivotField>
    <pivotField axis="axisRow" showAll="0">
      <items count="4">
        <item x="0"/>
        <item x="1"/>
        <item x="2"/>
        <item t="default"/>
      </items>
    </pivotField>
    <pivotField dataField="1"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s>
  <rowFields count="1">
    <field x="2"/>
  </rowFields>
  <rowItems count="3">
    <i>
      <x/>
    </i>
    <i>
      <x v="1"/>
    </i>
    <i>
      <x v="2"/>
    </i>
  </rowItems>
  <colItems count="1">
    <i/>
  </colItems>
  <dataFields count="1">
    <dataField name="Average of Result" fld="3" subtotal="average" baseField="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56B00-C1E0-47D0-8A76-31BF9F8283A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5" firstHeaderRow="0" firstDataRow="1" firstDataCol="1"/>
  <pivotFields count="30">
    <pivotField showAll="0">
      <items count="4">
        <item h="1" x="0"/>
        <item h="1" x="1"/>
        <item x="2"/>
        <item t="default"/>
      </items>
    </pivotField>
    <pivotField axis="axisRow" showAll="0">
      <items count="13">
        <item h="1" x="0"/>
        <item h="1" x="1"/>
        <item h="1" x="2"/>
        <item h="1" x="3"/>
        <item h="1" x="4"/>
        <item h="1" x="5"/>
        <item h="1" x="6"/>
        <item h="1" x="7"/>
        <item h="1" x="8"/>
        <item x="9"/>
        <item h="1" x="10"/>
        <item h="1" x="11"/>
        <item t="default"/>
      </items>
    </pivotField>
    <pivotField showAll="0">
      <items count="4">
        <item x="0"/>
        <item x="1"/>
        <item x="2"/>
        <item t="default"/>
      </items>
    </pivotField>
    <pivotField numFmtId="9" showAll="0"/>
    <pivotField numFmtId="9"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dataField="1" showAll="0"/>
  </pivotFields>
  <rowFields count="1">
    <field x="1"/>
  </rowFields>
  <rowItems count="2">
    <i>
      <x v="9"/>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Sum of POS Sales 1" fld="6" baseField="0" baseItem="0"/>
    <dataField name="Sum of POS Sales 2" fld="7" baseField="0" baseItem="0"/>
    <dataField name="Sum of POS Sales 3" fld="8" baseField="0" baseItem="0"/>
    <dataField name="Sum of POS Sales 4" fld="9" baseField="0" baseItem="0"/>
    <dataField name="Sum of POS Sales 5" fld="10" baseField="0" baseItem="0"/>
    <dataField name="Sum of POS Sales 6" fld="11" baseField="0" baseItem="0"/>
    <dataField name="Sum of POS Sales 7" fld="12" baseField="0" baseItem="0"/>
    <dataField name="Sum of POS Plan 1" fld="13" baseField="0" baseItem="0"/>
    <dataField name="Sum of POS Plan 2" fld="14" baseField="0" baseItem="0"/>
    <dataField name="Sum of POS Plan 3" fld="15" baseField="0" baseItem="0"/>
    <dataField name="Sum of POS Plan 4" fld="16" baseField="0" baseItem="0"/>
    <dataField name="Sum of POS Plan 5" fld="17" baseField="0" baseItem="0"/>
    <dataField name="Sum of POS Plan 6" fld="18" baseField="0" baseItem="0"/>
    <dataField name="Sum of POS Plan 7" fld="19" baseField="0" baseItem="0"/>
    <dataField name="Average of Online sales" fld="26" subtotal="average" baseField="1" baseItem="0" numFmtId="9"/>
    <dataField name="Average of Regular sales" fld="27" subtotal="average" baseField="1" baseItem="0" numFmtId="9"/>
    <dataField name="Average of Upselling" fld="28" subtotal="average" baseField="1" baseItem="0" numFmtId="9"/>
    <dataField name="Average of Other" fld="29" subtotal="average" baseField="1" baseItem="0" numFmtId="9"/>
  </dataFields>
  <formats count="1">
    <format dxfId="92">
      <pivotArea outline="0" collapsedLevelsAreSubtotals="1" fieldPosition="0">
        <references count="1">
          <reference field="4294967294" count="4" selected="0">
            <x v="14"/>
            <x v="15"/>
            <x v="16"/>
            <x v="1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C1D08-1C3C-47B9-A7AD-BDE9A23B7B35}"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7:T58" firstHeaderRow="0" firstDataRow="1" firstDataCol="0" rowPageCount="1" colPageCount="1"/>
  <pivotFields count="30">
    <pivotField showAll="0">
      <items count="4">
        <item h="1" x="0"/>
        <item h="1" x="1"/>
        <item x="2"/>
        <item t="default"/>
      </items>
    </pivotField>
    <pivotField showAll="0">
      <items count="13">
        <item h="1" x="0"/>
        <item h="1" x="1"/>
        <item h="1" x="2"/>
        <item h="1" x="3"/>
        <item h="1" x="4"/>
        <item h="1" x="5"/>
        <item h="1" x="6"/>
        <item h="1" x="7"/>
        <item h="1" x="8"/>
        <item x="9"/>
        <item h="1" x="10"/>
        <item h="1" x="11"/>
        <item t="default"/>
      </items>
    </pivotField>
    <pivotField axis="axisPage" showAll="0">
      <items count="4">
        <item x="0"/>
        <item x="1"/>
        <item x="2"/>
        <item t="default"/>
      </items>
    </pivotField>
    <pivotField numFmtId="9" showAll="0"/>
    <pivotField numFmtId="9"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s>
  <rowItems count="1">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pageFields count="1">
    <pageField fld="2" item="0" hier="-1"/>
  </pageFields>
  <dataFields count="20">
    <dataField name="Average of Region 1" fld="20" subtotal="average" baseField="0" baseItem="1" numFmtId="9"/>
    <dataField name="Average of Region 2" fld="21" subtotal="average" baseField="0" baseItem="1" numFmtId="9"/>
    <dataField name="Average of Region 3" fld="22" subtotal="average" baseField="0" baseItem="2" numFmtId="9"/>
    <dataField name="Average of Region 4" fld="23" subtotal="average" baseField="0" baseItem="3" numFmtId="9"/>
    <dataField name="Average of Region 5" fld="24" subtotal="average" baseField="0" baseItem="4" numFmtId="9"/>
    <dataField name="Average of Region 6" fld="25" subtotal="average" baseField="0" baseItem="5" numFmtId="9"/>
    <dataField name="Sum of POS Sales 1" fld="6" baseField="0" baseItem="0"/>
    <dataField name="Sum of POS Sales 2" fld="7" baseField="0" baseItem="0"/>
    <dataField name="Sum of POS Sales 3" fld="8" baseField="0" baseItem="0"/>
    <dataField name="Sum of POS Sales 4" fld="9" baseField="0" baseItem="0"/>
    <dataField name="Sum of POS Sales 5" fld="10" baseField="0" baseItem="0"/>
    <dataField name="Sum of POS Sales 6" fld="11" baseField="0" baseItem="0"/>
    <dataField name="Sum of POS Sales 7" fld="12" baseField="0" baseItem="0"/>
    <dataField name="Sum of POS Plan 1" fld="13" baseField="0" baseItem="0"/>
    <dataField name="Sum of POS Plan 2" fld="14" baseField="0" baseItem="0"/>
    <dataField name="Sum of POS Plan 3" fld="15" baseField="0" baseItem="0"/>
    <dataField name="Sum of POS Plan 4" fld="16" baseField="0" baseItem="0"/>
    <dataField name="Sum of POS Plan 5" fld="17" baseField="0" baseItem="0"/>
    <dataField name="Sum of POS Plan 6" fld="18" baseField="0" baseItem="0"/>
    <dataField name="Sum of POS Plan 7"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291D67-3851-403D-8723-FD056F859CF7}"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2" firstHeaderRow="1" firstDataRow="1" firstDataCol="1"/>
  <pivotFields count="1">
    <pivotField axis="axisRow" showAll="0">
      <items count="8">
        <item h="1" x="0"/>
        <item h="1" x="1"/>
        <item h="1" x="2"/>
        <item h="1" x="3"/>
        <item h="1" x="4"/>
        <item h="1" x="5"/>
        <item x="6"/>
        <item t="default"/>
      </items>
    </pivotField>
  </pivotFields>
  <rowFields count="1">
    <field x="0"/>
  </rowFields>
  <rowItems count="2">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67B708-87E5-4D29-83EF-1BD54AD9BD8F}"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5:A36" firstHeaderRow="1" firstDataRow="1" firstDataCol="1"/>
  <pivotFields count="30">
    <pivotField showAll="0">
      <items count="4">
        <item h="1" x="0"/>
        <item h="1" x="1"/>
        <item x="2"/>
        <item t="default"/>
      </items>
    </pivotField>
    <pivotField axis="axisRow" showAll="0">
      <items count="13">
        <item h="1" x="0"/>
        <item h="1" x="1"/>
        <item h="1" x="2"/>
        <item h="1" x="3"/>
        <item h="1" x="4"/>
        <item h="1" x="5"/>
        <item h="1" x="6"/>
        <item h="1" x="7"/>
        <item h="1" x="8"/>
        <item x="9"/>
        <item h="1" x="10"/>
        <item h="1" x="11"/>
        <item t="default"/>
      </items>
    </pivotField>
    <pivotField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s>
  <rowFields count="1">
    <field x="1"/>
  </rowFields>
  <rowItems count="1">
    <i>
      <x v="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E604D-99B8-49F9-9BBA-08102090C91B}" name="PivotTable6"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0:A31" firstHeaderRow="1" firstDataRow="1" firstDataCol="1"/>
  <pivotFields count="30">
    <pivotField axis="axisRow" showAll="0">
      <items count="4">
        <item h="1" x="0"/>
        <item h="1" x="1"/>
        <item x="2"/>
        <item t="default"/>
      </items>
    </pivotField>
    <pivotField showAll="0"/>
    <pivotField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s>
  <rowFields count="1">
    <field x="0"/>
  </rowFields>
  <rowItems count="1">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77D309-60D8-45C6-B371-382ED99BD153}" name="PivotTable10"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1:T62" firstHeaderRow="0" firstDataRow="1" firstDataCol="0" rowPageCount="1" colPageCount="1"/>
  <pivotFields count="30">
    <pivotField showAll="0">
      <items count="4">
        <item h="1" x="0"/>
        <item h="1" x="1"/>
        <item x="2"/>
        <item t="default"/>
      </items>
    </pivotField>
    <pivotField showAll="0">
      <items count="13">
        <item h="1" x="0"/>
        <item h="1" x="1"/>
        <item h="1" x="2"/>
        <item h="1" x="3"/>
        <item h="1" x="4"/>
        <item h="1" x="5"/>
        <item h="1" x="6"/>
        <item h="1" x="7"/>
        <item h="1" x="8"/>
        <item x="9"/>
        <item h="1" x="10"/>
        <item h="1" x="11"/>
        <item t="default"/>
      </items>
    </pivotField>
    <pivotField axis="axisPage" showAll="0">
      <items count="4">
        <item x="0"/>
        <item x="1"/>
        <item x="2"/>
        <item t="default"/>
      </items>
    </pivotField>
    <pivotField numFmtId="9" showAll="0"/>
    <pivotField numFmtId="9"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s>
  <rowItems count="1">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pageFields count="1">
    <pageField fld="2" item="1" hier="-1"/>
  </pageFields>
  <dataFields count="20">
    <dataField name="Average of Region 1" fld="20" subtotal="average" baseField="0" baseItem="1" numFmtId="9"/>
    <dataField name="Average of Region 2" fld="21" subtotal="average" baseField="0" baseItem="1" numFmtId="9"/>
    <dataField name="Average of Region 3" fld="22" subtotal="average" baseField="0" baseItem="2" numFmtId="9"/>
    <dataField name="Average of Region 4" fld="23" subtotal="average" baseField="0" baseItem="3" numFmtId="9"/>
    <dataField name="Average of Region 5" fld="24" subtotal="average" baseField="0" baseItem="4" numFmtId="9"/>
    <dataField name="Average of Region 6" fld="25" subtotal="average" baseField="0" baseItem="5" numFmtId="9"/>
    <dataField name="Sum of POS Sales 1" fld="6" baseField="0" baseItem="0"/>
    <dataField name="Sum of POS Sales 2" fld="7" baseField="0" baseItem="0"/>
    <dataField name="Sum of POS Sales 3" fld="8" baseField="0" baseItem="0"/>
    <dataField name="Sum of POS Sales 4" fld="9" baseField="0" baseItem="0"/>
    <dataField name="Sum of POS Sales 5" fld="10" baseField="0" baseItem="0"/>
    <dataField name="Sum of POS Sales 6" fld="11" baseField="0" baseItem="0"/>
    <dataField name="Sum of POS Sales 7" fld="12" baseField="0" baseItem="0"/>
    <dataField name="Sum of POS Plan 2" fld="14" baseField="0" baseItem="0"/>
    <dataField name="Sum of POS Plan 1" fld="13" baseField="0" baseItem="0"/>
    <dataField name="Sum of POS Plan 3" fld="15" baseField="0" baseItem="0"/>
    <dataField name="Sum of POS Plan 4" fld="16" baseField="0" baseItem="0"/>
    <dataField name="Sum of POS Plan 5" fld="17" baseField="0" baseItem="0"/>
    <dataField name="Sum of POS Plan 6" fld="18" baseField="0" baseItem="0"/>
    <dataField name="Sum of POS Plan 7"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1E22EB-966E-46A2-A7C3-9D6C880D059C}" name="PivotTable11"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5:T66" firstHeaderRow="0" firstDataRow="1" firstDataCol="0" rowPageCount="1" colPageCount="1"/>
  <pivotFields count="30">
    <pivotField showAll="0">
      <items count="4">
        <item h="1" x="0"/>
        <item h="1" x="1"/>
        <item x="2"/>
        <item t="default"/>
      </items>
    </pivotField>
    <pivotField showAll="0">
      <items count="13">
        <item h="1" x="0"/>
        <item h="1" x="1"/>
        <item h="1" x="2"/>
        <item h="1" x="3"/>
        <item h="1" x="4"/>
        <item h="1" x="5"/>
        <item h="1" x="6"/>
        <item h="1" x="7"/>
        <item h="1" x="8"/>
        <item x="9"/>
        <item h="1" x="10"/>
        <item h="1" x="11"/>
        <item t="default"/>
      </items>
    </pivotField>
    <pivotField axis="axisPage" showAll="0">
      <items count="4">
        <item x="0"/>
        <item x="1"/>
        <item x="2"/>
        <item t="default"/>
      </items>
    </pivotField>
    <pivotField numFmtId="9" showAll="0"/>
    <pivotField numFmtId="9"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showAll="0"/>
  </pivotFields>
  <rowItems count="1">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pageFields count="1">
    <pageField fld="2" item="2" hier="-1"/>
  </pageFields>
  <dataFields count="20">
    <dataField name="Average of Region 1" fld="20" subtotal="average" baseField="0" baseItem="1" numFmtId="9"/>
    <dataField name="Average of Region 2" fld="21" subtotal="average" baseField="0" baseItem="1" numFmtId="9"/>
    <dataField name="Average of Region 3" fld="22" subtotal="average" baseField="0" baseItem="2" numFmtId="9"/>
    <dataField name="Average of Region 4" fld="23" subtotal="average" baseField="0" baseItem="3" numFmtId="9"/>
    <dataField name="Average of Region 5" fld="24" subtotal="average" baseField="0" baseItem="4" numFmtId="9"/>
    <dataField name="Average of Region 6" fld="25" subtotal="average" baseField="0" baseItem="5" numFmtId="9"/>
    <dataField name="Sum of POS Sales 1" fld="6" baseField="0" baseItem="0"/>
    <dataField name="Sum of POS Sales 2" fld="7" baseField="0" baseItem="0"/>
    <dataField name="Sum of POS Sales 3" fld="8" baseField="0" baseItem="0"/>
    <dataField name="Sum of POS Sales 4" fld="9" baseField="0" baseItem="0"/>
    <dataField name="Sum of POS Sales 5" fld="10" baseField="0" baseItem="0"/>
    <dataField name="Sum of POS Sales 6" fld="11" baseField="0" baseItem="0"/>
    <dataField name="Sum of POS Sales 7" fld="12" baseField="0" baseItem="0"/>
    <dataField name="Sum of POS Plan 1" fld="13" baseField="0" baseItem="0"/>
    <dataField name="Sum of POS Plan 2" fld="14" baseField="0" baseItem="0"/>
    <dataField name="Sum of POS Plan 3" fld="15" baseField="0" baseItem="0"/>
    <dataField name="Sum of POS Plan 4" fld="16" baseField="0" baseItem="0"/>
    <dataField name="Sum of POS Plan 5" fld="17" baseField="0" baseItem="0"/>
    <dataField name="Sum of POS Plan 6" fld="18" baseField="0" baseItem="0"/>
    <dataField name="Sum of POS Plan 7"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BFEB7F8-A3D1-48DF-BAE1-BF92BEBB9738}" sourceName="Month">
  <pivotTables>
    <pivotTable tabId="4" name="PivotTable1"/>
    <pivotTable tabId="4" name="PivotTable7"/>
    <pivotTable tabId="4" name="PivotTable10"/>
    <pivotTable tabId="4" name="PivotTable11"/>
    <pivotTable tabId="4" name="PivotTable9"/>
    <pivotTable tabId="4" name="PivotTable8"/>
  </pivotTables>
  <data>
    <tabular pivotCacheId="191384859">
      <items count="12">
        <i x="0"/>
        <i x="1"/>
        <i x="2"/>
        <i x="3"/>
        <i x="4"/>
        <i x="5"/>
        <i x="6"/>
        <i x="7"/>
        <i x="8"/>
        <i x="9" s="1"/>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4E023BD-8B92-4440-8CC3-EB9BFEEDA435}" sourceName="Product">
  <pivotTables>
    <pivotTable tabId="4" name="PivotTable1"/>
    <pivotTable tabId="4" name="PivotTable8"/>
  </pivotTables>
  <data>
    <tabular pivotCacheId="1913848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B3235AF-6525-4F65-AA9B-D5F2AC012032}" sourceName="Year">
  <pivotTables>
    <pivotTable tabId="4" name="PivotTable1"/>
    <pivotTable tabId="4" name="PivotTable6"/>
    <pivotTable tabId="4" name="PivotTable7"/>
    <pivotTable tabId="4" name="PivotTable8"/>
    <pivotTable tabId="4" name="PivotTable9"/>
    <pivotTable tabId="4" name="PivotTable10"/>
    <pivotTable tabId="4" name="PivotTable11"/>
  </pivotTables>
  <data>
    <tabular pivotCacheId="191384859">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int_Of_Sales" xr10:uid="{110D5319-B3F7-43DF-AD88-A8ED9E7D06DE}" sourceName="Point Of Sales">
  <pivotTables>
    <pivotTable tabId="4" name="PivotTable5"/>
  </pivotTables>
  <data>
    <tabular pivotCacheId="1151888341">
      <items count="7">
        <i x="0"/>
        <i x="1"/>
        <i x="2"/>
        <i x="3"/>
        <i x="4"/>
        <i x="5"/>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1418748-9F55-44FD-A893-C7E7CF121AF3}" cache="Slicer_Month" caption="Month" columnCount="6" showCaption="0" style="SlicerStyleLight1 2" rowHeight="182880"/>
  <slicer name="Month 1" xr10:uid="{413A8989-506C-45AE-852F-E5325E062FE3}" cache="Slicer_Month" caption="Month" columnCount="12" showCaption="0" style="SlicerStyleLight1 3" rowHeight="246888"/>
  <slicer name="Product" xr10:uid="{55911A15-A0AD-432C-8859-2FAAB1753D8D}" cache="Slicer_Product" caption="Product" columnCount="3" showCaption="0" style="SlicerStyleLight1 2" rowHeight="182880"/>
  <slicer name="Year" xr10:uid="{B7EA34B9-BAA3-4C53-82F5-9F7B1A2F0406}" cache="Slicer_Year" caption="Year" columnCount="3" showCaption="0" style="SlicerStyleLight1 2" rowHeight="182880"/>
  <slicer name="Point Of Sales" xr10:uid="{09D5A23A-3F41-4AA5-8BC8-C08B9FC6973A}" cache="Slicer_Point_Of_Sales" caption="Point Of Sales" columnCount="7" showCaption="0" style="SlicerStyleLight1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E2B6274-2245-4E20-8189-10CF8A8B4F40}" cache="Slicer_Month" caption="Month" columnCount="6" showCaption="0" style="SlicerStyleLight1 2" rowHeight="182880"/>
  <slicer name="Product 1" xr10:uid="{A7DA5B51-6250-4AAA-BB33-EAE666AA5DDB}" cache="Slicer_Product" caption="Product" columnCount="3" showCaption="0" style="SlicerStyleLight1 2" rowHeight="182880"/>
  <slicer name="Year 1" xr10:uid="{FBD3E579-54A9-4E02-9DAD-3FAAE0347462}" cache="Slicer_Year" caption="Year" columnCount="3" showCaption="0" style="SlicerStyleLight1 2" rowHeight="182880"/>
  <slicer name="Point Of Sales 1" xr10:uid="{F341798F-9C68-48C3-BEEC-65BF63EF6461}" cache="Slicer_Point_Of_Sales" caption="Point Of Sales" columnCount="7" showCaption="0" style="SlicerStyleLight1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6BBDADCE-CC80-44C6-B1DF-BF4B5E3D0778}" cache="Slicer_Month" caption="Month" columnCount="6" showCaption="0" style="SlicerStyleLight1 2" rowHeight="182880"/>
  <slicer name="Product 2" xr10:uid="{8748FA0A-5943-4C01-8154-4990E47FA3AD}" cache="Slicer_Product" caption="Product" columnCount="3" showCaption="0" style="SlicerStyleLight1 2" rowHeight="182880"/>
  <slicer name="Year 2" xr10:uid="{83465E6A-2B94-49EE-ADE7-58DB12F38D25}" cache="Slicer_Year" caption="Year" columnCount="3" showCaption="0" style="SlicerStyleLight1 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625B33EE-5906-4CCC-8301-DC420699E6DD}" cache="Slicer_Month" caption="Month" columnCount="6" showCaption="0" style="SlicerStyleLight1 2" rowHeight="182880"/>
  <slicer name="Month 5" xr10:uid="{609522E5-3EC0-45B2-B4C3-6BB40A126220}" cache="Slicer_Month" caption="Month" columnCount="12" showCaption="0" style="SlicerStyleLight1 3" rowHeight="246888"/>
  <slicer name="Product 3" xr10:uid="{71ED91BD-7312-4F86-B784-157B5C705071}" cache="Slicer_Product" caption="Product" columnCount="3" showCaption="0" style="SlicerStyleLight1 2" rowHeight="182880"/>
  <slicer name="Year 3" xr10:uid="{5C92B81E-79BE-4906-BF49-5AEDEB79E6C1}" cache="Slicer_Year" caption="Year" columnCount="3" showCaption="0" style="SlicerStyleLight1 2"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52D45BE9-604A-45E4-9D4E-FE74258D1EE4}" cache="Slicer_Month" caption="Month" columnCount="6" showCaption="0" style="SlicerStyleLight1 2" rowHeight="182880"/>
  <slicer name="Product 4" xr10:uid="{D686069D-F5F2-4AC3-A8EB-62399C813D42}" cache="Slicer_Product" caption="Product" columnCount="3" showCaption="0" style="SlicerStyleLight1 2" rowHeight="182880"/>
  <slicer name="Year 4" xr10:uid="{4460C977-81BF-4B57-826A-B39AEA62A1F4}" cache="Slicer_Year" caption="Year" columnCount="3" showCaption="0" style="SlicerStyleLight1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B0492A-0E59-4200-B8A6-3DA67B323877}" name="mydata" displayName="mydata" ref="A1:AD109" totalsRowShown="0" headerRowDxfId="91" dataDxfId="90" dataCellStyle="Percent">
  <autoFilter ref="A1:AD109" xr:uid="{8DB0492A-0E59-4200-B8A6-3DA67B323877}"/>
  <tableColumns count="30">
    <tableColumn id="1" xr3:uid="{A74B5283-3C3C-4AC7-8DA5-8BF099A7B6A3}" name="Year" dataDxfId="89"/>
    <tableColumn id="2" xr3:uid="{06AB7B09-7722-44AF-A606-7DD8E68FA7B8}" name="Month" dataDxfId="88"/>
    <tableColumn id="3" xr3:uid="{A36105BB-C621-4088-B6BF-ECC40A89FA7D}" name="Product" dataDxfId="87"/>
    <tableColumn id="4" xr3:uid="{63479838-4CB3-4383-A665-7F4D37D3167E}" name="Result" dataDxfId="86" dataCellStyle="Percent"/>
    <tableColumn id="5" xr3:uid="{865BC543-FCA9-4366-A5DB-ECFBDA03039B}" name="Cross" dataDxfId="85" dataCellStyle="Percent"/>
    <tableColumn id="6" xr3:uid="{A35AC6BA-7BFE-4DF6-A636-1B8DAD7069C5}" name="Sales" dataDxfId="84"/>
    <tableColumn id="7" xr3:uid="{331A3FB7-2ED1-4FD6-83A8-5ACA7E0BB09A}" name="POS Sales 1" dataDxfId="83"/>
    <tableColumn id="8" xr3:uid="{6ADB3E1D-243B-4F8D-8CC4-6E65ED7F5329}" name="POS Sales 2" dataDxfId="82"/>
    <tableColumn id="9" xr3:uid="{1DD1721D-0304-48C3-BCA3-1041CCABB8F6}" name="POS Sales 3" dataDxfId="81"/>
    <tableColumn id="10" xr3:uid="{1B12D263-6299-4D73-94E0-CCE2C49DDCF3}" name="POS Sales 4" dataDxfId="80"/>
    <tableColumn id="11" xr3:uid="{9F5C2D44-3B9A-48E0-A031-4C9A43E893AA}" name="POS Sales 5" dataDxfId="79"/>
    <tableColumn id="12" xr3:uid="{645DB06C-240B-4E0C-922A-25D75965C660}" name="POS Sales 6" dataDxfId="78"/>
    <tableColumn id="13" xr3:uid="{2DF2329E-CA2A-4818-A392-C4792B55C790}" name="POS Sales 7" dataDxfId="77"/>
    <tableColumn id="14" xr3:uid="{5A6A633C-9D31-4418-901E-C11149012C3D}" name="POS Plan 1" dataDxfId="76"/>
    <tableColumn id="15" xr3:uid="{9721951B-2E09-4E43-A295-AE367B3C9F19}" name="POS Plan 2" dataDxfId="75"/>
    <tableColumn id="16" xr3:uid="{07D962D6-88DA-4AB6-8BB9-7A115C507DA4}" name="POS Plan 3" dataDxfId="74"/>
    <tableColumn id="17" xr3:uid="{CDF54B98-897C-4F03-B5A0-55C09611B6AD}" name="POS Plan 4" dataDxfId="73"/>
    <tableColumn id="18" xr3:uid="{AFFF87F5-E092-4B4C-A5BE-6D7AA906B728}" name="POS Plan 5" dataDxfId="72"/>
    <tableColumn id="19" xr3:uid="{4F4D9D73-EC9F-4595-9491-308C69B5DF3E}" name="POS Plan 6" dataDxfId="71"/>
    <tableColumn id="20" xr3:uid="{4A111327-4641-45D0-845F-86280324BEDE}" name="POS Plan 7" dataDxfId="70"/>
    <tableColumn id="21" xr3:uid="{14FBC53D-5198-4E0B-91B7-FF2D71812380}" name="Region 1" dataDxfId="69" dataCellStyle="Percent"/>
    <tableColumn id="22" xr3:uid="{9A601620-1C6B-4DD4-80AB-40223F8B10FA}" name="Region 2" dataDxfId="68" dataCellStyle="Percent"/>
    <tableColumn id="23" xr3:uid="{6848D2E0-281B-4AE6-B469-F7D097B568F7}" name="Region 3" dataDxfId="67" dataCellStyle="Percent"/>
    <tableColumn id="24" xr3:uid="{585CD630-384D-4CCF-BC30-985AF295D790}" name="Region 4" dataDxfId="66" dataCellStyle="Percent"/>
    <tableColumn id="25" xr3:uid="{91AA5DFF-3A9F-49B3-8B23-13C80C215638}" name="Region 5" dataDxfId="65" dataCellStyle="Percent"/>
    <tableColumn id="26" xr3:uid="{42F3E75A-13F8-435B-852A-49773B605BF6}" name="Region 6" dataDxfId="64" dataCellStyle="Percent"/>
    <tableColumn id="27" xr3:uid="{3CF88A61-28B0-466F-A590-14C6CFCABF49}" name="Online sales" dataDxfId="63" dataCellStyle="Percent"/>
    <tableColumn id="28" xr3:uid="{CFE7EBE5-42B4-4CB1-86A9-1B079331D864}" name="Regular sales" dataDxfId="62" dataCellStyle="Percent"/>
    <tableColumn id="29" xr3:uid="{ED6566EB-65A5-4D50-BF18-DC63B46702DB}" name="Upselling" dataDxfId="61" dataCellStyle="Percent"/>
    <tableColumn id="30" xr3:uid="{21DB93C0-2BD5-4A24-A66C-868465DF1B79}" name="Other" dataDxfId="6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xceltabl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299DE-0934-4A62-959F-07F1625EA093}">
  <sheetPr codeName="Sheet1"/>
  <dimension ref="B41:D41"/>
  <sheetViews>
    <sheetView showRowColHeaders="0" zoomScale="90" zoomScaleNormal="90" workbookViewId="0"/>
  </sheetViews>
  <sheetFormatPr defaultColWidth="8.85546875" defaultRowHeight="15" x14ac:dyDescent="0.25"/>
  <cols>
    <col min="1" max="16384" width="8.85546875" style="1"/>
  </cols>
  <sheetData>
    <row r="41" spans="2:4" x14ac:dyDescent="0.25">
      <c r="B41" s="41"/>
      <c r="C41" s="42"/>
      <c r="D41" s="42"/>
    </row>
  </sheetData>
  <mergeCells count="1">
    <mergeCell ref="B41:D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22A4-EA4C-471C-9498-450BB5BE1D73}">
  <sheetPr codeName="Sheet5"/>
  <dimension ref="B41:D41"/>
  <sheetViews>
    <sheetView showRowColHeaders="0" tabSelected="1" zoomScale="90" zoomScaleNormal="90" workbookViewId="0"/>
  </sheetViews>
  <sheetFormatPr defaultColWidth="8.85546875" defaultRowHeight="15" x14ac:dyDescent="0.25"/>
  <cols>
    <col min="1" max="16384" width="8.85546875" style="1"/>
  </cols>
  <sheetData>
    <row r="41" spans="2:4" x14ac:dyDescent="0.25">
      <c r="B41" s="41"/>
      <c r="C41" s="42"/>
      <c r="D41" s="42"/>
    </row>
  </sheetData>
  <mergeCells count="1">
    <mergeCell ref="B41:D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87F8-D269-479E-BF68-F9DC13409A60}">
  <sheetPr codeName="Sheet6"/>
  <dimension ref="B41:D41"/>
  <sheetViews>
    <sheetView showRowColHeaders="0" zoomScale="90" zoomScaleNormal="90" workbookViewId="0"/>
  </sheetViews>
  <sheetFormatPr defaultColWidth="8.85546875" defaultRowHeight="15" x14ac:dyDescent="0.25"/>
  <cols>
    <col min="1" max="16384" width="8.85546875" style="1"/>
  </cols>
  <sheetData>
    <row r="41" spans="2:4" x14ac:dyDescent="0.25">
      <c r="B41" s="41"/>
      <c r="C41" s="42"/>
      <c r="D41" s="42"/>
    </row>
  </sheetData>
  <mergeCells count="1">
    <mergeCell ref="B41:D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E659-FEB7-442F-94B8-9061D974BB4C}">
  <sheetPr codeName="Sheet7"/>
  <dimension ref="B41:D41"/>
  <sheetViews>
    <sheetView showRowColHeaders="0" topLeftCell="A4" zoomScale="90" zoomScaleNormal="90" workbookViewId="0"/>
  </sheetViews>
  <sheetFormatPr defaultColWidth="8.85546875" defaultRowHeight="15" x14ac:dyDescent="0.25"/>
  <cols>
    <col min="1" max="16384" width="8.85546875" style="1"/>
  </cols>
  <sheetData>
    <row r="41" spans="2:4" x14ac:dyDescent="0.25">
      <c r="B41" s="41"/>
      <c r="C41" s="42"/>
      <c r="D41" s="42"/>
    </row>
  </sheetData>
  <mergeCells count="1">
    <mergeCell ref="B41:D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6E07-A12A-476F-8F33-ED493542FA5B}">
  <sheetPr codeName="Sheet8"/>
  <dimension ref="B41:D41"/>
  <sheetViews>
    <sheetView showRowColHeaders="0" zoomScale="90" zoomScaleNormal="90" workbookViewId="0"/>
  </sheetViews>
  <sheetFormatPr defaultColWidth="8.85546875" defaultRowHeight="15" x14ac:dyDescent="0.25"/>
  <cols>
    <col min="1" max="16384" width="8.85546875" style="1"/>
  </cols>
  <sheetData>
    <row r="41" spans="2:4" x14ac:dyDescent="0.25">
      <c r="B41" s="41"/>
      <c r="C41" s="42"/>
      <c r="D41" s="42"/>
    </row>
  </sheetData>
  <mergeCells count="1">
    <mergeCell ref="B41:D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E33F-4FBB-49C9-9F0A-D3C0F8F619C5}">
  <sheetPr codeName="Sheet2"/>
  <dimension ref="A1:T26"/>
  <sheetViews>
    <sheetView workbookViewId="0">
      <selection activeCell="E3" sqref="E3"/>
    </sheetView>
  </sheetViews>
  <sheetFormatPr defaultRowHeight="15" x14ac:dyDescent="0.25"/>
  <cols>
    <col min="1" max="1" width="12.85546875" customWidth="1"/>
    <col min="2" max="2" width="10.28515625" bestFit="1" customWidth="1"/>
    <col min="5" max="5" width="10" customWidth="1"/>
  </cols>
  <sheetData>
    <row r="1" spans="1:20" x14ac:dyDescent="0.25">
      <c r="A1" s="6" t="s">
        <v>34</v>
      </c>
      <c r="B1" s="6" t="s">
        <v>36</v>
      </c>
      <c r="C1" s="6" t="s">
        <v>35</v>
      </c>
      <c r="E1" t="s">
        <v>82</v>
      </c>
      <c r="I1" t="s">
        <v>95</v>
      </c>
      <c r="M1" s="15" t="s">
        <v>80</v>
      </c>
      <c r="N1" s="4" t="str">
        <f>A5</f>
        <v>A</v>
      </c>
      <c r="O1" s="4" t="str">
        <f>A4</f>
        <v>B</v>
      </c>
      <c r="P1" s="4" t="str">
        <f>A3</f>
        <v>C</v>
      </c>
      <c r="Q1" s="6" t="s">
        <v>83</v>
      </c>
    </row>
    <row r="2" spans="1:20" x14ac:dyDescent="0.25">
      <c r="A2" t="s">
        <v>47</v>
      </c>
      <c r="E2" t="s">
        <v>34</v>
      </c>
      <c r="F2" t="s">
        <v>36</v>
      </c>
      <c r="G2" t="s">
        <v>35</v>
      </c>
      <c r="H2" t="s">
        <v>108</v>
      </c>
      <c r="I2" t="str">
        <f>IF(COUNTA(Control!A36:A37)=1,INDEX(Processing!L2:L13,MATCH(Control!A36,Processing!M2:M13,0)),"")&amp;" "&amp;IF(COUNTA(Control!A31:A32)=1,Control!A31,"")</f>
        <v>OCTOBER 2027</v>
      </c>
      <c r="L2" t="s">
        <v>96</v>
      </c>
      <c r="M2" t="s">
        <v>2</v>
      </c>
      <c r="N2" s="4" cm="1">
        <f t="array" ref="N2">SUM(_xlfn._xlws.FILTER(mydata[Sales],(ISNUMBER(MATCH(mydata[Year],Control!$A$31:$A$33,0))*(mydata[Month]=Processing!$M2)*(mydata[Product]=Processing!A$1))))*NOT(ISNA($A$5))</f>
        <v>998</v>
      </c>
      <c r="O2" s="4" cm="1">
        <f t="array" ref="O2">SUM(_xlfn._xlws.FILTER(mydata[Sales],(ISNUMBER(MATCH(mydata[Year],Control!$A$31:$A$33,0))*(mydata[Month]=Processing!$M2)*(mydata[Product]=Processing!B$1))))*NOT(ISNA($A$4))</f>
        <v>778</v>
      </c>
      <c r="P2" s="4" cm="1">
        <f t="array" ref="P2">SUM(_xlfn._xlws.FILTER(mydata[Sales],(ISNUMBER(MATCH(mydata[Year],Control!$A$31:$A$33,0))*(mydata[Month]=Processing!$M2)*(mydata[Product]=Processing!C$1))))*NOT(ISNA($A$3))</f>
        <v>532</v>
      </c>
      <c r="Q2">
        <f>IF(ISNUMBER(MATCH(M2,Control!$A$36:$A$47,0)),MAX($N$2:$P$13)*1.1,0)</f>
        <v>0</v>
      </c>
      <c r="R2" t="b">
        <f>IF(Q2,N2)</f>
        <v>0</v>
      </c>
      <c r="S2" t="b">
        <f t="shared" ref="S2:S13" si="0">IF(Q2,O2)</f>
        <v>0</v>
      </c>
      <c r="T2" t="b">
        <f>IF(Q2,P2)</f>
        <v>0</v>
      </c>
    </row>
    <row r="3" spans="1:20" x14ac:dyDescent="0.25">
      <c r="A3" s="6" t="str">
        <f>IF(ISNUMBER(MATCH(Processing!C1,Control!$A$51:$A$53,0)),Processing!C1,NA())</f>
        <v>C</v>
      </c>
      <c r="B3" s="8">
        <f>IFERROR(GETPIVOTDATA("Result",Control!$A$50,"Product",""&amp;A3),0)</f>
        <v>0.44</v>
      </c>
      <c r="C3" s="3">
        <f>100%-B3</f>
        <v>0.56000000000000005</v>
      </c>
      <c r="D3" t="s">
        <v>37</v>
      </c>
      <c r="E3" s="3">
        <f>GETPIVOTDATA(""&amp;D3,Control!$A$57)*NOT(ISNA($A$5))</f>
        <v>0.27</v>
      </c>
      <c r="F3" s="3">
        <f>GETPIVOTDATA(""&amp;D3,Control!$A$61)*NOT(ISNA($A$4))</f>
        <v>0.28000000000000003</v>
      </c>
      <c r="G3" s="3">
        <f>GETPIVOTDATA(""&amp;D3,Control!$A$65)*NOT(ISNA($A$3))</f>
        <v>0.89</v>
      </c>
      <c r="H3" s="3">
        <f>MAX(E3:G3)</f>
        <v>0.89</v>
      </c>
      <c r="I3" s="3"/>
      <c r="J3" s="3"/>
      <c r="K3" s="3"/>
      <c r="L3" t="s">
        <v>97</v>
      </c>
      <c r="M3" t="s">
        <v>3</v>
      </c>
      <c r="N3" s="4" cm="1">
        <f t="array" ref="N3">SUM(_xlfn._xlws.FILTER(mydata[Sales],(ISNUMBER(MATCH(mydata[Year],Control!$A$31:$A$33,0))*(mydata[Month]=Processing!$M3)*(mydata[Product]=Processing!A$1))))*NOT(ISNA($A$5))</f>
        <v>1080</v>
      </c>
      <c r="O3" s="4" cm="1">
        <f t="array" ref="O3">SUM(_xlfn._xlws.FILTER(mydata[Sales],(ISNUMBER(MATCH(mydata[Year],Control!$A$31:$A$33,0))*(mydata[Month]=Processing!$M3)*(mydata[Product]=Processing!B$1))))*NOT(ISNA($A$4))</f>
        <v>715</v>
      </c>
      <c r="P3" s="4" cm="1">
        <f t="array" ref="P3">SUM(_xlfn._xlws.FILTER(mydata[Sales],(ISNUMBER(MATCH(mydata[Year],Control!$A$31:$A$33,0))*(mydata[Month]=Processing!$M3)*(mydata[Product]=Processing!C$1))))*NOT(ISNA($A$3))</f>
        <v>364</v>
      </c>
      <c r="Q3">
        <f>IF(ISNUMBER(MATCH(M3,Control!$A$36:$A$47,0)),MAX($N$2:$P$13)*1.1,0)</f>
        <v>0</v>
      </c>
      <c r="R3" t="b">
        <f t="shared" ref="R3:R13" si="1">IF(Q3,N3)</f>
        <v>0</v>
      </c>
      <c r="S3" t="b">
        <f t="shared" si="0"/>
        <v>0</v>
      </c>
      <c r="T3" t="b">
        <f t="shared" ref="T3:T13" si="2">IF(Q3,P3)</f>
        <v>0</v>
      </c>
    </row>
    <row r="4" spans="1:20" x14ac:dyDescent="0.25">
      <c r="A4" s="6" t="str">
        <f>IF(ISNUMBER(MATCH(Processing!B1,Control!$A$51:$A$53,0)),Processing!B1,NA())</f>
        <v>B</v>
      </c>
      <c r="B4" s="8">
        <f>IFERROR(GETPIVOTDATA("Result",Control!$A$50,"Product",""&amp;A4),0)</f>
        <v>0.31</v>
      </c>
      <c r="C4" s="3">
        <f t="shared" ref="C4:C5" si="3">100%-B4</f>
        <v>0.69</v>
      </c>
      <c r="D4" t="s">
        <v>38</v>
      </c>
      <c r="E4" s="3">
        <f>GETPIVOTDATA(""&amp;D4,Control!$A$57)*NOT(ISNA($A$5))</f>
        <v>0.54</v>
      </c>
      <c r="F4" s="3">
        <f>GETPIVOTDATA(""&amp;D4,Control!$A$61)*NOT(ISNA($A$4))</f>
        <v>0.72</v>
      </c>
      <c r="G4" s="3">
        <f>GETPIVOTDATA(""&amp;D4,Control!$A$65)*NOT(ISNA($A$3))</f>
        <v>0.92</v>
      </c>
      <c r="H4" s="3">
        <f t="shared" ref="H4:H8" si="4">MAX(E4:G4)</f>
        <v>0.92</v>
      </c>
      <c r="I4" s="3"/>
      <c r="J4" s="3"/>
      <c r="K4" s="3"/>
      <c r="L4" t="s">
        <v>98</v>
      </c>
      <c r="M4" t="s">
        <v>4</v>
      </c>
      <c r="N4" s="4" cm="1">
        <f t="array" ref="N4">SUM(_xlfn._xlws.FILTER(mydata[Sales],(ISNUMBER(MATCH(mydata[Year],Control!$A$31:$A$33,0))*(mydata[Month]=Processing!$M4)*(mydata[Product]=Processing!A$1))))*NOT(ISNA($A$5))</f>
        <v>1220</v>
      </c>
      <c r="O4" s="4" cm="1">
        <f t="array" ref="O4">SUM(_xlfn._xlws.FILTER(mydata[Sales],(ISNUMBER(MATCH(mydata[Year],Control!$A$31:$A$33,0))*(mydata[Month]=Processing!$M4)*(mydata[Product]=Processing!B$1))))*NOT(ISNA($A$4))</f>
        <v>589</v>
      </c>
      <c r="P4" s="4" cm="1">
        <f t="array" ref="P4">SUM(_xlfn._xlws.FILTER(mydata[Sales],(ISNUMBER(MATCH(mydata[Year],Control!$A$31:$A$33,0))*(mydata[Month]=Processing!$M4)*(mydata[Product]=Processing!C$1))))*NOT(ISNA($A$3))</f>
        <v>289</v>
      </c>
      <c r="Q4">
        <f>IF(ISNUMBER(MATCH(M4,Control!$A$36:$A$47,0)),MAX($N$2:$P$13)*1.1,0)</f>
        <v>0</v>
      </c>
      <c r="R4" t="b">
        <f t="shared" si="1"/>
        <v>0</v>
      </c>
      <c r="S4" t="b">
        <f t="shared" si="0"/>
        <v>0</v>
      </c>
      <c r="T4" t="b">
        <f t="shared" si="2"/>
        <v>0</v>
      </c>
    </row>
    <row r="5" spans="1:20" x14ac:dyDescent="0.25">
      <c r="A5" s="6" t="str">
        <f>IF(ISNUMBER(MATCH(Processing!A1,Control!$A$51:$A$53,0)),Processing!A1,NA())</f>
        <v>A</v>
      </c>
      <c r="B5" s="8">
        <f>IFERROR(GETPIVOTDATA("Result",Control!$A$50,"Product",""&amp;A5),0)</f>
        <v>0.64</v>
      </c>
      <c r="C5" s="3">
        <f t="shared" si="3"/>
        <v>0.36</v>
      </c>
      <c r="D5" t="s">
        <v>39</v>
      </c>
      <c r="E5" s="3">
        <f>GETPIVOTDATA(""&amp;D5,Control!$A$57)*NOT(ISNA($A$5))</f>
        <v>0.25</v>
      </c>
      <c r="F5" s="3">
        <f>GETPIVOTDATA(""&amp;D5,Control!$A$61)*NOT(ISNA($A$4))</f>
        <v>0.68</v>
      </c>
      <c r="G5" s="3">
        <f>GETPIVOTDATA(""&amp;D5,Control!$A$65)*NOT(ISNA($A$3))</f>
        <v>0.33</v>
      </c>
      <c r="H5" s="3">
        <f t="shared" si="4"/>
        <v>0.68</v>
      </c>
      <c r="I5" s="3"/>
      <c r="J5" s="3"/>
      <c r="K5" s="3"/>
      <c r="L5" t="s">
        <v>99</v>
      </c>
      <c r="M5" t="s">
        <v>5</v>
      </c>
      <c r="N5" s="4" cm="1">
        <f t="array" ref="N5">SUM(_xlfn._xlws.FILTER(mydata[Sales],(ISNUMBER(MATCH(mydata[Year],Control!$A$31:$A$33,0))*(mydata[Month]=Processing!$M5)*(mydata[Product]=Processing!A$1))))*NOT(ISNA($A$5))</f>
        <v>1215</v>
      </c>
      <c r="O5" s="4" cm="1">
        <f t="array" ref="O5">SUM(_xlfn._xlws.FILTER(mydata[Sales],(ISNUMBER(MATCH(mydata[Year],Control!$A$31:$A$33,0))*(mydata[Month]=Processing!$M5)*(mydata[Product]=Processing!B$1))))*NOT(ISNA($A$4))</f>
        <v>668</v>
      </c>
      <c r="P5" s="4" cm="1">
        <f t="array" ref="P5">SUM(_xlfn._xlws.FILTER(mydata[Sales],(ISNUMBER(MATCH(mydata[Year],Control!$A$31:$A$33,0))*(mydata[Month]=Processing!$M5)*(mydata[Product]=Processing!C$1))))*NOT(ISNA($A$3))</f>
        <v>295</v>
      </c>
      <c r="Q5">
        <f>IF(ISNUMBER(MATCH(M5,Control!$A$36:$A$47,0)),MAX($N$2:$P$13)*1.1,0)</f>
        <v>0</v>
      </c>
      <c r="R5" t="b">
        <f t="shared" si="1"/>
        <v>0</v>
      </c>
      <c r="S5" t="b">
        <f t="shared" si="0"/>
        <v>0</v>
      </c>
      <c r="T5" t="b">
        <f t="shared" si="2"/>
        <v>0</v>
      </c>
    </row>
    <row r="6" spans="1:20" x14ac:dyDescent="0.25">
      <c r="D6" t="s">
        <v>40</v>
      </c>
      <c r="E6" s="3">
        <f>GETPIVOTDATA(""&amp;D6,Control!$A$57)*NOT(ISNA($A$5))</f>
        <v>0.33</v>
      </c>
      <c r="F6" s="3">
        <f>GETPIVOTDATA(""&amp;D6,Control!$A$61)*NOT(ISNA($A$4))</f>
        <v>0.87</v>
      </c>
      <c r="G6" s="3">
        <f>GETPIVOTDATA(""&amp;D6,Control!$A$65)*NOT(ISNA($A$3))</f>
        <v>0.68</v>
      </c>
      <c r="H6" s="3">
        <f t="shared" si="4"/>
        <v>0.87</v>
      </c>
      <c r="I6" s="3"/>
      <c r="J6" s="3"/>
      <c r="K6" s="3"/>
      <c r="L6" t="s">
        <v>6</v>
      </c>
      <c r="M6" t="s">
        <v>6</v>
      </c>
      <c r="N6" s="4" cm="1">
        <f t="array" ref="N6">SUM(_xlfn._xlws.FILTER(mydata[Sales],(ISNUMBER(MATCH(mydata[Year],Control!$A$31:$A$33,0))*(mydata[Month]=Processing!$M6)*(mydata[Product]=Processing!A$1))))*NOT(ISNA($A$5))</f>
        <v>1000</v>
      </c>
      <c r="O6" s="4" cm="1">
        <f t="array" ref="O6">SUM(_xlfn._xlws.FILTER(mydata[Sales],(ISNUMBER(MATCH(mydata[Year],Control!$A$31:$A$33,0))*(mydata[Month]=Processing!$M6)*(mydata[Product]=Processing!B$1))))*NOT(ISNA($A$4))</f>
        <v>670</v>
      </c>
      <c r="P6" s="4" cm="1">
        <f t="array" ref="P6">SUM(_xlfn._xlws.FILTER(mydata[Sales],(ISNUMBER(MATCH(mydata[Year],Control!$A$31:$A$33,0))*(mydata[Month]=Processing!$M6)*(mydata[Product]=Processing!C$1))))*NOT(ISNA($A$3))</f>
        <v>346</v>
      </c>
      <c r="Q6">
        <f>IF(ISNUMBER(MATCH(M6,Control!$A$36:$A$47,0)),MAX($N$2:$P$13)*1.1,0)</f>
        <v>0</v>
      </c>
      <c r="R6" t="b">
        <f t="shared" si="1"/>
        <v>0</v>
      </c>
      <c r="S6" t="b">
        <f t="shared" si="0"/>
        <v>0</v>
      </c>
      <c r="T6" t="b">
        <f t="shared" si="2"/>
        <v>0</v>
      </c>
    </row>
    <row r="7" spans="1:20" x14ac:dyDescent="0.25">
      <c r="D7" t="s">
        <v>41</v>
      </c>
      <c r="E7" s="3">
        <f>GETPIVOTDATA(""&amp;D7,Control!$A$57)*NOT(ISNA($A$5))</f>
        <v>0.36</v>
      </c>
      <c r="F7" s="3">
        <f>GETPIVOTDATA(""&amp;D7,Control!$A$61)*NOT(ISNA($A$4))</f>
        <v>0.98</v>
      </c>
      <c r="G7" s="3">
        <f>GETPIVOTDATA(""&amp;D7,Control!$A$65)*NOT(ISNA($A$3))</f>
        <v>0.73</v>
      </c>
      <c r="H7" s="3">
        <f t="shared" si="4"/>
        <v>0.98</v>
      </c>
      <c r="I7" s="3"/>
      <c r="J7" s="3"/>
      <c r="K7" s="3"/>
      <c r="L7" t="s">
        <v>100</v>
      </c>
      <c r="M7" t="s">
        <v>7</v>
      </c>
      <c r="N7" s="4" cm="1">
        <f t="array" ref="N7">SUM(_xlfn._xlws.FILTER(mydata[Sales],(ISNUMBER(MATCH(mydata[Year],Control!$A$31:$A$33,0))*(mydata[Month]=Processing!$M7)*(mydata[Product]=Processing!A$1))))*NOT(ISNA($A$5))</f>
        <v>920</v>
      </c>
      <c r="O7" s="4" cm="1">
        <f t="array" ref="O7">SUM(_xlfn._xlws.FILTER(mydata[Sales],(ISNUMBER(MATCH(mydata[Year],Control!$A$31:$A$33,0))*(mydata[Month]=Processing!$M7)*(mydata[Product]=Processing!B$1))))*NOT(ISNA($A$4))</f>
        <v>588</v>
      </c>
      <c r="P7" s="4" cm="1">
        <f t="array" ref="P7">SUM(_xlfn._xlws.FILTER(mydata[Sales],(ISNUMBER(MATCH(mydata[Year],Control!$A$31:$A$33,0))*(mydata[Month]=Processing!$M7)*(mydata[Product]=Processing!C$1))))*NOT(ISNA($A$3))</f>
        <v>370</v>
      </c>
      <c r="Q7">
        <f>IF(ISNUMBER(MATCH(M7,Control!$A$36:$A$47,0)),MAX($N$2:$P$13)*1.1,0)</f>
        <v>0</v>
      </c>
      <c r="R7" t="b">
        <f t="shared" si="1"/>
        <v>0</v>
      </c>
      <c r="S7" t="b">
        <f t="shared" si="0"/>
        <v>0</v>
      </c>
      <c r="T7" t="b">
        <f t="shared" si="2"/>
        <v>0</v>
      </c>
    </row>
    <row r="8" spans="1:20" x14ac:dyDescent="0.25">
      <c r="A8" s="5" t="s">
        <v>45</v>
      </c>
      <c r="B8" s="2">
        <f>GETPIVOTDATA("Average of Online sales",Control!$A$3)</f>
        <v>0.29000000000000004</v>
      </c>
      <c r="D8" t="s">
        <v>42</v>
      </c>
      <c r="E8" s="3">
        <f>GETPIVOTDATA(""&amp;D8,Control!$A$57)*NOT(ISNA($A$5))</f>
        <v>0.75</v>
      </c>
      <c r="F8" s="3">
        <f>GETPIVOTDATA(""&amp;D8,Control!$A$61)*NOT(ISNA($A$4))</f>
        <v>0.96</v>
      </c>
      <c r="G8" s="3">
        <f>GETPIVOTDATA(""&amp;D8,Control!$A$65)*NOT(ISNA($A$3))</f>
        <v>0.81</v>
      </c>
      <c r="H8" s="3">
        <f t="shared" si="4"/>
        <v>0.96</v>
      </c>
      <c r="I8" s="3"/>
      <c r="J8" s="3"/>
      <c r="K8" s="3"/>
      <c r="L8" t="s">
        <v>101</v>
      </c>
      <c r="M8" t="s">
        <v>8</v>
      </c>
      <c r="N8" s="4" cm="1">
        <f t="array" ref="N8">SUM(_xlfn._xlws.FILTER(mydata[Sales],(ISNUMBER(MATCH(mydata[Year],Control!$A$31:$A$33,0))*(mydata[Month]=Processing!$M8)*(mydata[Product]=Processing!A$1))))*NOT(ISNA($A$5))</f>
        <v>895</v>
      </c>
      <c r="O8" s="4" cm="1">
        <f t="array" ref="O8">SUM(_xlfn._xlws.FILTER(mydata[Sales],(ISNUMBER(MATCH(mydata[Year],Control!$A$31:$A$33,0))*(mydata[Month]=Processing!$M8)*(mydata[Product]=Processing!B$1))))*NOT(ISNA($A$4))</f>
        <v>534</v>
      </c>
      <c r="P8" s="4" cm="1">
        <f t="array" ref="P8">SUM(_xlfn._xlws.FILTER(mydata[Sales],(ISNUMBER(MATCH(mydata[Year],Control!$A$31:$A$33,0))*(mydata[Month]=Processing!$M8)*(mydata[Product]=Processing!C$1))))*NOT(ISNA($A$3))</f>
        <v>324</v>
      </c>
      <c r="Q8">
        <f>IF(ISNUMBER(MATCH(M8,Control!$A$36:$A$47,0)),MAX($N$2:$P$13)*1.1,0)</f>
        <v>0</v>
      </c>
      <c r="R8" t="b">
        <f t="shared" si="1"/>
        <v>0</v>
      </c>
      <c r="S8" t="b">
        <f t="shared" si="0"/>
        <v>0</v>
      </c>
      <c r="T8" t="b">
        <f t="shared" si="2"/>
        <v>0</v>
      </c>
    </row>
    <row r="9" spans="1:20" x14ac:dyDescent="0.25">
      <c r="A9" s="5" t="s">
        <v>43</v>
      </c>
      <c r="B9" s="2">
        <f>GETPIVOTDATA("Average of Regular sales",Control!$A$3)</f>
        <v>0.3066666666666667</v>
      </c>
      <c r="D9" s="19" t="s">
        <v>93</v>
      </c>
      <c r="E9" s="18">
        <f>AVERAGE(E3:E8)</f>
        <v>0.41666666666666669</v>
      </c>
      <c r="F9" s="18">
        <f t="shared" ref="F9:G9" si="5">AVERAGE(F3:F8)</f>
        <v>0.74833333333333341</v>
      </c>
      <c r="G9" s="18">
        <f t="shared" si="5"/>
        <v>0.72666666666666668</v>
      </c>
      <c r="H9" s="3"/>
      <c r="I9" s="17"/>
      <c r="J9" s="17"/>
      <c r="K9" s="17"/>
      <c r="L9" t="s">
        <v>102</v>
      </c>
      <c r="M9" t="s">
        <v>9</v>
      </c>
      <c r="N9" s="4" cm="1">
        <f t="array" ref="N9">SUM(_xlfn._xlws.FILTER(mydata[Sales],(ISNUMBER(MATCH(mydata[Year],Control!$A$31:$A$33,0))*(mydata[Month]=Processing!$M9)*(mydata[Product]=Processing!A$1))))*NOT(ISNA($A$5))</f>
        <v>956</v>
      </c>
      <c r="O9" s="4" cm="1">
        <f t="array" ref="O9">SUM(_xlfn._xlws.FILTER(mydata[Sales],(ISNUMBER(MATCH(mydata[Year],Control!$A$31:$A$33,0))*(mydata[Month]=Processing!$M9)*(mydata[Product]=Processing!B$1))))*NOT(ISNA($A$4))</f>
        <v>576</v>
      </c>
      <c r="P9" s="4" cm="1">
        <f t="array" ref="P9">SUM(_xlfn._xlws.FILTER(mydata[Sales],(ISNUMBER(MATCH(mydata[Year],Control!$A$31:$A$33,0))*(mydata[Month]=Processing!$M9)*(mydata[Product]=Processing!C$1))))*NOT(ISNA($A$3))</f>
        <v>226</v>
      </c>
      <c r="Q9">
        <f>IF(ISNUMBER(MATCH(M9,Control!$A$36:$A$47,0)),MAX($N$2:$P$13)*1.1,0)</f>
        <v>0</v>
      </c>
      <c r="R9" t="b">
        <f t="shared" si="1"/>
        <v>0</v>
      </c>
      <c r="S9" t="b">
        <f t="shared" si="0"/>
        <v>0</v>
      </c>
      <c r="T9" t="b">
        <f t="shared" si="2"/>
        <v>0</v>
      </c>
    </row>
    <row r="10" spans="1:20" x14ac:dyDescent="0.25">
      <c r="A10" s="5" t="s">
        <v>44</v>
      </c>
      <c r="B10" s="2">
        <f>GETPIVOTDATA("Average of Upselling",Control!$A$3)</f>
        <v>0.25</v>
      </c>
      <c r="D10" s="19" t="s">
        <v>107</v>
      </c>
      <c r="E10" s="18">
        <f>AVERAGE(H3:H8)</f>
        <v>0.8833333333333333</v>
      </c>
      <c r="L10" t="s">
        <v>103</v>
      </c>
      <c r="M10" t="s">
        <v>10</v>
      </c>
      <c r="N10" s="4" cm="1">
        <f t="array" ref="N10">SUM(_xlfn._xlws.FILTER(mydata[Sales],(ISNUMBER(MATCH(mydata[Year],Control!$A$31:$A$33,0))*(mydata[Month]=Processing!$M10)*(mydata[Product]=Processing!A$1))))*NOT(ISNA($A$5))</f>
        <v>1072</v>
      </c>
      <c r="O10" s="4" cm="1">
        <f t="array" ref="O10">SUM(_xlfn._xlws.FILTER(mydata[Sales],(ISNUMBER(MATCH(mydata[Year],Control!$A$31:$A$33,0))*(mydata[Month]=Processing!$M10)*(mydata[Product]=Processing!B$1))))*NOT(ISNA($A$4))</f>
        <v>684</v>
      </c>
      <c r="P10" s="4" cm="1">
        <f t="array" ref="P10">SUM(_xlfn._xlws.FILTER(mydata[Sales],(ISNUMBER(MATCH(mydata[Year],Control!$A$31:$A$33,0))*(mydata[Month]=Processing!$M10)*(mydata[Product]=Processing!C$1))))*NOT(ISNA($A$3))</f>
        <v>174</v>
      </c>
      <c r="Q10">
        <f>IF(ISNUMBER(MATCH(M10,Control!$A$36:$A$47,0)),MAX($N$2:$P$13)*1.1,0)</f>
        <v>0</v>
      </c>
      <c r="R10" t="b">
        <f t="shared" si="1"/>
        <v>0</v>
      </c>
      <c r="S10" t="b">
        <f t="shared" si="0"/>
        <v>0</v>
      </c>
      <c r="T10" t="b">
        <f t="shared" si="2"/>
        <v>0</v>
      </c>
    </row>
    <row r="11" spans="1:20" x14ac:dyDescent="0.25">
      <c r="A11" s="5" t="s">
        <v>46</v>
      </c>
      <c r="B11" s="2">
        <f>GETPIVOTDATA("Average of Other",Control!$A$3)</f>
        <v>0.15333333333333335</v>
      </c>
      <c r="C11" t="s">
        <v>69</v>
      </c>
      <c r="L11" t="s">
        <v>104</v>
      </c>
      <c r="M11" t="s">
        <v>11</v>
      </c>
      <c r="N11" s="4" cm="1">
        <f t="array" ref="N11">SUM(_xlfn._xlws.FILTER(mydata[Sales],(ISNUMBER(MATCH(mydata[Year],Control!$A$31:$A$33,0))*(mydata[Month]=Processing!$M11)*(mydata[Product]=Processing!A$1))))*NOT(ISNA($A$5))</f>
        <v>1084</v>
      </c>
      <c r="O11" s="4" cm="1">
        <f t="array" ref="O11">SUM(_xlfn._xlws.FILTER(mydata[Sales],(ISNUMBER(MATCH(mydata[Year],Control!$A$31:$A$33,0))*(mydata[Month]=Processing!$M11)*(mydata[Product]=Processing!B$1))))*NOT(ISNA($A$4))</f>
        <v>736</v>
      </c>
      <c r="P11" s="4" cm="1">
        <f t="array" ref="P11">SUM(_xlfn._xlws.FILTER(mydata[Sales],(ISNUMBER(MATCH(mydata[Year],Control!$A$31:$A$33,0))*(mydata[Month]=Processing!$M11)*(mydata[Product]=Processing!C$1))))*NOT(ISNA($A$3))</f>
        <v>190</v>
      </c>
      <c r="Q11">
        <f>IF(ISNUMBER(MATCH(M11,Control!$A$36:$A$47,0)),MAX($N$2:$P$13)*1.1,0)</f>
        <v>1342</v>
      </c>
      <c r="R11">
        <f t="shared" si="1"/>
        <v>1084</v>
      </c>
      <c r="S11">
        <f t="shared" si="0"/>
        <v>736</v>
      </c>
      <c r="T11">
        <f t="shared" si="2"/>
        <v>190</v>
      </c>
    </row>
    <row r="12" spans="1:20" x14ac:dyDescent="0.25">
      <c r="A12" s="5" t="s">
        <v>68</v>
      </c>
      <c r="B12" s="14">
        <f>SUM(B15:B21)</f>
        <v>2010</v>
      </c>
      <c r="C12" t="str">
        <f>IF(B12&gt;=1000, "$ "&amp;TEXT(B12/1000,"0.0")&amp;" M", "$ "&amp;TEXT(B12,"0")&amp;" K")</f>
        <v>$ 2.0 M</v>
      </c>
      <c r="L12" t="s">
        <v>105</v>
      </c>
      <c r="M12" t="s">
        <v>12</v>
      </c>
      <c r="N12" s="4" cm="1">
        <f t="array" ref="N12">SUM(_xlfn._xlws.FILTER(mydata[Sales],(ISNUMBER(MATCH(mydata[Year],Control!$A$31:$A$33,0))*(mydata[Month]=Processing!$M12)*(mydata[Product]=Processing!A$1))))*NOT(ISNA($A$5))</f>
        <v>997</v>
      </c>
      <c r="O12" s="4" cm="1">
        <f t="array" ref="O12">SUM(_xlfn._xlws.FILTER(mydata[Sales],(ISNUMBER(MATCH(mydata[Year],Control!$A$31:$A$33,0))*(mydata[Month]=Processing!$M12)*(mydata[Product]=Processing!B$1))))*NOT(ISNA($A$4))</f>
        <v>710</v>
      </c>
      <c r="P12" s="4" cm="1">
        <f t="array" ref="P12">SUM(_xlfn._xlws.FILTER(mydata[Sales],(ISNUMBER(MATCH(mydata[Year],Control!$A$31:$A$33,0))*(mydata[Month]=Processing!$M12)*(mydata[Product]=Processing!C$1))))*NOT(ISNA($A$3))</f>
        <v>252</v>
      </c>
      <c r="Q12">
        <f>IF(ISNUMBER(MATCH(M12,Control!$A$36:$A$47,0)),MAX($N$2:$P$13)*1.1,0)</f>
        <v>0</v>
      </c>
      <c r="R12" t="b">
        <f t="shared" si="1"/>
        <v>0</v>
      </c>
      <c r="S12" t="b">
        <f t="shared" si="0"/>
        <v>0</v>
      </c>
      <c r="T12" t="b">
        <f t="shared" si="2"/>
        <v>0</v>
      </c>
    </row>
    <row r="13" spans="1:20" x14ac:dyDescent="0.25">
      <c r="L13" t="s">
        <v>106</v>
      </c>
      <c r="M13" t="s">
        <v>13</v>
      </c>
      <c r="N13" s="4" cm="1">
        <f t="array" ref="N13">SUM(_xlfn._xlws.FILTER(mydata[Sales],(ISNUMBER(MATCH(mydata[Year],Control!$A$31:$A$33,0))*(mydata[Month]=Processing!$M13)*(mydata[Product]=Processing!A$1))))*NOT(ISNA($A$5))</f>
        <v>821</v>
      </c>
      <c r="O13" s="4" cm="1">
        <f t="array" ref="O13">SUM(_xlfn._xlws.FILTER(mydata[Sales],(ISNUMBER(MATCH(mydata[Year],Control!$A$31:$A$33,0))*(mydata[Month]=Processing!$M13)*(mydata[Product]=Processing!B$1))))*NOT(ISNA($A$4))</f>
        <v>628</v>
      </c>
      <c r="P13" s="4" cm="1">
        <f t="array" ref="P13">SUM(_xlfn._xlws.FILTER(mydata[Sales],(ISNUMBER(MATCH(mydata[Year],Control!$A$31:$A$33,0))*(mydata[Month]=Processing!$M13)*(mydata[Product]=Processing!C$1))))*NOT(ISNA($A$3))</f>
        <v>367</v>
      </c>
      <c r="Q13">
        <f>IF(ISNUMBER(MATCH(M13,Control!$A$36:$A$47,0)),MAX($N$2:$P$13)*1.1,0)</f>
        <v>0</v>
      </c>
      <c r="R13" t="b">
        <f t="shared" si="1"/>
        <v>0</v>
      </c>
      <c r="S13" t="b">
        <f t="shared" si="0"/>
        <v>0</v>
      </c>
      <c r="T13" t="b">
        <f t="shared" si="2"/>
        <v>0</v>
      </c>
    </row>
    <row r="14" spans="1:20" x14ac:dyDescent="0.25">
      <c r="A14" t="s">
        <v>79</v>
      </c>
      <c r="B14" t="s">
        <v>70</v>
      </c>
      <c r="C14" t="s">
        <v>71</v>
      </c>
      <c r="D14" t="s">
        <v>84</v>
      </c>
      <c r="E14" t="s">
        <v>91</v>
      </c>
      <c r="F14" s="43" t="str">
        <f>$A$5</f>
        <v>A</v>
      </c>
      <c r="G14" s="43"/>
      <c r="H14" s="43" t="str">
        <f>$A$4</f>
        <v>B</v>
      </c>
      <c r="I14" s="43"/>
      <c r="J14" s="43" t="str">
        <f>$A$3</f>
        <v>C</v>
      </c>
      <c r="K14" s="43"/>
      <c r="N14" s="4"/>
      <c r="O14" s="4"/>
      <c r="P14" s="4"/>
      <c r="Q14" s="4">
        <f>SUM(Q2:Q13)</f>
        <v>1342</v>
      </c>
      <c r="R14" s="4">
        <f t="shared" ref="R14:S14" si="6">SUM(R2:R13)</f>
        <v>1084</v>
      </c>
      <c r="S14" s="4">
        <f t="shared" si="6"/>
        <v>736</v>
      </c>
      <c r="T14" s="4">
        <f t="shared" ref="T14" si="7">SUM(T2:T13)</f>
        <v>190</v>
      </c>
    </row>
    <row r="15" spans="1:20" x14ac:dyDescent="0.25">
      <c r="A15" t="s">
        <v>72</v>
      </c>
      <c r="B15">
        <f>F15+H15+J15</f>
        <v>170</v>
      </c>
      <c r="C15">
        <f>G15+I15+K15</f>
        <v>535</v>
      </c>
      <c r="D15">
        <f>IF(ISNUMBER(MATCH(A15,Control!$A$21:$A$27,0)),B15,0)</f>
        <v>0</v>
      </c>
      <c r="E15" t="b">
        <f>IF(D15,C15)</f>
        <v>0</v>
      </c>
      <c r="F15">
        <f>GETPIVOTDATA($B$14&amp;RIGHT($A15,2),Control!$A$57)*NOT(ISNA($A$5))</f>
        <v>32</v>
      </c>
      <c r="G15">
        <f>GETPIVOTDATA($C$14&amp;RIGHT($A15,2),Control!$A$57)*NOT(ISNA($A$5))</f>
        <v>264</v>
      </c>
      <c r="H15">
        <f>GETPIVOTDATA($B$14&amp;RIGHT($A15,2),Control!$A$61)*NOT(ISNA($A$4))</f>
        <v>131</v>
      </c>
      <c r="I15">
        <f>GETPIVOTDATA($C$14&amp;RIGHT($A15,2),Control!$A$61)*NOT(ISNA($A$4))</f>
        <v>264</v>
      </c>
      <c r="J15">
        <f>GETPIVOTDATA($B$14&amp;RIGHT($A15,2),Control!$A$65)*NOT(ISNA($A$3))</f>
        <v>7</v>
      </c>
      <c r="K15">
        <f>GETPIVOTDATA($C$14&amp;RIGHT($A15,2),Control!$A$65)*NOT(ISNA($A$3))</f>
        <v>7</v>
      </c>
      <c r="N15" s="4"/>
      <c r="O15" s="4"/>
      <c r="P15" s="4"/>
      <c r="R15" s="4" t="str">
        <f>IF(R14&gt;=1000, "$ "&amp;TEXT(R14/1000,"0.0")&amp;" M", "$ "&amp;TEXT(R14,"0")&amp;" K")</f>
        <v>$ 1.1 M</v>
      </c>
      <c r="S15" s="4" t="str">
        <f t="shared" ref="S15" si="8">IF(S14&gt;=1000, "$ "&amp;TEXT(S14/1000,"0.0")&amp;" M", "$ "&amp;TEXT(S14,"0")&amp;" K")</f>
        <v>$ 736 K</v>
      </c>
      <c r="T15" s="4" t="str">
        <f t="shared" ref="T15" si="9">IF(T14&gt;=1000, "$ "&amp;TEXT(T14/1000,"0.0")&amp;" M", "$ "&amp;TEXT(T14,"0")&amp;" K")</f>
        <v>$ 190 K</v>
      </c>
    </row>
    <row r="16" spans="1:20" x14ac:dyDescent="0.25">
      <c r="A16" t="s">
        <v>73</v>
      </c>
      <c r="B16">
        <f t="shared" ref="B16:B21" si="10">F16+H16+J16</f>
        <v>401</v>
      </c>
      <c r="C16">
        <f t="shared" ref="C16:C21" si="11">G16+I16+K16</f>
        <v>306</v>
      </c>
      <c r="D16">
        <f>IF(ISNUMBER(MATCH(A16,Control!$A$21:$A$27,0)),B16,0)</f>
        <v>0</v>
      </c>
      <c r="E16" t="b">
        <f t="shared" ref="E16:E21" si="12">IF(D16,C16)</f>
        <v>0</v>
      </c>
      <c r="F16">
        <f>GETPIVOTDATA($B$14&amp;RIGHT($A16,2),Control!$A$57)*NOT(ISNA($A$5))</f>
        <v>218</v>
      </c>
      <c r="G16">
        <f>GETPIVOTDATA($C$14&amp;RIGHT($A16,2),Control!$A$57)*NOT(ISNA($A$5))</f>
        <v>181</v>
      </c>
      <c r="H16">
        <f>GETPIVOTDATA($B$14&amp;RIGHT($A16,2),Control!$A$61)*NOT(ISNA($A$4))</f>
        <v>119</v>
      </c>
      <c r="I16">
        <f>GETPIVOTDATA($C$14&amp;RIGHT($A16,2),Control!$A$61)*NOT(ISNA($A$4))</f>
        <v>76</v>
      </c>
      <c r="J16">
        <f>GETPIVOTDATA($B$14&amp;RIGHT($A16,2),Control!$A$65)*NOT(ISNA($A$3))</f>
        <v>64</v>
      </c>
      <c r="K16">
        <f>GETPIVOTDATA($C$14&amp;RIGHT($A16,2),Control!$A$65)*NOT(ISNA($A$3))</f>
        <v>49</v>
      </c>
      <c r="M16" s="41" t="s">
        <v>131</v>
      </c>
      <c r="N16" s="42"/>
      <c r="O16" s="42"/>
    </row>
    <row r="17" spans="1:19" x14ac:dyDescent="0.25">
      <c r="A17" t="s">
        <v>74</v>
      </c>
      <c r="B17">
        <f t="shared" si="10"/>
        <v>360</v>
      </c>
      <c r="C17">
        <f t="shared" si="11"/>
        <v>215</v>
      </c>
      <c r="D17">
        <f>IF(ISNUMBER(MATCH(A17,Control!$A$21:$A$27,0)),B17,0)</f>
        <v>0</v>
      </c>
      <c r="E17" t="b">
        <f t="shared" si="12"/>
        <v>0</v>
      </c>
      <c r="F17">
        <f>GETPIVOTDATA($B$14&amp;RIGHT($A17,2),Control!$A$57)*NOT(ISNA($A$5))</f>
        <v>244</v>
      </c>
      <c r="G17">
        <f>GETPIVOTDATA($C$14&amp;RIGHT($A17,2),Control!$A$57)*NOT(ISNA($A$5))</f>
        <v>133</v>
      </c>
      <c r="H17">
        <f>GETPIVOTDATA($B$14&amp;RIGHT($A17,2),Control!$A$61)*NOT(ISNA($A$4))</f>
        <v>89</v>
      </c>
      <c r="I17">
        <f>GETPIVOTDATA($C$14&amp;RIGHT($A17,2),Control!$A$61)*NOT(ISNA($A$4))</f>
        <v>49</v>
      </c>
      <c r="J17">
        <f>GETPIVOTDATA($B$14&amp;RIGHT($A17,2),Control!$A$65)*NOT(ISNA($A$3))</f>
        <v>27</v>
      </c>
      <c r="K17">
        <f>GETPIVOTDATA($C$14&amp;RIGHT($A17,2),Control!$A$65)*NOT(ISNA($A$3))</f>
        <v>33</v>
      </c>
      <c r="P17" t="s">
        <v>81</v>
      </c>
      <c r="Q17" s="6" t="s">
        <v>0</v>
      </c>
      <c r="R17" s="6" t="s">
        <v>1</v>
      </c>
    </row>
    <row r="18" spans="1:19" x14ac:dyDescent="0.25">
      <c r="A18" t="s">
        <v>75</v>
      </c>
      <c r="B18">
        <f t="shared" si="10"/>
        <v>363</v>
      </c>
      <c r="C18">
        <f t="shared" si="11"/>
        <v>567</v>
      </c>
      <c r="D18">
        <f>IF(ISNUMBER(MATCH(A18,Control!$A$21:$A$27,0)),B18,0)</f>
        <v>0</v>
      </c>
      <c r="E18" t="b">
        <f t="shared" si="12"/>
        <v>0</v>
      </c>
      <c r="F18">
        <f>GETPIVOTDATA($B$14&amp;RIGHT($A18,2),Control!$A$57)*NOT(ISNA($A$5))</f>
        <v>227</v>
      </c>
      <c r="G18">
        <f>GETPIVOTDATA($C$14&amp;RIGHT($A18,2),Control!$A$57)*NOT(ISNA($A$5))</f>
        <v>235</v>
      </c>
      <c r="H18">
        <f>GETPIVOTDATA($B$14&amp;RIGHT($A18,2),Control!$A$61)*NOT(ISNA($A$4))</f>
        <v>124</v>
      </c>
      <c r="I18">
        <f>GETPIVOTDATA($C$14&amp;RIGHT($A18,2),Control!$A$61)*NOT(ISNA($A$4))</f>
        <v>277</v>
      </c>
      <c r="J18">
        <f>GETPIVOTDATA($B$14&amp;RIGHT($A18,2),Control!$A$65)*NOT(ISNA($A$3))</f>
        <v>12</v>
      </c>
      <c r="K18">
        <f>GETPIVOTDATA($C$14&amp;RIGHT($A18,2),Control!$A$65)*NOT(ISNA($A$3))</f>
        <v>55</v>
      </c>
      <c r="P18" s="6" t="str">
        <f>A5</f>
        <v>A</v>
      </c>
      <c r="Q18" s="8">
        <v>0.4</v>
      </c>
      <c r="R18" s="8">
        <v>0.55000000000000004</v>
      </c>
      <c r="S18" s="8" cm="1">
        <f t="array" ref="S18">AVERAGE(_xlfn._xlws.FILTER(mydata[Cross],(ISNUMBER(MATCH(mydata[Year],Control!$A$31:$A$33,0))*(ISNUMBER(MATCH(mydata[Month],Control!$A$36:$A$47,0))*(mydata[Product]=Processing!P18)))))</f>
        <v>0.87</v>
      </c>
    </row>
    <row r="19" spans="1:19" x14ac:dyDescent="0.25">
      <c r="A19" t="s">
        <v>76</v>
      </c>
      <c r="B19">
        <f t="shared" si="10"/>
        <v>340</v>
      </c>
      <c r="C19">
        <f t="shared" si="11"/>
        <v>281</v>
      </c>
      <c r="D19">
        <f>IF(ISNUMBER(MATCH(A19,Control!$A$21:$A$27,0)),B19,0)</f>
        <v>0</v>
      </c>
      <c r="E19" t="b">
        <f t="shared" si="12"/>
        <v>0</v>
      </c>
      <c r="F19">
        <f>GETPIVOTDATA($B$14&amp;RIGHT($A19,2),Control!$A$57)*NOT(ISNA($A$5))</f>
        <v>173</v>
      </c>
      <c r="G19">
        <f>GETPIVOTDATA($C$14&amp;RIGHT($A19,2),Control!$A$57)*NOT(ISNA($A$5))</f>
        <v>118</v>
      </c>
      <c r="H19">
        <f>GETPIVOTDATA($B$14&amp;RIGHT($A19,2),Control!$A$61)*NOT(ISNA($A$4))</f>
        <v>125</v>
      </c>
      <c r="I19">
        <f>GETPIVOTDATA($C$14&amp;RIGHT($A19,2),Control!$A$61)*NOT(ISNA($A$4))</f>
        <v>93</v>
      </c>
      <c r="J19">
        <f>GETPIVOTDATA($B$14&amp;RIGHT($A19,2),Control!$A$65)*NOT(ISNA($A$3))</f>
        <v>42</v>
      </c>
      <c r="K19">
        <f>GETPIVOTDATA($C$14&amp;RIGHT($A19,2),Control!$A$65)*NOT(ISNA($A$3))</f>
        <v>70</v>
      </c>
      <c r="P19" s="6" t="str">
        <f>A4</f>
        <v>B</v>
      </c>
      <c r="Q19" s="8">
        <v>0.51</v>
      </c>
      <c r="R19" s="8">
        <v>0.6</v>
      </c>
      <c r="S19" s="8" cm="1">
        <f t="array" ref="S19">AVERAGE(_xlfn._xlws.FILTER(mydata[Cross],(ISNUMBER(MATCH(mydata[Year],Control!$A$31:$A$33,0))*(ISNUMBER(MATCH(mydata[Month],Control!$A$36:$A$47,0))*(mydata[Product]=Processing!P19)))))</f>
        <v>0.84</v>
      </c>
    </row>
    <row r="20" spans="1:19" x14ac:dyDescent="0.25">
      <c r="A20" t="s">
        <v>77</v>
      </c>
      <c r="B20">
        <f t="shared" si="10"/>
        <v>87</v>
      </c>
      <c r="C20">
        <f t="shared" si="11"/>
        <v>278</v>
      </c>
      <c r="D20">
        <f>IF(ISNUMBER(MATCH(A20,Control!$A$21:$A$27,0)),B20,0)</f>
        <v>0</v>
      </c>
      <c r="E20" t="b">
        <f t="shared" si="12"/>
        <v>0</v>
      </c>
      <c r="F20">
        <f>GETPIVOTDATA($B$14&amp;RIGHT($A20,2),Control!$A$57)*NOT(ISNA($A$5))</f>
        <v>34</v>
      </c>
      <c r="G20">
        <f>GETPIVOTDATA($C$14&amp;RIGHT($A20,2),Control!$A$57)*NOT(ISNA($A$5))</f>
        <v>180</v>
      </c>
      <c r="H20">
        <f>GETPIVOTDATA($B$14&amp;RIGHT($A20,2),Control!$A$61)*NOT(ISNA($A$4))</f>
        <v>43</v>
      </c>
      <c r="I20">
        <f>GETPIVOTDATA($C$14&amp;RIGHT($A20,2),Control!$A$61)*NOT(ISNA($A$4))</f>
        <v>32</v>
      </c>
      <c r="J20">
        <f>GETPIVOTDATA($B$14&amp;RIGHT($A20,2),Control!$A$65)*NOT(ISNA($A$3))</f>
        <v>10</v>
      </c>
      <c r="K20">
        <f>GETPIVOTDATA($C$14&amp;RIGHT($A20,2),Control!$A$65)*NOT(ISNA($A$3))</f>
        <v>66</v>
      </c>
      <c r="P20" s="6" t="str">
        <f>A3</f>
        <v>C</v>
      </c>
      <c r="Q20" s="8">
        <v>0.5</v>
      </c>
      <c r="R20" s="8">
        <v>0.5</v>
      </c>
      <c r="S20" s="8" cm="1">
        <f t="array" ref="S20">AVERAGE(_xlfn._xlws.FILTER(mydata[Cross],(ISNUMBER(MATCH(mydata[Year],Control!$A$31:$A$33,0))*(ISNUMBER(MATCH(mydata[Month],Control!$A$36:$A$47,0))*(mydata[Product]=Processing!P20)))))</f>
        <v>0.8</v>
      </c>
    </row>
    <row r="21" spans="1:19" x14ac:dyDescent="0.25">
      <c r="A21" t="s">
        <v>78</v>
      </c>
      <c r="B21">
        <f t="shared" si="10"/>
        <v>289</v>
      </c>
      <c r="C21">
        <f t="shared" si="11"/>
        <v>365</v>
      </c>
      <c r="D21">
        <f>IF(ISNUMBER(MATCH(A21,Control!$A$21:$A$27,0)),B21,0)</f>
        <v>289</v>
      </c>
      <c r="E21">
        <f t="shared" si="12"/>
        <v>365</v>
      </c>
      <c r="F21">
        <f>GETPIVOTDATA($B$14&amp;RIGHT($A21,2),Control!$A$57)*NOT(ISNA($A$5))</f>
        <v>156</v>
      </c>
      <c r="G21">
        <f>GETPIVOTDATA($C$14&amp;RIGHT($A21,2),Control!$A$57)*NOT(ISNA($A$5))</f>
        <v>185</v>
      </c>
      <c r="H21">
        <f>GETPIVOTDATA($B$14&amp;RIGHT($A21,2),Control!$A$61)*NOT(ISNA($A$4))</f>
        <v>105</v>
      </c>
      <c r="I21">
        <f>GETPIVOTDATA($C$14&amp;RIGHT($A21,2),Control!$A$61)*NOT(ISNA($A$4))</f>
        <v>132</v>
      </c>
      <c r="J21">
        <f>GETPIVOTDATA($B$14&amp;RIGHT($A21,2),Control!$A$65)*NOT(ISNA($A$3))</f>
        <v>28</v>
      </c>
      <c r="K21">
        <f>GETPIVOTDATA($C$14&amp;RIGHT($A21,2),Control!$A$65)*NOT(ISNA($A$3))</f>
        <v>48</v>
      </c>
    </row>
    <row r="22" spans="1:19" x14ac:dyDescent="0.25">
      <c r="D22" s="14">
        <f>SUM(D15:D21)</f>
        <v>289</v>
      </c>
      <c r="E22">
        <f>SUM(E15:E21)</f>
        <v>365</v>
      </c>
      <c r="F22" s="43" t="str">
        <f>$A$5</f>
        <v>A</v>
      </c>
      <c r="G22" s="43"/>
      <c r="H22" s="43" t="str">
        <f>$A$4</f>
        <v>B</v>
      </c>
      <c r="I22" s="43"/>
      <c r="J22" s="43" t="str">
        <f>$A$3</f>
        <v>C</v>
      </c>
      <c r="K22" s="43"/>
    </row>
    <row r="23" spans="1:19" x14ac:dyDescent="0.25">
      <c r="C23" t="s">
        <v>69</v>
      </c>
      <c r="D23" t="str">
        <f>IF(D22&gt;=1000, "$ "&amp;TEXT(D22/1000,"0.0")&amp;" M", "$ "&amp;TEXT(D22,"0")&amp;" K")</f>
        <v>$ 289 K</v>
      </c>
      <c r="E23" t="str">
        <f>IF(E22&gt;=1000, "$ "&amp;TEXT(E22/1000,"0.0")&amp;" M", "$ "&amp;TEXT(E22,"0")&amp;" K")</f>
        <v>$ 365 K</v>
      </c>
      <c r="F23" t="s">
        <v>18</v>
      </c>
      <c r="G23" t="s">
        <v>94</v>
      </c>
      <c r="H23" t="s">
        <v>18</v>
      </c>
      <c r="I23" t="s">
        <v>94</v>
      </c>
      <c r="J23" t="s">
        <v>18</v>
      </c>
      <c r="K23" t="s">
        <v>94</v>
      </c>
    </row>
    <row r="24" spans="1:19" x14ac:dyDescent="0.25">
      <c r="D24" t="s">
        <v>92</v>
      </c>
      <c r="E24" s="16">
        <f>D22/E22</f>
        <v>0.79178082191780819</v>
      </c>
      <c r="F24" s="14">
        <f>SUMIF($D$15:$D$21,"&lt;&gt;0",F15:F21)</f>
        <v>156</v>
      </c>
      <c r="G24" s="14">
        <f t="shared" ref="G24:K24" si="13">SUMIF($D$15:$D$21,"&lt;&gt;0",G15:G21)</f>
        <v>185</v>
      </c>
      <c r="H24" s="14">
        <f t="shared" si="13"/>
        <v>105</v>
      </c>
      <c r="I24" s="14">
        <f t="shared" si="13"/>
        <v>132</v>
      </c>
      <c r="J24" s="14">
        <f t="shared" si="13"/>
        <v>28</v>
      </c>
      <c r="K24" s="14">
        <f t="shared" si="13"/>
        <v>48</v>
      </c>
      <c r="Q24" s="2"/>
    </row>
    <row r="25" spans="1:19" x14ac:dyDescent="0.25">
      <c r="F25" t="str">
        <f t="shared" ref="F25:K25" si="14">IF(F24&gt;=1000, "$ "&amp;TEXT(F24/1000,"0.0")&amp;" M", "$ "&amp;TEXT(F24,"0")&amp;" K")</f>
        <v>$ 156 K</v>
      </c>
      <c r="G25" t="str">
        <f t="shared" si="14"/>
        <v>$ 185 K</v>
      </c>
      <c r="H25" t="str">
        <f t="shared" si="14"/>
        <v>$ 105 K</v>
      </c>
      <c r="I25" t="str">
        <f t="shared" si="14"/>
        <v>$ 132 K</v>
      </c>
      <c r="J25" t="str">
        <f t="shared" si="14"/>
        <v>$ 28 K</v>
      </c>
      <c r="K25" t="str">
        <f t="shared" si="14"/>
        <v>$ 48 K</v>
      </c>
      <c r="Q25" s="2"/>
    </row>
    <row r="26" spans="1:19" x14ac:dyDescent="0.25">
      <c r="Q26" s="2"/>
    </row>
  </sheetData>
  <mergeCells count="7">
    <mergeCell ref="M16:O16"/>
    <mergeCell ref="F14:G14"/>
    <mergeCell ref="H14:I14"/>
    <mergeCell ref="J14:K14"/>
    <mergeCell ref="F22:G22"/>
    <mergeCell ref="H22:I22"/>
    <mergeCell ref="J22:K22"/>
  </mergeCells>
  <phoneticPr fontId="2" type="noConversion"/>
  <hyperlinks>
    <hyperlink ref="M16" r:id="rId1" xr:uid="{42E51AB6-D768-461A-9591-0374BED37AEC}"/>
  </hyperlinks>
  <pageMargins left="0.7" right="0.7" top="0.75" bottom="0.75" header="0.3" footer="0.3"/>
  <ignoredErrors>
    <ignoredError sqref="H14 J14"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00E4-983D-435A-9C0F-FA1597CEC68D}">
  <sheetPr codeName="Sheet3"/>
  <dimension ref="A1:T66"/>
  <sheetViews>
    <sheetView workbookViewId="0">
      <selection activeCell="A63" sqref="A63"/>
    </sheetView>
  </sheetViews>
  <sheetFormatPr defaultRowHeight="15" x14ac:dyDescent="0.25"/>
  <cols>
    <col min="1" max="1" width="13.42578125" bestFit="1" customWidth="1"/>
    <col min="2" max="2" width="16.85546875" bestFit="1" customWidth="1"/>
    <col min="3" max="8" width="18.42578125" bestFit="1" customWidth="1"/>
    <col min="9" max="15" width="17.42578125" bestFit="1" customWidth="1"/>
    <col min="16" max="16" width="22.42578125" bestFit="1" customWidth="1"/>
    <col min="17" max="17" width="23.28515625" bestFit="1" customWidth="1"/>
    <col min="18" max="18" width="19.5703125" bestFit="1" customWidth="1"/>
    <col min="19" max="19" width="16.140625" bestFit="1" customWidth="1"/>
    <col min="20" max="20" width="17.42578125" bestFit="1" customWidth="1"/>
    <col min="21" max="28" width="14.5703125" bestFit="1" customWidth="1"/>
  </cols>
  <sheetData>
    <row r="1" spans="1:19" x14ac:dyDescent="0.25">
      <c r="B1" s="41"/>
      <c r="C1" s="42"/>
      <c r="D1" s="42"/>
    </row>
    <row r="3" spans="1:19" x14ac:dyDescent="0.25">
      <c r="A3" s="10" t="s">
        <v>48</v>
      </c>
      <c r="B3" t="s">
        <v>50</v>
      </c>
      <c r="C3" t="s">
        <v>51</v>
      </c>
      <c r="D3" t="s">
        <v>52</v>
      </c>
      <c r="E3" t="s">
        <v>53</v>
      </c>
      <c r="F3" t="s">
        <v>54</v>
      </c>
      <c r="G3" t="s">
        <v>55</v>
      </c>
      <c r="H3" t="s">
        <v>56</v>
      </c>
      <c r="I3" t="s">
        <v>57</v>
      </c>
      <c r="J3" t="s">
        <v>58</v>
      </c>
      <c r="K3" t="s">
        <v>59</v>
      </c>
      <c r="L3" t="s">
        <v>60</v>
      </c>
      <c r="M3" t="s">
        <v>61</v>
      </c>
      <c r="N3" t="s">
        <v>62</v>
      </c>
      <c r="O3" t="s">
        <v>63</v>
      </c>
      <c r="P3" t="s">
        <v>64</v>
      </c>
      <c r="Q3" t="s">
        <v>65</v>
      </c>
      <c r="R3" t="s">
        <v>66</v>
      </c>
      <c r="S3" t="s">
        <v>67</v>
      </c>
    </row>
    <row r="4" spans="1:19" x14ac:dyDescent="0.25">
      <c r="A4" s="7" t="s">
        <v>11</v>
      </c>
      <c r="B4" s="44">
        <v>170</v>
      </c>
      <c r="C4" s="44">
        <v>401</v>
      </c>
      <c r="D4" s="44">
        <v>360</v>
      </c>
      <c r="E4" s="44">
        <v>363</v>
      </c>
      <c r="F4" s="44">
        <v>340</v>
      </c>
      <c r="G4" s="44">
        <v>87</v>
      </c>
      <c r="H4" s="44">
        <v>289</v>
      </c>
      <c r="I4" s="44">
        <v>535</v>
      </c>
      <c r="J4" s="44">
        <v>306</v>
      </c>
      <c r="K4" s="44">
        <v>215</v>
      </c>
      <c r="L4" s="44">
        <v>567</v>
      </c>
      <c r="M4" s="44">
        <v>281</v>
      </c>
      <c r="N4" s="44">
        <v>278</v>
      </c>
      <c r="O4" s="44">
        <v>365</v>
      </c>
      <c r="P4" s="2">
        <v>0.29000000000000004</v>
      </c>
      <c r="Q4" s="2">
        <v>0.3066666666666667</v>
      </c>
      <c r="R4" s="2">
        <v>0.25</v>
      </c>
      <c r="S4" s="2">
        <v>0.15333333333333335</v>
      </c>
    </row>
    <row r="5" spans="1:19" x14ac:dyDescent="0.25">
      <c r="A5" s="7" t="s">
        <v>49</v>
      </c>
      <c r="B5" s="44">
        <v>170</v>
      </c>
      <c r="C5" s="44">
        <v>401</v>
      </c>
      <c r="D5" s="44">
        <v>360</v>
      </c>
      <c r="E5" s="44">
        <v>363</v>
      </c>
      <c r="F5" s="44">
        <v>340</v>
      </c>
      <c r="G5" s="44">
        <v>87</v>
      </c>
      <c r="H5" s="44">
        <v>289</v>
      </c>
      <c r="I5" s="44">
        <v>535</v>
      </c>
      <c r="J5" s="44">
        <v>306</v>
      </c>
      <c r="K5" s="44">
        <v>215</v>
      </c>
      <c r="L5" s="44">
        <v>567</v>
      </c>
      <c r="M5" s="44">
        <v>281</v>
      </c>
      <c r="N5" s="44">
        <v>278</v>
      </c>
      <c r="O5" s="44">
        <v>365</v>
      </c>
      <c r="P5" s="2">
        <v>0.29000000000000004</v>
      </c>
      <c r="Q5" s="2">
        <v>0.3066666666666667</v>
      </c>
      <c r="R5" s="2">
        <v>0.25</v>
      </c>
      <c r="S5" s="2">
        <v>0.15333333333333335</v>
      </c>
    </row>
    <row r="20" spans="1:1" x14ac:dyDescent="0.25">
      <c r="A20" s="10" t="s">
        <v>48</v>
      </c>
    </row>
    <row r="21" spans="1:1" x14ac:dyDescent="0.25">
      <c r="A21" s="7" t="s">
        <v>78</v>
      </c>
    </row>
    <row r="22" spans="1:1" x14ac:dyDescent="0.25">
      <c r="A22" s="7" t="s">
        <v>49</v>
      </c>
    </row>
    <row r="30" spans="1:1" x14ac:dyDescent="0.25">
      <c r="A30" s="10" t="s">
        <v>48</v>
      </c>
    </row>
    <row r="31" spans="1:1" x14ac:dyDescent="0.25">
      <c r="A31" s="7">
        <v>2027</v>
      </c>
    </row>
    <row r="35" spans="1:1" x14ac:dyDescent="0.25">
      <c r="A35" s="10" t="s">
        <v>48</v>
      </c>
    </row>
    <row r="36" spans="1:1" x14ac:dyDescent="0.25">
      <c r="A36" s="7" t="s">
        <v>11</v>
      </c>
    </row>
    <row r="50" spans="1:20" x14ac:dyDescent="0.25">
      <c r="A50" s="10" t="s">
        <v>48</v>
      </c>
      <c r="B50" t="s">
        <v>130</v>
      </c>
    </row>
    <row r="51" spans="1:20" x14ac:dyDescent="0.25">
      <c r="A51" s="7" t="s">
        <v>34</v>
      </c>
      <c r="B51" s="2">
        <v>0.64</v>
      </c>
    </row>
    <row r="52" spans="1:20" x14ac:dyDescent="0.25">
      <c r="A52" s="7" t="s">
        <v>36</v>
      </c>
      <c r="B52" s="2">
        <v>0.31</v>
      </c>
    </row>
    <row r="53" spans="1:20" x14ac:dyDescent="0.25">
      <c r="A53" s="7" t="s">
        <v>35</v>
      </c>
      <c r="B53" s="2">
        <v>0.44</v>
      </c>
    </row>
    <row r="55" spans="1:20" x14ac:dyDescent="0.25">
      <c r="A55" s="10" t="s">
        <v>33</v>
      </c>
      <c r="B55" t="s">
        <v>34</v>
      </c>
    </row>
    <row r="57" spans="1:20" x14ac:dyDescent="0.25">
      <c r="A57" t="s">
        <v>85</v>
      </c>
      <c r="B57" t="s">
        <v>86</v>
      </c>
      <c r="C57" t="s">
        <v>87</v>
      </c>
      <c r="D57" t="s">
        <v>88</v>
      </c>
      <c r="E57" t="s">
        <v>89</v>
      </c>
      <c r="F57" t="s">
        <v>90</v>
      </c>
      <c r="G57" t="s">
        <v>50</v>
      </c>
      <c r="H57" t="s">
        <v>51</v>
      </c>
      <c r="I57" t="s">
        <v>52</v>
      </c>
      <c r="J57" t="s">
        <v>53</v>
      </c>
      <c r="K57" t="s">
        <v>54</v>
      </c>
      <c r="L57" t="s">
        <v>55</v>
      </c>
      <c r="M57" t="s">
        <v>56</v>
      </c>
      <c r="N57" t="s">
        <v>57</v>
      </c>
      <c r="O57" t="s">
        <v>58</v>
      </c>
      <c r="P57" t="s">
        <v>59</v>
      </c>
      <c r="Q57" t="s">
        <v>60</v>
      </c>
      <c r="R57" t="s">
        <v>61</v>
      </c>
      <c r="S57" t="s">
        <v>62</v>
      </c>
      <c r="T57" t="s">
        <v>63</v>
      </c>
    </row>
    <row r="58" spans="1:20" x14ac:dyDescent="0.25">
      <c r="A58" s="2">
        <v>0.27</v>
      </c>
      <c r="B58" s="2">
        <v>0.54</v>
      </c>
      <c r="C58" s="2">
        <v>0.25</v>
      </c>
      <c r="D58" s="2">
        <v>0.33</v>
      </c>
      <c r="E58" s="2">
        <v>0.36</v>
      </c>
      <c r="F58" s="2">
        <v>0.75</v>
      </c>
      <c r="G58" s="44">
        <v>32</v>
      </c>
      <c r="H58" s="44">
        <v>218</v>
      </c>
      <c r="I58" s="44">
        <v>244</v>
      </c>
      <c r="J58" s="44">
        <v>227</v>
      </c>
      <c r="K58" s="44">
        <v>173</v>
      </c>
      <c r="L58" s="44">
        <v>34</v>
      </c>
      <c r="M58" s="44">
        <v>156</v>
      </c>
      <c r="N58" s="44">
        <v>264</v>
      </c>
      <c r="O58" s="44">
        <v>181</v>
      </c>
      <c r="P58" s="44">
        <v>133</v>
      </c>
      <c r="Q58" s="44">
        <v>235</v>
      </c>
      <c r="R58" s="44">
        <v>118</v>
      </c>
      <c r="S58" s="44">
        <v>180</v>
      </c>
      <c r="T58" s="44">
        <v>185</v>
      </c>
    </row>
    <row r="59" spans="1:20" x14ac:dyDescent="0.25">
      <c r="A59" s="10" t="s">
        <v>33</v>
      </c>
      <c r="B59" t="s">
        <v>36</v>
      </c>
    </row>
    <row r="61" spans="1:20" x14ac:dyDescent="0.25">
      <c r="A61" t="s">
        <v>85</v>
      </c>
      <c r="B61" t="s">
        <v>86</v>
      </c>
      <c r="C61" t="s">
        <v>87</v>
      </c>
      <c r="D61" t="s">
        <v>88</v>
      </c>
      <c r="E61" t="s">
        <v>89</v>
      </c>
      <c r="F61" t="s">
        <v>90</v>
      </c>
      <c r="G61" t="s">
        <v>50</v>
      </c>
      <c r="H61" t="s">
        <v>51</v>
      </c>
      <c r="I61" t="s">
        <v>52</v>
      </c>
      <c r="J61" t="s">
        <v>53</v>
      </c>
      <c r="K61" t="s">
        <v>54</v>
      </c>
      <c r="L61" t="s">
        <v>55</v>
      </c>
      <c r="M61" t="s">
        <v>56</v>
      </c>
      <c r="N61" t="s">
        <v>58</v>
      </c>
      <c r="O61" t="s">
        <v>57</v>
      </c>
      <c r="P61" t="s">
        <v>59</v>
      </c>
      <c r="Q61" t="s">
        <v>60</v>
      </c>
      <c r="R61" t="s">
        <v>61</v>
      </c>
      <c r="S61" t="s">
        <v>62</v>
      </c>
      <c r="T61" t="s">
        <v>63</v>
      </c>
    </row>
    <row r="62" spans="1:20" x14ac:dyDescent="0.25">
      <c r="A62" s="2">
        <v>0.28000000000000003</v>
      </c>
      <c r="B62" s="2">
        <v>0.72</v>
      </c>
      <c r="C62" s="2">
        <v>0.68</v>
      </c>
      <c r="D62" s="2">
        <v>0.87</v>
      </c>
      <c r="E62" s="2">
        <v>0.98</v>
      </c>
      <c r="F62" s="2">
        <v>0.96</v>
      </c>
      <c r="G62" s="44">
        <v>131</v>
      </c>
      <c r="H62" s="44">
        <v>119</v>
      </c>
      <c r="I62" s="44">
        <v>89</v>
      </c>
      <c r="J62" s="44">
        <v>124</v>
      </c>
      <c r="K62" s="44">
        <v>125</v>
      </c>
      <c r="L62" s="44">
        <v>43</v>
      </c>
      <c r="M62" s="44">
        <v>105</v>
      </c>
      <c r="N62" s="44">
        <v>76</v>
      </c>
      <c r="O62" s="44">
        <v>264</v>
      </c>
      <c r="P62" s="44">
        <v>49</v>
      </c>
      <c r="Q62" s="44">
        <v>277</v>
      </c>
      <c r="R62" s="44">
        <v>93</v>
      </c>
      <c r="S62" s="44">
        <v>32</v>
      </c>
      <c r="T62" s="44">
        <v>132</v>
      </c>
    </row>
    <row r="63" spans="1:20" x14ac:dyDescent="0.25">
      <c r="A63" s="10" t="s">
        <v>33</v>
      </c>
      <c r="B63" t="s">
        <v>35</v>
      </c>
    </row>
    <row r="65" spans="1:20" x14ac:dyDescent="0.25">
      <c r="A65" t="s">
        <v>85</v>
      </c>
      <c r="B65" t="s">
        <v>86</v>
      </c>
      <c r="C65" t="s">
        <v>87</v>
      </c>
      <c r="D65" t="s">
        <v>88</v>
      </c>
      <c r="E65" t="s">
        <v>89</v>
      </c>
      <c r="F65" t="s">
        <v>90</v>
      </c>
      <c r="G65" t="s">
        <v>50</v>
      </c>
      <c r="H65" t="s">
        <v>51</v>
      </c>
      <c r="I65" t="s">
        <v>52</v>
      </c>
      <c r="J65" t="s">
        <v>53</v>
      </c>
      <c r="K65" t="s">
        <v>54</v>
      </c>
      <c r="L65" t="s">
        <v>55</v>
      </c>
      <c r="M65" t="s">
        <v>56</v>
      </c>
      <c r="N65" t="s">
        <v>57</v>
      </c>
      <c r="O65" t="s">
        <v>58</v>
      </c>
      <c r="P65" t="s">
        <v>59</v>
      </c>
      <c r="Q65" t="s">
        <v>60</v>
      </c>
      <c r="R65" t="s">
        <v>61</v>
      </c>
      <c r="S65" t="s">
        <v>62</v>
      </c>
      <c r="T65" t="s">
        <v>63</v>
      </c>
    </row>
    <row r="66" spans="1:20" x14ac:dyDescent="0.25">
      <c r="A66" s="2">
        <v>0.89</v>
      </c>
      <c r="B66" s="2">
        <v>0.92</v>
      </c>
      <c r="C66" s="2">
        <v>0.33</v>
      </c>
      <c r="D66" s="2">
        <v>0.68</v>
      </c>
      <c r="E66" s="2">
        <v>0.73</v>
      </c>
      <c r="F66" s="2">
        <v>0.81</v>
      </c>
      <c r="G66" s="44">
        <v>7</v>
      </c>
      <c r="H66" s="44">
        <v>64</v>
      </c>
      <c r="I66" s="44">
        <v>27</v>
      </c>
      <c r="J66" s="44">
        <v>12</v>
      </c>
      <c r="K66" s="44">
        <v>42</v>
      </c>
      <c r="L66" s="44">
        <v>10</v>
      </c>
      <c r="M66" s="44">
        <v>28</v>
      </c>
      <c r="N66" s="44">
        <v>7</v>
      </c>
      <c r="O66" s="44">
        <v>49</v>
      </c>
      <c r="P66" s="44">
        <v>33</v>
      </c>
      <c r="Q66" s="44">
        <v>55</v>
      </c>
      <c r="R66" s="44">
        <v>70</v>
      </c>
      <c r="S66" s="44">
        <v>66</v>
      </c>
      <c r="T66" s="44">
        <v>48</v>
      </c>
    </row>
  </sheetData>
  <mergeCells count="1">
    <mergeCell ref="B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C2FA7-CDE1-4089-98C7-8CB4CBF1FC04}">
  <sheetPr codeName="Sheet4"/>
  <dimension ref="A1:AH109"/>
  <sheetViews>
    <sheetView topLeftCell="A25" workbookViewId="0">
      <selection activeCell="AF1" sqref="AF1:AH1"/>
    </sheetView>
  </sheetViews>
  <sheetFormatPr defaultRowHeight="15" x14ac:dyDescent="0.25"/>
  <cols>
    <col min="1" max="1" width="8.85546875" style="4"/>
    <col min="3" max="3" width="9.42578125" customWidth="1"/>
    <col min="6" max="6" width="8.85546875" style="4"/>
    <col min="7" max="13" width="12.7109375" style="4" customWidth="1"/>
    <col min="14" max="20" width="11.7109375" customWidth="1"/>
    <col min="21" max="26" width="9.7109375" customWidth="1"/>
    <col min="27" max="27" width="13" customWidth="1"/>
    <col min="28" max="28" width="13.7109375" customWidth="1"/>
    <col min="29" max="29" width="10.7109375" customWidth="1"/>
  </cols>
  <sheetData>
    <row r="1" spans="1:34" x14ac:dyDescent="0.25">
      <c r="A1" s="6" t="s">
        <v>14</v>
      </c>
      <c r="B1" s="6" t="s">
        <v>15</v>
      </c>
      <c r="C1" s="6" t="s">
        <v>33</v>
      </c>
      <c r="D1" s="6" t="s">
        <v>16</v>
      </c>
      <c r="E1" s="6" t="s">
        <v>17</v>
      </c>
      <c r="F1" s="6" t="s">
        <v>18</v>
      </c>
      <c r="G1" s="6" t="s">
        <v>19</v>
      </c>
      <c r="H1" s="6" t="s">
        <v>20</v>
      </c>
      <c r="I1" s="6" t="s">
        <v>21</v>
      </c>
      <c r="J1" s="6" t="s">
        <v>22</v>
      </c>
      <c r="K1" s="6" t="s">
        <v>23</v>
      </c>
      <c r="L1" s="6" t="s">
        <v>24</v>
      </c>
      <c r="M1" s="6" t="s">
        <v>25</v>
      </c>
      <c r="N1" s="5" t="s">
        <v>26</v>
      </c>
      <c r="O1" s="5" t="s">
        <v>27</v>
      </c>
      <c r="P1" s="5" t="s">
        <v>28</v>
      </c>
      <c r="Q1" s="5" t="s">
        <v>29</v>
      </c>
      <c r="R1" s="5" t="s">
        <v>30</v>
      </c>
      <c r="S1" s="5" t="s">
        <v>31</v>
      </c>
      <c r="T1" s="5" t="s">
        <v>32</v>
      </c>
      <c r="U1" s="5" t="s">
        <v>37</v>
      </c>
      <c r="V1" s="5" t="s">
        <v>38</v>
      </c>
      <c r="W1" s="5" t="s">
        <v>39</v>
      </c>
      <c r="X1" s="5" t="s">
        <v>40</v>
      </c>
      <c r="Y1" s="5" t="s">
        <v>41</v>
      </c>
      <c r="Z1" s="5" t="s">
        <v>42</v>
      </c>
      <c r="AA1" s="6" t="s">
        <v>45</v>
      </c>
      <c r="AB1" s="6" t="s">
        <v>43</v>
      </c>
      <c r="AC1" s="6" t="s">
        <v>44</v>
      </c>
      <c r="AD1" s="6" t="s">
        <v>46</v>
      </c>
      <c r="AF1" s="41" t="s">
        <v>131</v>
      </c>
      <c r="AG1" s="42"/>
      <c r="AH1" s="42"/>
    </row>
    <row r="2" spans="1:34" x14ac:dyDescent="0.25">
      <c r="A2" s="4">
        <v>2025</v>
      </c>
      <c r="B2" s="4" t="s">
        <v>2</v>
      </c>
      <c r="C2" s="4" t="s">
        <v>34</v>
      </c>
      <c r="D2" s="3">
        <v>0.85</v>
      </c>
      <c r="E2" s="8">
        <v>1</v>
      </c>
      <c r="F2" s="4">
        <v>1</v>
      </c>
      <c r="G2" s="4">
        <v>1</v>
      </c>
      <c r="H2" s="4">
        <v>0</v>
      </c>
      <c r="I2" s="4">
        <v>0</v>
      </c>
      <c r="J2" s="4">
        <v>0</v>
      </c>
      <c r="K2" s="4">
        <v>0</v>
      </c>
      <c r="L2" s="4">
        <v>0</v>
      </c>
      <c r="M2" s="4">
        <v>0</v>
      </c>
      <c r="N2" s="4">
        <v>69</v>
      </c>
      <c r="O2" s="4">
        <v>61</v>
      </c>
      <c r="P2" s="4">
        <v>22</v>
      </c>
      <c r="Q2" s="4">
        <v>4</v>
      </c>
      <c r="R2" s="4">
        <v>88</v>
      </c>
      <c r="S2" s="4">
        <v>54</v>
      </c>
      <c r="T2" s="4">
        <v>49</v>
      </c>
      <c r="U2" s="3">
        <v>0.25</v>
      </c>
      <c r="V2" s="3">
        <v>0.6</v>
      </c>
      <c r="W2" s="3">
        <v>0.5</v>
      </c>
      <c r="X2" s="3">
        <v>0.4</v>
      </c>
      <c r="Y2" s="3">
        <v>0.9</v>
      </c>
      <c r="Z2" s="3">
        <v>0.75</v>
      </c>
      <c r="AA2" s="8">
        <v>0.25</v>
      </c>
      <c r="AB2" s="11">
        <v>0.28000000000000003</v>
      </c>
      <c r="AC2" s="8">
        <v>0.15</v>
      </c>
      <c r="AD2" s="8">
        <v>0.32</v>
      </c>
    </row>
    <row r="3" spans="1:34" x14ac:dyDescent="0.25">
      <c r="A3" s="4">
        <v>2025</v>
      </c>
      <c r="B3" s="4" t="s">
        <v>3</v>
      </c>
      <c r="C3" s="4" t="s">
        <v>34</v>
      </c>
      <c r="D3" s="3">
        <v>0.5</v>
      </c>
      <c r="E3" s="3">
        <v>0.66</v>
      </c>
      <c r="F3" s="4">
        <v>267</v>
      </c>
      <c r="G3" s="4">
        <v>60</v>
      </c>
      <c r="H3" s="4">
        <v>64</v>
      </c>
      <c r="I3" s="4">
        <v>21</v>
      </c>
      <c r="J3" s="4">
        <v>35</v>
      </c>
      <c r="K3" s="4">
        <v>2</v>
      </c>
      <c r="L3" s="4">
        <v>47</v>
      </c>
      <c r="M3" s="4">
        <v>38</v>
      </c>
      <c r="N3" s="4">
        <v>79</v>
      </c>
      <c r="O3" s="4">
        <v>67</v>
      </c>
      <c r="P3" s="4">
        <v>123</v>
      </c>
      <c r="Q3" s="4">
        <v>117</v>
      </c>
      <c r="R3" s="4">
        <v>27</v>
      </c>
      <c r="S3" s="4">
        <v>25</v>
      </c>
      <c r="T3" s="4">
        <v>72</v>
      </c>
      <c r="U3" s="3">
        <v>0.64</v>
      </c>
      <c r="V3" s="3">
        <v>0.31</v>
      </c>
      <c r="W3" s="3">
        <v>0.53</v>
      </c>
      <c r="X3" s="3">
        <v>0.27</v>
      </c>
      <c r="Y3" s="3">
        <v>0.56000000000000005</v>
      </c>
      <c r="Z3" s="3">
        <v>0.24</v>
      </c>
      <c r="AA3" s="3">
        <v>0.41</v>
      </c>
      <c r="AB3" s="12">
        <v>0.26</v>
      </c>
      <c r="AC3" s="3">
        <v>0.26</v>
      </c>
      <c r="AD3" s="3">
        <v>7.0000000000000007E-2</v>
      </c>
    </row>
    <row r="4" spans="1:34" x14ac:dyDescent="0.25">
      <c r="A4" s="4">
        <v>2025</v>
      </c>
      <c r="B4" s="4" t="s">
        <v>4</v>
      </c>
      <c r="C4" s="4" t="s">
        <v>34</v>
      </c>
      <c r="D4" s="3">
        <v>0.46</v>
      </c>
      <c r="E4" s="3">
        <v>0.75</v>
      </c>
      <c r="F4" s="4">
        <v>392</v>
      </c>
      <c r="G4" s="4">
        <v>9</v>
      </c>
      <c r="H4" s="4">
        <v>67</v>
      </c>
      <c r="I4" s="4">
        <v>60</v>
      </c>
      <c r="J4" s="4">
        <v>99</v>
      </c>
      <c r="K4" s="4">
        <v>9</v>
      </c>
      <c r="L4" s="4">
        <v>92</v>
      </c>
      <c r="M4" s="4">
        <v>56</v>
      </c>
      <c r="N4" s="4">
        <v>117</v>
      </c>
      <c r="O4" s="4">
        <v>147</v>
      </c>
      <c r="P4" s="4">
        <v>27</v>
      </c>
      <c r="Q4" s="4">
        <v>46</v>
      </c>
      <c r="R4" s="4">
        <v>29</v>
      </c>
      <c r="S4" s="4">
        <v>195</v>
      </c>
      <c r="T4" s="4">
        <v>94</v>
      </c>
      <c r="U4" s="3">
        <v>0.67</v>
      </c>
      <c r="V4" s="3">
        <v>0.28000000000000003</v>
      </c>
      <c r="W4" s="3">
        <v>0.45</v>
      </c>
      <c r="X4" s="3">
        <v>0.55000000000000004</v>
      </c>
      <c r="Y4" s="3">
        <v>0.48</v>
      </c>
      <c r="Z4" s="3">
        <v>0.77</v>
      </c>
      <c r="AA4" s="3">
        <v>0.39</v>
      </c>
      <c r="AB4" s="13">
        <v>0.43</v>
      </c>
      <c r="AC4" s="3">
        <v>0.12</v>
      </c>
      <c r="AD4" s="3">
        <v>0.06</v>
      </c>
    </row>
    <row r="5" spans="1:34" x14ac:dyDescent="0.25">
      <c r="A5" s="4">
        <v>2025</v>
      </c>
      <c r="B5" s="4" t="s">
        <v>5</v>
      </c>
      <c r="C5" s="4" t="s">
        <v>34</v>
      </c>
      <c r="D5" s="3">
        <v>0.75</v>
      </c>
      <c r="E5" s="3">
        <v>0.36</v>
      </c>
      <c r="F5" s="4">
        <v>504</v>
      </c>
      <c r="G5" s="4">
        <v>18</v>
      </c>
      <c r="H5" s="4">
        <v>175</v>
      </c>
      <c r="I5" s="4">
        <v>33</v>
      </c>
      <c r="J5" s="4">
        <v>43</v>
      </c>
      <c r="K5" s="4">
        <v>51</v>
      </c>
      <c r="L5" s="4">
        <v>112</v>
      </c>
      <c r="M5" s="4">
        <v>72</v>
      </c>
      <c r="N5" s="4">
        <v>91</v>
      </c>
      <c r="O5" s="4">
        <v>162</v>
      </c>
      <c r="P5" s="4">
        <v>24</v>
      </c>
      <c r="Q5" s="4">
        <v>245</v>
      </c>
      <c r="R5" s="4">
        <v>235</v>
      </c>
      <c r="S5" s="4">
        <v>39</v>
      </c>
      <c r="T5" s="4">
        <v>132</v>
      </c>
      <c r="U5" s="3">
        <v>0.34</v>
      </c>
      <c r="V5" s="3">
        <v>0.61</v>
      </c>
      <c r="W5" s="3">
        <v>0.25</v>
      </c>
      <c r="X5" s="3">
        <v>0.65</v>
      </c>
      <c r="Y5" s="3">
        <v>0.28000000000000003</v>
      </c>
      <c r="Z5" s="3">
        <v>0.34</v>
      </c>
      <c r="AA5" s="3">
        <v>0.2</v>
      </c>
      <c r="AB5" s="12">
        <v>0.38</v>
      </c>
      <c r="AC5" s="3">
        <v>0.34</v>
      </c>
      <c r="AD5" s="3">
        <v>0.08</v>
      </c>
    </row>
    <row r="6" spans="1:34" x14ac:dyDescent="0.25">
      <c r="A6" s="4">
        <v>2025</v>
      </c>
      <c r="B6" s="4" t="s">
        <v>6</v>
      </c>
      <c r="C6" s="4" t="s">
        <v>34</v>
      </c>
      <c r="D6" s="3">
        <v>0.59</v>
      </c>
      <c r="E6" s="3">
        <v>0.86</v>
      </c>
      <c r="F6" s="4">
        <v>714</v>
      </c>
      <c r="G6" s="4">
        <v>73</v>
      </c>
      <c r="H6" s="4">
        <v>97</v>
      </c>
      <c r="I6" s="4">
        <v>44</v>
      </c>
      <c r="J6" s="4">
        <v>103</v>
      </c>
      <c r="K6" s="4">
        <v>96</v>
      </c>
      <c r="L6" s="4">
        <v>199</v>
      </c>
      <c r="M6" s="4">
        <v>102</v>
      </c>
      <c r="N6" s="4">
        <v>183</v>
      </c>
      <c r="O6" s="4">
        <v>143</v>
      </c>
      <c r="P6" s="4">
        <v>161</v>
      </c>
      <c r="Q6" s="4">
        <v>174</v>
      </c>
      <c r="R6" s="4">
        <v>184</v>
      </c>
      <c r="S6" s="4">
        <v>180</v>
      </c>
      <c r="T6" s="4">
        <v>171</v>
      </c>
      <c r="U6" s="3">
        <v>0.97</v>
      </c>
      <c r="V6" s="3">
        <v>0.91</v>
      </c>
      <c r="W6" s="3">
        <v>0.37</v>
      </c>
      <c r="X6" s="3">
        <v>0.91</v>
      </c>
      <c r="Y6" s="3">
        <v>0.59</v>
      </c>
      <c r="Z6" s="3">
        <v>0.56000000000000005</v>
      </c>
      <c r="AA6" s="3">
        <v>0.28000000000000003</v>
      </c>
      <c r="AB6" s="13">
        <v>0.27</v>
      </c>
      <c r="AC6" s="3">
        <v>0.27</v>
      </c>
      <c r="AD6" s="3">
        <v>0.18</v>
      </c>
    </row>
    <row r="7" spans="1:34" x14ac:dyDescent="0.25">
      <c r="A7" s="4">
        <v>2025</v>
      </c>
      <c r="B7" s="4" t="s">
        <v>7</v>
      </c>
      <c r="C7" s="4" t="s">
        <v>34</v>
      </c>
      <c r="D7" s="3">
        <v>0.92</v>
      </c>
      <c r="E7" s="3">
        <v>0.92</v>
      </c>
      <c r="F7" s="4">
        <v>920</v>
      </c>
      <c r="G7" s="4">
        <v>114</v>
      </c>
      <c r="H7" s="4">
        <v>230</v>
      </c>
      <c r="I7" s="4">
        <v>59</v>
      </c>
      <c r="J7" s="4">
        <v>82</v>
      </c>
      <c r="K7" s="4">
        <v>191</v>
      </c>
      <c r="L7" s="4">
        <v>112</v>
      </c>
      <c r="M7" s="4">
        <v>132</v>
      </c>
      <c r="N7" s="4">
        <v>231</v>
      </c>
      <c r="O7" s="4">
        <v>185</v>
      </c>
      <c r="P7" s="4">
        <v>289</v>
      </c>
      <c r="Q7" s="4">
        <v>316</v>
      </c>
      <c r="R7" s="4">
        <v>16</v>
      </c>
      <c r="S7" s="4">
        <v>57</v>
      </c>
      <c r="T7" s="4">
        <v>183</v>
      </c>
      <c r="U7" s="3">
        <v>0.43</v>
      </c>
      <c r="V7" s="3">
        <v>0.32</v>
      </c>
      <c r="W7" s="3">
        <v>0.89</v>
      </c>
      <c r="X7" s="3">
        <v>0.32</v>
      </c>
      <c r="Y7" s="3">
        <v>0.72</v>
      </c>
      <c r="Z7" s="3">
        <v>0.5</v>
      </c>
      <c r="AA7" s="3">
        <v>0.24</v>
      </c>
      <c r="AB7" s="12">
        <v>0.32</v>
      </c>
      <c r="AC7" s="3">
        <v>0.34</v>
      </c>
      <c r="AD7" s="3">
        <v>0.1</v>
      </c>
    </row>
    <row r="8" spans="1:34" x14ac:dyDescent="0.25">
      <c r="A8" s="4">
        <v>2025</v>
      </c>
      <c r="B8" s="4" t="s">
        <v>8</v>
      </c>
      <c r="C8" s="4" t="s">
        <v>34</v>
      </c>
      <c r="D8" s="3">
        <v>0.77</v>
      </c>
      <c r="E8" s="3">
        <v>0.38</v>
      </c>
      <c r="F8" s="4">
        <v>982</v>
      </c>
      <c r="G8" s="4">
        <v>257</v>
      </c>
      <c r="H8" s="4">
        <v>87</v>
      </c>
      <c r="I8" s="4">
        <v>207</v>
      </c>
      <c r="J8" s="4">
        <v>64</v>
      </c>
      <c r="K8" s="4">
        <v>119</v>
      </c>
      <c r="L8" s="4">
        <v>108</v>
      </c>
      <c r="M8" s="4">
        <v>140</v>
      </c>
      <c r="N8" s="4">
        <v>125</v>
      </c>
      <c r="O8" s="4">
        <v>57</v>
      </c>
      <c r="P8" s="4">
        <v>127</v>
      </c>
      <c r="Q8" s="4">
        <v>244</v>
      </c>
      <c r="R8" s="4">
        <v>152</v>
      </c>
      <c r="S8" s="4">
        <v>323</v>
      </c>
      <c r="T8" s="4">
        <v>171</v>
      </c>
      <c r="U8" s="3">
        <v>0.46</v>
      </c>
      <c r="V8" s="3">
        <v>0.45</v>
      </c>
      <c r="W8" s="3">
        <v>0.78</v>
      </c>
      <c r="X8" s="3">
        <v>0.84</v>
      </c>
      <c r="Y8" s="3">
        <v>0.42</v>
      </c>
      <c r="Z8" s="3">
        <v>0.31</v>
      </c>
      <c r="AA8" s="3">
        <v>0.06</v>
      </c>
      <c r="AB8" s="13">
        <v>0.64</v>
      </c>
      <c r="AC8" s="3">
        <v>0.18</v>
      </c>
      <c r="AD8" s="3">
        <v>0.12</v>
      </c>
    </row>
    <row r="9" spans="1:34" x14ac:dyDescent="0.25">
      <c r="A9" s="4">
        <v>2025</v>
      </c>
      <c r="B9" s="4" t="s">
        <v>9</v>
      </c>
      <c r="C9" s="4" t="s">
        <v>34</v>
      </c>
      <c r="D9" s="3">
        <v>0.32</v>
      </c>
      <c r="E9" s="3">
        <v>0.54</v>
      </c>
      <c r="F9" s="4">
        <v>922</v>
      </c>
      <c r="G9" s="4">
        <v>143</v>
      </c>
      <c r="H9" s="4">
        <v>173</v>
      </c>
      <c r="I9" s="4">
        <v>89</v>
      </c>
      <c r="J9" s="4">
        <v>47</v>
      </c>
      <c r="K9" s="4">
        <v>122</v>
      </c>
      <c r="L9" s="4">
        <v>217</v>
      </c>
      <c r="M9" s="4">
        <v>131</v>
      </c>
      <c r="N9" s="4">
        <v>227</v>
      </c>
      <c r="O9" s="4">
        <v>47</v>
      </c>
      <c r="P9" s="4">
        <v>291</v>
      </c>
      <c r="Q9" s="4">
        <v>13</v>
      </c>
      <c r="R9" s="4">
        <v>30</v>
      </c>
      <c r="S9" s="4">
        <v>269</v>
      </c>
      <c r="T9" s="4">
        <v>146</v>
      </c>
      <c r="U9" s="3">
        <v>0.84</v>
      </c>
      <c r="V9" s="3">
        <v>0.28999999999999998</v>
      </c>
      <c r="W9" s="3">
        <v>0.21</v>
      </c>
      <c r="X9" s="3">
        <v>0.51</v>
      </c>
      <c r="Y9" s="3">
        <v>0.3</v>
      </c>
      <c r="Z9" s="3">
        <v>0.98</v>
      </c>
      <c r="AA9" s="3">
        <v>0.16</v>
      </c>
      <c r="AB9" s="12">
        <v>0.53</v>
      </c>
      <c r="AC9" s="3">
        <v>0</v>
      </c>
      <c r="AD9" s="3">
        <v>0.31</v>
      </c>
    </row>
    <row r="10" spans="1:34" x14ac:dyDescent="0.25">
      <c r="A10" s="4">
        <v>2025</v>
      </c>
      <c r="B10" s="4" t="s">
        <v>10</v>
      </c>
      <c r="C10" s="4" t="s">
        <v>34</v>
      </c>
      <c r="D10" s="3">
        <v>0.75</v>
      </c>
      <c r="E10" s="3">
        <v>0.52</v>
      </c>
      <c r="F10" s="4">
        <v>787</v>
      </c>
      <c r="G10" s="4">
        <v>120</v>
      </c>
      <c r="H10" s="4">
        <v>179</v>
      </c>
      <c r="I10" s="4">
        <v>35</v>
      </c>
      <c r="J10" s="4">
        <v>170</v>
      </c>
      <c r="K10" s="4">
        <v>23</v>
      </c>
      <c r="L10" s="4">
        <v>148</v>
      </c>
      <c r="M10" s="4">
        <v>112</v>
      </c>
      <c r="N10" s="4">
        <v>141</v>
      </c>
      <c r="O10" s="4">
        <v>98</v>
      </c>
      <c r="P10" s="4">
        <v>80</v>
      </c>
      <c r="Q10" s="4">
        <v>113</v>
      </c>
      <c r="R10" s="4">
        <v>102</v>
      </c>
      <c r="S10" s="4">
        <v>108</v>
      </c>
      <c r="T10" s="4">
        <v>109</v>
      </c>
      <c r="U10" s="3">
        <v>0.55000000000000004</v>
      </c>
      <c r="V10" s="3">
        <v>0.35</v>
      </c>
      <c r="W10" s="3">
        <v>0.69</v>
      </c>
      <c r="X10" s="3">
        <v>0.61</v>
      </c>
      <c r="Y10" s="3">
        <v>0.9</v>
      </c>
      <c r="Z10" s="3">
        <v>0.57999999999999996</v>
      </c>
      <c r="AA10" s="3">
        <v>0.19</v>
      </c>
      <c r="AB10" s="13">
        <v>0.4</v>
      </c>
      <c r="AC10" s="3">
        <v>0.28000000000000003</v>
      </c>
      <c r="AD10" s="3">
        <v>0.13</v>
      </c>
    </row>
    <row r="11" spans="1:34" x14ac:dyDescent="0.25">
      <c r="A11" s="4">
        <v>2025</v>
      </c>
      <c r="B11" s="4" t="s">
        <v>11</v>
      </c>
      <c r="C11" s="4" t="s">
        <v>34</v>
      </c>
      <c r="D11" s="3">
        <v>0.89</v>
      </c>
      <c r="E11" s="3">
        <v>0.53</v>
      </c>
      <c r="F11" s="4">
        <v>578</v>
      </c>
      <c r="G11" s="4">
        <v>119</v>
      </c>
      <c r="H11" s="4">
        <v>101</v>
      </c>
      <c r="I11" s="4">
        <v>58</v>
      </c>
      <c r="J11" s="4">
        <v>65</v>
      </c>
      <c r="K11" s="4">
        <v>88</v>
      </c>
      <c r="L11" s="4">
        <v>65</v>
      </c>
      <c r="M11" s="4">
        <v>82</v>
      </c>
      <c r="N11" s="4">
        <v>13</v>
      </c>
      <c r="O11" s="4">
        <v>97</v>
      </c>
      <c r="P11" s="4">
        <v>77</v>
      </c>
      <c r="Q11" s="4">
        <v>96</v>
      </c>
      <c r="R11" s="4">
        <v>69</v>
      </c>
      <c r="S11" s="4">
        <v>78</v>
      </c>
      <c r="T11" s="4">
        <v>73</v>
      </c>
      <c r="U11" s="3">
        <v>0.52</v>
      </c>
      <c r="V11" s="3">
        <v>0.8</v>
      </c>
      <c r="W11" s="3">
        <v>0.75</v>
      </c>
      <c r="X11" s="3">
        <v>0.28000000000000003</v>
      </c>
      <c r="Y11" s="3">
        <v>0.53</v>
      </c>
      <c r="Z11" s="3">
        <v>0.99</v>
      </c>
      <c r="AA11" s="3">
        <v>0.33</v>
      </c>
      <c r="AB11" s="12">
        <v>0.28000000000000003</v>
      </c>
      <c r="AC11" s="3">
        <v>0.06</v>
      </c>
      <c r="AD11" s="3">
        <v>0.33</v>
      </c>
    </row>
    <row r="12" spans="1:34" x14ac:dyDescent="0.25">
      <c r="A12" s="4">
        <v>2025</v>
      </c>
      <c r="B12" s="4" t="s">
        <v>12</v>
      </c>
      <c r="C12" s="4" t="s">
        <v>34</v>
      </c>
      <c r="D12" s="3">
        <v>0.61</v>
      </c>
      <c r="E12" s="3">
        <v>0.77</v>
      </c>
      <c r="F12" s="4">
        <v>387</v>
      </c>
      <c r="G12" s="4">
        <v>42</v>
      </c>
      <c r="H12" s="4">
        <v>46</v>
      </c>
      <c r="I12" s="4">
        <v>23</v>
      </c>
      <c r="J12" s="4">
        <v>46</v>
      </c>
      <c r="K12" s="4">
        <v>96</v>
      </c>
      <c r="L12" s="4">
        <v>79</v>
      </c>
      <c r="M12" s="4">
        <v>55</v>
      </c>
      <c r="N12" s="4">
        <v>97</v>
      </c>
      <c r="O12" s="4">
        <v>13</v>
      </c>
      <c r="P12" s="4">
        <v>100</v>
      </c>
      <c r="Q12" s="4">
        <v>7</v>
      </c>
      <c r="R12" s="4">
        <v>26</v>
      </c>
      <c r="S12" s="4">
        <v>52</v>
      </c>
      <c r="T12" s="4">
        <v>48</v>
      </c>
      <c r="U12" s="3">
        <v>0.22</v>
      </c>
      <c r="V12" s="3">
        <v>0.41</v>
      </c>
      <c r="W12" s="3">
        <v>0.27</v>
      </c>
      <c r="X12" s="3">
        <v>0.47</v>
      </c>
      <c r="Y12" s="3">
        <v>0.26</v>
      </c>
      <c r="Z12" s="3">
        <v>0.54</v>
      </c>
      <c r="AA12" s="3">
        <v>0.18</v>
      </c>
      <c r="AB12" s="13">
        <v>0.48</v>
      </c>
      <c r="AC12" s="3">
        <v>0.03</v>
      </c>
      <c r="AD12" s="3">
        <v>0.31</v>
      </c>
    </row>
    <row r="13" spans="1:34" x14ac:dyDescent="0.25">
      <c r="A13" s="4">
        <v>2025</v>
      </c>
      <c r="B13" s="4" t="s">
        <v>13</v>
      </c>
      <c r="C13" s="4" t="s">
        <v>34</v>
      </c>
      <c r="D13" s="3">
        <v>0.35</v>
      </c>
      <c r="E13" s="3">
        <v>0.33</v>
      </c>
      <c r="F13" s="4">
        <v>264</v>
      </c>
      <c r="G13" s="4">
        <v>45</v>
      </c>
      <c r="H13" s="4">
        <v>44</v>
      </c>
      <c r="I13" s="4">
        <v>12</v>
      </c>
      <c r="J13" s="4">
        <v>29</v>
      </c>
      <c r="K13" s="4">
        <v>58</v>
      </c>
      <c r="L13" s="4">
        <v>40</v>
      </c>
      <c r="M13" s="4">
        <v>36</v>
      </c>
      <c r="N13" s="4">
        <v>207</v>
      </c>
      <c r="O13" s="4">
        <v>224</v>
      </c>
      <c r="P13" s="4">
        <v>280</v>
      </c>
      <c r="Q13" s="4">
        <v>163</v>
      </c>
      <c r="R13" s="4">
        <v>181</v>
      </c>
      <c r="S13" s="4">
        <v>167</v>
      </c>
      <c r="T13" s="4">
        <v>204</v>
      </c>
      <c r="U13" s="3">
        <v>0.69</v>
      </c>
      <c r="V13" s="3">
        <v>0.71</v>
      </c>
      <c r="W13" s="3">
        <v>0.57999999999999996</v>
      </c>
      <c r="X13" s="3">
        <v>0.94</v>
      </c>
      <c r="Y13" s="3">
        <v>0.82</v>
      </c>
      <c r="Z13" s="3">
        <v>0.94</v>
      </c>
      <c r="AA13" s="3">
        <v>0.17</v>
      </c>
      <c r="AB13" s="12">
        <v>0.3</v>
      </c>
      <c r="AC13" s="3">
        <v>0.28999999999999998</v>
      </c>
      <c r="AD13" s="3">
        <v>0.24</v>
      </c>
    </row>
    <row r="14" spans="1:34" x14ac:dyDescent="0.25">
      <c r="A14" s="4">
        <v>2026</v>
      </c>
      <c r="B14" s="4" t="s">
        <v>2</v>
      </c>
      <c r="C14" s="4" t="s">
        <v>34</v>
      </c>
      <c r="D14" s="3">
        <v>0.55000000000000004</v>
      </c>
      <c r="E14" s="3">
        <v>0.76</v>
      </c>
      <c r="F14" s="4">
        <v>1097</v>
      </c>
      <c r="G14" s="4">
        <v>130</v>
      </c>
      <c r="H14" s="4">
        <v>214</v>
      </c>
      <c r="I14" s="4">
        <v>91</v>
      </c>
      <c r="J14" s="4">
        <v>162</v>
      </c>
      <c r="K14" s="4">
        <v>215</v>
      </c>
      <c r="L14" s="4">
        <v>128</v>
      </c>
      <c r="M14" s="4">
        <v>157</v>
      </c>
      <c r="N14" s="4">
        <v>318</v>
      </c>
      <c r="O14" s="4">
        <v>304</v>
      </c>
      <c r="P14" s="4">
        <v>22</v>
      </c>
      <c r="Q14" s="4">
        <v>12</v>
      </c>
      <c r="R14" s="4">
        <v>68</v>
      </c>
      <c r="S14" s="4">
        <v>371</v>
      </c>
      <c r="T14" s="4">
        <v>182</v>
      </c>
      <c r="U14" s="3">
        <v>0.94</v>
      </c>
      <c r="V14" s="3">
        <v>0.71</v>
      </c>
      <c r="W14" s="3">
        <v>0.28999999999999998</v>
      </c>
      <c r="X14" s="3">
        <v>0.46</v>
      </c>
      <c r="Y14" s="3">
        <v>0.33</v>
      </c>
      <c r="Z14" s="3">
        <v>0.65</v>
      </c>
      <c r="AA14" s="3">
        <v>0.12</v>
      </c>
      <c r="AB14" s="13">
        <v>0.5</v>
      </c>
      <c r="AC14" s="3">
        <v>0.3</v>
      </c>
      <c r="AD14" s="3">
        <v>0.08</v>
      </c>
    </row>
    <row r="15" spans="1:34" x14ac:dyDescent="0.25">
      <c r="A15" s="4">
        <v>2026</v>
      </c>
      <c r="B15" s="4" t="s">
        <v>3</v>
      </c>
      <c r="C15" s="4" t="s">
        <v>34</v>
      </c>
      <c r="D15" s="3">
        <v>0.71</v>
      </c>
      <c r="E15" s="3">
        <v>0.38</v>
      </c>
      <c r="F15" s="4">
        <v>982</v>
      </c>
      <c r="G15" s="4">
        <v>99</v>
      </c>
      <c r="H15" s="4">
        <v>24</v>
      </c>
      <c r="I15" s="4">
        <v>288</v>
      </c>
      <c r="J15" s="4">
        <v>40</v>
      </c>
      <c r="K15" s="4">
        <v>267</v>
      </c>
      <c r="L15" s="4">
        <v>124</v>
      </c>
      <c r="M15" s="4">
        <v>140</v>
      </c>
      <c r="N15" s="4">
        <v>543</v>
      </c>
      <c r="O15" s="4">
        <v>164</v>
      </c>
      <c r="P15" s="4">
        <v>212</v>
      </c>
      <c r="Q15" s="4">
        <v>17</v>
      </c>
      <c r="R15" s="4">
        <v>31</v>
      </c>
      <c r="S15" s="4">
        <v>58</v>
      </c>
      <c r="T15" s="4">
        <v>171</v>
      </c>
      <c r="U15" s="3">
        <v>0.54</v>
      </c>
      <c r="V15" s="3">
        <v>0.42</v>
      </c>
      <c r="W15" s="3">
        <v>0.76</v>
      </c>
      <c r="X15" s="3">
        <v>0.95</v>
      </c>
      <c r="Y15" s="3">
        <v>0.48</v>
      </c>
      <c r="Z15" s="3">
        <v>0.34</v>
      </c>
      <c r="AA15" s="3">
        <v>0.24</v>
      </c>
      <c r="AB15" s="12">
        <v>0.42</v>
      </c>
      <c r="AC15" s="3">
        <v>0.04</v>
      </c>
      <c r="AD15" s="3">
        <v>0.3</v>
      </c>
    </row>
    <row r="16" spans="1:34" x14ac:dyDescent="0.25">
      <c r="A16" s="4">
        <v>2026</v>
      </c>
      <c r="B16" s="4" t="s">
        <v>4</v>
      </c>
      <c r="C16" s="4" t="s">
        <v>34</v>
      </c>
      <c r="D16" s="3">
        <v>0.91</v>
      </c>
      <c r="E16" s="3">
        <v>0.69</v>
      </c>
      <c r="F16" s="4">
        <v>920</v>
      </c>
      <c r="G16" s="4">
        <v>34</v>
      </c>
      <c r="H16" s="4">
        <v>266</v>
      </c>
      <c r="I16" s="4">
        <v>67</v>
      </c>
      <c r="J16" s="4">
        <v>77</v>
      </c>
      <c r="K16" s="4">
        <v>295</v>
      </c>
      <c r="L16" s="4">
        <v>49</v>
      </c>
      <c r="M16" s="4">
        <v>132</v>
      </c>
      <c r="N16" s="4">
        <v>58</v>
      </c>
      <c r="O16" s="4">
        <v>285</v>
      </c>
      <c r="P16" s="4">
        <v>201</v>
      </c>
      <c r="Q16" s="4">
        <v>83</v>
      </c>
      <c r="R16" s="4">
        <v>138</v>
      </c>
      <c r="S16" s="4">
        <v>242</v>
      </c>
      <c r="T16" s="4">
        <v>168</v>
      </c>
      <c r="U16" s="3">
        <v>0.45</v>
      </c>
      <c r="V16" s="3">
        <v>0.88</v>
      </c>
      <c r="W16" s="3">
        <v>0.84</v>
      </c>
      <c r="X16" s="3">
        <v>0.72</v>
      </c>
      <c r="Y16" s="3">
        <v>0.86</v>
      </c>
      <c r="Z16" s="3">
        <v>0.94</v>
      </c>
      <c r="AA16" s="3">
        <v>0.13</v>
      </c>
      <c r="AB16" s="13">
        <v>0.49</v>
      </c>
      <c r="AC16" s="3">
        <v>0.14000000000000001</v>
      </c>
      <c r="AD16" s="3">
        <v>0.24</v>
      </c>
    </row>
    <row r="17" spans="1:30" x14ac:dyDescent="0.25">
      <c r="A17" s="4">
        <v>2026</v>
      </c>
      <c r="B17" s="4" t="s">
        <v>5</v>
      </c>
      <c r="C17" s="4" t="s">
        <v>34</v>
      </c>
      <c r="D17" s="3">
        <v>0.64</v>
      </c>
      <c r="E17" s="3">
        <v>0.38</v>
      </c>
      <c r="F17" s="4">
        <v>904</v>
      </c>
      <c r="G17" s="4">
        <v>150</v>
      </c>
      <c r="H17" s="4">
        <v>217</v>
      </c>
      <c r="I17" s="4">
        <v>56</v>
      </c>
      <c r="J17" s="4">
        <v>3</v>
      </c>
      <c r="K17" s="4">
        <v>168</v>
      </c>
      <c r="L17" s="4">
        <v>180</v>
      </c>
      <c r="M17" s="4">
        <v>130</v>
      </c>
      <c r="N17" s="4">
        <v>276</v>
      </c>
      <c r="O17" s="4">
        <v>251</v>
      </c>
      <c r="P17" s="4">
        <v>178</v>
      </c>
      <c r="Q17" s="4">
        <v>180</v>
      </c>
      <c r="R17" s="4">
        <v>165</v>
      </c>
      <c r="S17" s="4">
        <v>15</v>
      </c>
      <c r="T17" s="4">
        <v>178</v>
      </c>
      <c r="U17" s="3">
        <v>0.5</v>
      </c>
      <c r="V17" s="3">
        <v>0.31</v>
      </c>
      <c r="W17" s="3">
        <v>0.62</v>
      </c>
      <c r="X17" s="3">
        <v>0.9</v>
      </c>
      <c r="Y17" s="3">
        <v>0.26</v>
      </c>
      <c r="Z17" s="3">
        <v>0.61</v>
      </c>
      <c r="AA17" s="3">
        <v>0.2</v>
      </c>
      <c r="AB17" s="12">
        <v>0.46</v>
      </c>
      <c r="AC17" s="3">
        <v>0.18</v>
      </c>
      <c r="AD17" s="3">
        <v>0.16</v>
      </c>
    </row>
    <row r="18" spans="1:30" x14ac:dyDescent="0.25">
      <c r="A18" s="4">
        <v>2026</v>
      </c>
      <c r="B18" s="4" t="s">
        <v>6</v>
      </c>
      <c r="C18" s="4" t="s">
        <v>34</v>
      </c>
      <c r="D18" s="3">
        <v>0.72</v>
      </c>
      <c r="E18" s="3">
        <v>0.73</v>
      </c>
      <c r="F18" s="4">
        <v>956</v>
      </c>
      <c r="G18" s="4">
        <v>121</v>
      </c>
      <c r="H18" s="4">
        <v>42</v>
      </c>
      <c r="I18" s="4">
        <v>126</v>
      </c>
      <c r="J18" s="4">
        <v>147</v>
      </c>
      <c r="K18" s="4">
        <v>152</v>
      </c>
      <c r="L18" s="4">
        <v>230</v>
      </c>
      <c r="M18" s="4">
        <v>138</v>
      </c>
      <c r="N18" s="4">
        <v>72</v>
      </c>
      <c r="O18" s="4">
        <v>145</v>
      </c>
      <c r="P18" s="4">
        <v>288</v>
      </c>
      <c r="Q18" s="4">
        <v>313</v>
      </c>
      <c r="R18" s="4">
        <v>96</v>
      </c>
      <c r="S18" s="4">
        <v>259</v>
      </c>
      <c r="T18" s="4">
        <v>197</v>
      </c>
      <c r="U18" s="3">
        <v>0.25</v>
      </c>
      <c r="V18" s="3">
        <v>0.9</v>
      </c>
      <c r="W18" s="3">
        <v>0.23</v>
      </c>
      <c r="X18" s="3">
        <v>0.67</v>
      </c>
      <c r="Y18" s="3">
        <v>0.26</v>
      </c>
      <c r="Z18" s="3">
        <v>0.83</v>
      </c>
      <c r="AA18" s="3">
        <v>0.1</v>
      </c>
      <c r="AB18" s="13">
        <v>0.53</v>
      </c>
      <c r="AC18" s="3">
        <v>0.02</v>
      </c>
      <c r="AD18" s="3">
        <v>0.35</v>
      </c>
    </row>
    <row r="19" spans="1:30" x14ac:dyDescent="0.25">
      <c r="A19" s="4">
        <v>2026</v>
      </c>
      <c r="B19" s="4" t="s">
        <v>7</v>
      </c>
      <c r="C19" s="4" t="s">
        <v>34</v>
      </c>
      <c r="D19" s="3">
        <v>0.98</v>
      </c>
      <c r="E19" s="3">
        <v>0.95</v>
      </c>
      <c r="F19" s="4">
        <v>1054</v>
      </c>
      <c r="G19" s="4">
        <v>156</v>
      </c>
      <c r="H19" s="4">
        <v>17</v>
      </c>
      <c r="I19" s="4">
        <v>293</v>
      </c>
      <c r="J19" s="4">
        <v>160</v>
      </c>
      <c r="K19" s="4">
        <v>56</v>
      </c>
      <c r="L19" s="4">
        <v>222</v>
      </c>
      <c r="M19" s="4">
        <v>150</v>
      </c>
      <c r="N19" s="4">
        <v>14</v>
      </c>
      <c r="O19" s="4">
        <v>371</v>
      </c>
      <c r="P19" s="4">
        <v>177</v>
      </c>
      <c r="Q19" s="4">
        <v>9</v>
      </c>
      <c r="R19" s="4">
        <v>180</v>
      </c>
      <c r="S19" s="4">
        <v>475</v>
      </c>
      <c r="T19" s="4">
        <v>204</v>
      </c>
      <c r="U19" s="3">
        <v>0.28000000000000003</v>
      </c>
      <c r="V19" s="3">
        <v>0.95</v>
      </c>
      <c r="W19" s="3">
        <v>0.41</v>
      </c>
      <c r="X19" s="3">
        <v>0.87</v>
      </c>
      <c r="Y19" s="3">
        <v>0.3</v>
      </c>
      <c r="Z19" s="3">
        <v>0.92</v>
      </c>
      <c r="AA19" s="3">
        <v>0.2</v>
      </c>
      <c r="AB19" s="12">
        <v>0.37</v>
      </c>
      <c r="AC19" s="3">
        <v>0.22</v>
      </c>
      <c r="AD19" s="3">
        <v>0.21</v>
      </c>
    </row>
    <row r="20" spans="1:30" x14ac:dyDescent="0.25">
      <c r="A20" s="4">
        <v>2026</v>
      </c>
      <c r="B20" s="4" t="s">
        <v>8</v>
      </c>
      <c r="C20" s="4" t="s">
        <v>34</v>
      </c>
      <c r="D20" s="3">
        <v>0.43</v>
      </c>
      <c r="E20" s="3">
        <v>0.91</v>
      </c>
      <c r="F20" s="4">
        <v>1100</v>
      </c>
      <c r="G20" s="4">
        <v>123</v>
      </c>
      <c r="H20" s="4">
        <v>272</v>
      </c>
      <c r="I20" s="4">
        <v>118</v>
      </c>
      <c r="J20" s="4">
        <v>132</v>
      </c>
      <c r="K20" s="4">
        <v>27</v>
      </c>
      <c r="L20" s="4">
        <v>272</v>
      </c>
      <c r="M20" s="4">
        <v>156</v>
      </c>
      <c r="N20" s="4">
        <v>0</v>
      </c>
      <c r="O20" s="4">
        <v>232</v>
      </c>
      <c r="P20" s="4">
        <v>120</v>
      </c>
      <c r="Q20" s="4">
        <v>321</v>
      </c>
      <c r="R20" s="4">
        <v>448</v>
      </c>
      <c r="S20" s="4">
        <v>77</v>
      </c>
      <c r="T20" s="4">
        <v>201</v>
      </c>
      <c r="U20" s="3">
        <v>0.4</v>
      </c>
      <c r="V20" s="3">
        <v>0.48</v>
      </c>
      <c r="W20" s="3">
        <v>0.28999999999999998</v>
      </c>
      <c r="X20" s="3">
        <v>0.34</v>
      </c>
      <c r="Y20" s="3">
        <v>0.23</v>
      </c>
      <c r="Z20" s="3">
        <v>0.7</v>
      </c>
      <c r="AA20" s="3">
        <v>0.2</v>
      </c>
      <c r="AB20" s="13">
        <v>0.36</v>
      </c>
      <c r="AC20" s="3">
        <v>0.4</v>
      </c>
      <c r="AD20" s="3">
        <v>0.04</v>
      </c>
    </row>
    <row r="21" spans="1:30" x14ac:dyDescent="0.25">
      <c r="A21" s="4">
        <v>2026</v>
      </c>
      <c r="B21" s="4" t="s">
        <v>9</v>
      </c>
      <c r="C21" s="4" t="s">
        <v>34</v>
      </c>
      <c r="D21" s="3">
        <v>0.87</v>
      </c>
      <c r="E21" s="3">
        <v>0.56999999999999995</v>
      </c>
      <c r="F21" s="4">
        <v>1076</v>
      </c>
      <c r="G21" s="4">
        <v>70</v>
      </c>
      <c r="H21" s="4">
        <v>166</v>
      </c>
      <c r="I21" s="4">
        <v>136</v>
      </c>
      <c r="J21" s="4">
        <v>142</v>
      </c>
      <c r="K21" s="4">
        <v>267</v>
      </c>
      <c r="L21" s="4">
        <v>141</v>
      </c>
      <c r="M21" s="4">
        <v>154</v>
      </c>
      <c r="N21" s="4">
        <v>55</v>
      </c>
      <c r="O21" s="4">
        <v>48</v>
      </c>
      <c r="P21" s="4">
        <v>351</v>
      </c>
      <c r="Q21" s="4">
        <v>383</v>
      </c>
      <c r="R21" s="4">
        <v>103</v>
      </c>
      <c r="S21" s="4">
        <v>203</v>
      </c>
      <c r="T21" s="4">
        <v>190</v>
      </c>
      <c r="U21" s="3">
        <v>0.94</v>
      </c>
      <c r="V21" s="3">
        <v>0.59</v>
      </c>
      <c r="W21" s="3">
        <v>0.42</v>
      </c>
      <c r="X21" s="3">
        <v>0.98</v>
      </c>
      <c r="Y21" s="3">
        <v>0.82</v>
      </c>
      <c r="Z21" s="3">
        <v>0.95</v>
      </c>
      <c r="AA21" s="3">
        <v>0.16</v>
      </c>
      <c r="AB21" s="12">
        <v>0.64</v>
      </c>
      <c r="AC21" s="3">
        <v>0.1</v>
      </c>
      <c r="AD21" s="3">
        <v>0.1</v>
      </c>
    </row>
    <row r="22" spans="1:30" x14ac:dyDescent="0.25">
      <c r="A22" s="4">
        <v>2026</v>
      </c>
      <c r="B22" s="4" t="s">
        <v>10</v>
      </c>
      <c r="C22" s="4" t="s">
        <v>34</v>
      </c>
      <c r="D22" s="3">
        <v>0.84</v>
      </c>
      <c r="E22" s="3">
        <v>0.39</v>
      </c>
      <c r="F22" s="4">
        <v>1025</v>
      </c>
      <c r="G22" s="4">
        <v>21</v>
      </c>
      <c r="H22" s="4">
        <v>129</v>
      </c>
      <c r="I22" s="4">
        <v>243</v>
      </c>
      <c r="J22" s="4">
        <v>169</v>
      </c>
      <c r="K22" s="4">
        <v>242</v>
      </c>
      <c r="L22" s="4">
        <v>75</v>
      </c>
      <c r="M22" s="4">
        <v>146</v>
      </c>
      <c r="N22" s="4">
        <v>210</v>
      </c>
      <c r="O22" s="4">
        <v>207</v>
      </c>
      <c r="P22" s="4">
        <v>220</v>
      </c>
      <c r="Q22" s="4">
        <v>211</v>
      </c>
      <c r="R22" s="4">
        <v>234</v>
      </c>
      <c r="S22" s="4">
        <v>54</v>
      </c>
      <c r="T22" s="4">
        <v>189</v>
      </c>
      <c r="U22" s="3">
        <v>0.22</v>
      </c>
      <c r="V22" s="3">
        <v>0.91</v>
      </c>
      <c r="W22" s="3">
        <v>0.56999999999999995</v>
      </c>
      <c r="X22" s="3">
        <v>0.92</v>
      </c>
      <c r="Y22" s="3">
        <v>0.4</v>
      </c>
      <c r="Z22" s="3">
        <v>0.24</v>
      </c>
      <c r="AA22" s="3">
        <v>0.26</v>
      </c>
      <c r="AB22" s="13">
        <v>0.5</v>
      </c>
      <c r="AC22" s="3">
        <v>0.06</v>
      </c>
      <c r="AD22" s="3">
        <v>0.18</v>
      </c>
    </row>
    <row r="23" spans="1:30" x14ac:dyDescent="0.25">
      <c r="A23" s="4">
        <v>2026</v>
      </c>
      <c r="B23" s="4" t="s">
        <v>11</v>
      </c>
      <c r="C23" s="4" t="s">
        <v>34</v>
      </c>
      <c r="D23" s="3">
        <v>0.69</v>
      </c>
      <c r="E23" s="3">
        <v>0.94</v>
      </c>
      <c r="F23" s="4">
        <v>1019</v>
      </c>
      <c r="G23" s="4">
        <v>130</v>
      </c>
      <c r="H23" s="4">
        <v>152</v>
      </c>
      <c r="I23" s="4">
        <v>87</v>
      </c>
      <c r="J23" s="4">
        <v>101</v>
      </c>
      <c r="K23" s="4">
        <v>226</v>
      </c>
      <c r="L23" s="4">
        <v>177</v>
      </c>
      <c r="M23" s="4">
        <v>146</v>
      </c>
      <c r="N23" s="4">
        <v>68</v>
      </c>
      <c r="O23" s="4">
        <v>233</v>
      </c>
      <c r="P23" s="4">
        <v>28</v>
      </c>
      <c r="Q23" s="4">
        <v>288</v>
      </c>
      <c r="R23" s="4">
        <v>465</v>
      </c>
      <c r="S23" s="4">
        <v>136</v>
      </c>
      <c r="T23" s="4">
        <v>204</v>
      </c>
      <c r="U23" s="3">
        <v>0.99</v>
      </c>
      <c r="V23" s="3">
        <v>0.57999999999999996</v>
      </c>
      <c r="W23" s="3">
        <v>0.62</v>
      </c>
      <c r="X23" s="3">
        <v>0.46</v>
      </c>
      <c r="Y23" s="3">
        <v>0.63</v>
      </c>
      <c r="Z23" s="3">
        <v>0.85</v>
      </c>
      <c r="AA23" s="3">
        <v>0.21</v>
      </c>
      <c r="AB23" s="12">
        <v>0.39</v>
      </c>
      <c r="AC23" s="3">
        <v>0.08</v>
      </c>
      <c r="AD23" s="3">
        <v>0.32</v>
      </c>
    </row>
    <row r="24" spans="1:30" x14ac:dyDescent="0.25">
      <c r="A24" s="4">
        <v>2026</v>
      </c>
      <c r="B24" s="4" t="s">
        <v>12</v>
      </c>
      <c r="C24" s="4" t="s">
        <v>34</v>
      </c>
      <c r="D24" s="3">
        <v>0.41</v>
      </c>
      <c r="E24" s="3">
        <v>0.73</v>
      </c>
      <c r="F24" s="4">
        <v>1094</v>
      </c>
      <c r="G24" s="4">
        <v>57</v>
      </c>
      <c r="H24" s="4">
        <v>171</v>
      </c>
      <c r="I24" s="4">
        <v>95</v>
      </c>
      <c r="J24" s="4">
        <v>135</v>
      </c>
      <c r="K24" s="4">
        <v>332</v>
      </c>
      <c r="L24" s="4">
        <v>147</v>
      </c>
      <c r="M24" s="4">
        <v>157</v>
      </c>
      <c r="N24" s="4">
        <v>37</v>
      </c>
      <c r="O24" s="4">
        <v>268</v>
      </c>
      <c r="P24" s="4">
        <v>328</v>
      </c>
      <c r="Q24" s="4">
        <v>414</v>
      </c>
      <c r="R24" s="4">
        <v>265</v>
      </c>
      <c r="S24" s="4">
        <v>95</v>
      </c>
      <c r="T24" s="4">
        <v>234</v>
      </c>
      <c r="U24" s="3">
        <v>0.61</v>
      </c>
      <c r="V24" s="3">
        <v>0.39</v>
      </c>
      <c r="W24" s="3">
        <v>0.77</v>
      </c>
      <c r="X24" s="3">
        <v>0.95</v>
      </c>
      <c r="Y24" s="3">
        <v>0.46</v>
      </c>
      <c r="Z24" s="3">
        <v>0.61</v>
      </c>
      <c r="AA24" s="3">
        <v>0.04</v>
      </c>
      <c r="AB24" s="13">
        <v>0.57999999999999996</v>
      </c>
      <c r="AC24" s="3">
        <v>0.13</v>
      </c>
      <c r="AD24" s="3">
        <v>0.25</v>
      </c>
    </row>
    <row r="25" spans="1:30" x14ac:dyDescent="0.25">
      <c r="A25" s="4">
        <v>2026</v>
      </c>
      <c r="B25" s="4" t="s">
        <v>13</v>
      </c>
      <c r="C25" s="4" t="s">
        <v>34</v>
      </c>
      <c r="D25" s="3">
        <v>0.87</v>
      </c>
      <c r="E25" s="3">
        <v>0.38</v>
      </c>
      <c r="F25" s="4">
        <v>1262</v>
      </c>
      <c r="G25" s="4">
        <v>216</v>
      </c>
      <c r="H25" s="4">
        <v>77</v>
      </c>
      <c r="I25" s="4">
        <v>254</v>
      </c>
      <c r="J25" s="4">
        <v>223</v>
      </c>
      <c r="K25" s="4">
        <v>152</v>
      </c>
      <c r="L25" s="4">
        <v>160</v>
      </c>
      <c r="M25" s="4">
        <v>180</v>
      </c>
      <c r="N25" s="4">
        <v>149</v>
      </c>
      <c r="O25" s="4">
        <v>424</v>
      </c>
      <c r="P25" s="4">
        <v>29</v>
      </c>
      <c r="Q25" s="4">
        <v>138</v>
      </c>
      <c r="R25" s="4">
        <v>94</v>
      </c>
      <c r="S25" s="4">
        <v>278</v>
      </c>
      <c r="T25" s="4">
        <v>185</v>
      </c>
      <c r="U25" s="3">
        <v>0.76</v>
      </c>
      <c r="V25" s="3">
        <v>0.97</v>
      </c>
      <c r="W25" s="3">
        <v>0.46</v>
      </c>
      <c r="X25" s="3">
        <v>0.5</v>
      </c>
      <c r="Y25" s="3">
        <v>0.63</v>
      </c>
      <c r="Z25" s="3">
        <v>0.55000000000000004</v>
      </c>
      <c r="AA25" s="3">
        <v>0.18</v>
      </c>
      <c r="AB25" s="12">
        <v>0.52</v>
      </c>
      <c r="AC25" s="3">
        <v>0.27</v>
      </c>
      <c r="AD25" s="3">
        <v>0.03</v>
      </c>
    </row>
    <row r="26" spans="1:30" x14ac:dyDescent="0.25">
      <c r="A26" s="4">
        <v>2027</v>
      </c>
      <c r="B26" s="4" t="s">
        <v>2</v>
      </c>
      <c r="C26" s="4" t="s">
        <v>34</v>
      </c>
      <c r="D26" s="3">
        <v>0.89</v>
      </c>
      <c r="E26" s="3">
        <v>0.9</v>
      </c>
      <c r="F26" s="9">
        <v>998</v>
      </c>
      <c r="G26" s="4">
        <v>204</v>
      </c>
      <c r="H26" s="4">
        <v>160</v>
      </c>
      <c r="I26" s="4">
        <v>155</v>
      </c>
      <c r="J26" s="4">
        <v>173</v>
      </c>
      <c r="K26" s="4">
        <v>25</v>
      </c>
      <c r="L26" s="4">
        <v>138</v>
      </c>
      <c r="M26" s="4">
        <v>143</v>
      </c>
      <c r="N26" s="4">
        <v>276</v>
      </c>
      <c r="O26" s="4">
        <v>52</v>
      </c>
      <c r="P26" s="4">
        <v>156</v>
      </c>
      <c r="Q26" s="4">
        <v>335</v>
      </c>
      <c r="R26" s="4">
        <v>229</v>
      </c>
      <c r="S26" s="4">
        <v>155</v>
      </c>
      <c r="T26" s="4">
        <v>201</v>
      </c>
      <c r="U26" s="3">
        <v>0.96</v>
      </c>
      <c r="V26" s="3">
        <v>0.33</v>
      </c>
      <c r="W26" s="3">
        <v>0.23</v>
      </c>
      <c r="X26" s="3">
        <v>0.31</v>
      </c>
      <c r="Y26" s="3">
        <v>0.84</v>
      </c>
      <c r="Z26" s="3">
        <v>0.59</v>
      </c>
      <c r="AA26" s="3">
        <v>0.13</v>
      </c>
      <c r="AB26" s="13">
        <v>0.52</v>
      </c>
      <c r="AC26" s="3">
        <v>0.25</v>
      </c>
      <c r="AD26" s="3">
        <v>0.1</v>
      </c>
    </row>
    <row r="27" spans="1:30" x14ac:dyDescent="0.25">
      <c r="A27" s="4">
        <v>2027</v>
      </c>
      <c r="B27" s="4" t="s">
        <v>3</v>
      </c>
      <c r="C27" s="4" t="s">
        <v>34</v>
      </c>
      <c r="D27" s="3">
        <v>0.98</v>
      </c>
      <c r="E27" s="3">
        <v>0.86</v>
      </c>
      <c r="F27" s="9">
        <v>1080</v>
      </c>
      <c r="G27" s="4">
        <v>179</v>
      </c>
      <c r="H27" s="4">
        <v>165</v>
      </c>
      <c r="I27" s="4">
        <v>133</v>
      </c>
      <c r="J27" s="4">
        <v>154</v>
      </c>
      <c r="K27" s="4">
        <v>106</v>
      </c>
      <c r="L27" s="4">
        <v>190</v>
      </c>
      <c r="M27" s="4">
        <v>153</v>
      </c>
      <c r="N27" s="4">
        <v>148</v>
      </c>
      <c r="O27" s="4">
        <v>96</v>
      </c>
      <c r="P27" s="4">
        <v>124</v>
      </c>
      <c r="Q27" s="4">
        <v>318</v>
      </c>
      <c r="R27" s="4">
        <v>6</v>
      </c>
      <c r="S27" s="4">
        <v>668</v>
      </c>
      <c r="T27" s="4">
        <v>226</v>
      </c>
      <c r="U27" s="3">
        <v>0.81</v>
      </c>
      <c r="V27" s="3">
        <v>0.96</v>
      </c>
      <c r="W27" s="3">
        <v>0.81</v>
      </c>
      <c r="X27" s="3">
        <v>0.28000000000000003</v>
      </c>
      <c r="Y27" s="3">
        <v>0.53</v>
      </c>
      <c r="Z27" s="3">
        <v>0.44</v>
      </c>
      <c r="AA27" s="3">
        <v>0.16</v>
      </c>
      <c r="AB27" s="12">
        <v>0.38</v>
      </c>
      <c r="AC27" s="3">
        <v>0.19</v>
      </c>
      <c r="AD27" s="3">
        <v>0.27</v>
      </c>
    </row>
    <row r="28" spans="1:30" x14ac:dyDescent="0.25">
      <c r="A28" s="4">
        <v>2027</v>
      </c>
      <c r="B28" s="4" t="s">
        <v>4</v>
      </c>
      <c r="C28" s="4" t="s">
        <v>34</v>
      </c>
      <c r="D28" s="3">
        <v>0.59</v>
      </c>
      <c r="E28" s="3">
        <v>0.52</v>
      </c>
      <c r="F28" s="9">
        <v>1220</v>
      </c>
      <c r="G28" s="4">
        <v>16</v>
      </c>
      <c r="H28" s="4">
        <v>75</v>
      </c>
      <c r="I28" s="4">
        <v>358</v>
      </c>
      <c r="J28" s="4">
        <v>367</v>
      </c>
      <c r="K28" s="4">
        <v>54</v>
      </c>
      <c r="L28" s="4">
        <v>177</v>
      </c>
      <c r="M28" s="4">
        <v>173</v>
      </c>
      <c r="N28" s="4">
        <v>18</v>
      </c>
      <c r="O28" s="4">
        <v>423</v>
      </c>
      <c r="P28" s="4">
        <v>304</v>
      </c>
      <c r="Q28" s="4">
        <v>203</v>
      </c>
      <c r="R28" s="4">
        <v>293</v>
      </c>
      <c r="S28" s="4">
        <v>114</v>
      </c>
      <c r="T28" s="4">
        <v>225</v>
      </c>
      <c r="U28" s="3">
        <v>0.66</v>
      </c>
      <c r="V28" s="3">
        <v>0.83</v>
      </c>
      <c r="W28" s="3">
        <v>0.31</v>
      </c>
      <c r="X28" s="3">
        <v>0.46</v>
      </c>
      <c r="Y28" s="3">
        <v>0.61</v>
      </c>
      <c r="Z28" s="3">
        <v>0.73</v>
      </c>
      <c r="AA28" s="3">
        <v>0.14000000000000001</v>
      </c>
      <c r="AB28" s="13">
        <v>0.5</v>
      </c>
      <c r="AC28" s="3">
        <v>0.27</v>
      </c>
      <c r="AD28" s="3">
        <v>0.09</v>
      </c>
    </row>
    <row r="29" spans="1:30" x14ac:dyDescent="0.25">
      <c r="A29" s="4">
        <v>2027</v>
      </c>
      <c r="B29" s="4" t="s">
        <v>5</v>
      </c>
      <c r="C29" s="4" t="s">
        <v>34</v>
      </c>
      <c r="D29" s="3">
        <v>0.5</v>
      </c>
      <c r="E29" s="3">
        <v>0.73</v>
      </c>
      <c r="F29" s="9">
        <v>1215</v>
      </c>
      <c r="G29" s="4">
        <v>215</v>
      </c>
      <c r="H29" s="4">
        <v>18</v>
      </c>
      <c r="I29" s="4">
        <v>96</v>
      </c>
      <c r="J29" s="4">
        <v>383</v>
      </c>
      <c r="K29" s="4">
        <v>173</v>
      </c>
      <c r="L29" s="4">
        <v>157</v>
      </c>
      <c r="M29" s="4">
        <v>173</v>
      </c>
      <c r="N29" s="4">
        <v>60</v>
      </c>
      <c r="O29" s="4">
        <v>352</v>
      </c>
      <c r="P29" s="4">
        <v>26</v>
      </c>
      <c r="Q29" s="4">
        <v>326</v>
      </c>
      <c r="R29" s="4">
        <v>301</v>
      </c>
      <c r="S29" s="4">
        <v>48</v>
      </c>
      <c r="T29" s="4">
        <v>187</v>
      </c>
      <c r="U29" s="3">
        <v>0.28000000000000003</v>
      </c>
      <c r="V29" s="3">
        <v>0.78</v>
      </c>
      <c r="W29" s="3">
        <v>0.95</v>
      </c>
      <c r="X29" s="3">
        <v>0.39</v>
      </c>
      <c r="Y29" s="3">
        <v>0.82</v>
      </c>
      <c r="Z29" s="3">
        <v>0.2</v>
      </c>
      <c r="AA29" s="3">
        <v>0.25</v>
      </c>
      <c r="AB29" s="12">
        <v>0.52</v>
      </c>
      <c r="AC29" s="3">
        <v>0.12</v>
      </c>
      <c r="AD29" s="3">
        <v>0.11</v>
      </c>
    </row>
    <row r="30" spans="1:30" x14ac:dyDescent="0.25">
      <c r="A30" s="4">
        <v>2027</v>
      </c>
      <c r="B30" s="4" t="s">
        <v>6</v>
      </c>
      <c r="C30" s="4" t="s">
        <v>34</v>
      </c>
      <c r="D30" s="3">
        <v>0.66</v>
      </c>
      <c r="E30" s="3">
        <v>0.47</v>
      </c>
      <c r="F30" s="9">
        <v>1000</v>
      </c>
      <c r="G30" s="4">
        <v>167</v>
      </c>
      <c r="H30" s="4">
        <v>113</v>
      </c>
      <c r="I30" s="4">
        <v>16</v>
      </c>
      <c r="J30" s="4">
        <v>263</v>
      </c>
      <c r="K30" s="4">
        <v>173</v>
      </c>
      <c r="L30" s="4">
        <v>126</v>
      </c>
      <c r="M30" s="4">
        <v>142</v>
      </c>
      <c r="N30" s="4">
        <v>300</v>
      </c>
      <c r="O30" s="4">
        <v>151</v>
      </c>
      <c r="P30" s="4">
        <v>19</v>
      </c>
      <c r="Q30" s="4">
        <v>73</v>
      </c>
      <c r="R30" s="4">
        <v>411</v>
      </c>
      <c r="S30" s="4">
        <v>72</v>
      </c>
      <c r="T30" s="4">
        <v>170</v>
      </c>
      <c r="U30" s="3">
        <v>0.56999999999999995</v>
      </c>
      <c r="V30" s="3">
        <v>0.77</v>
      </c>
      <c r="W30" s="3">
        <v>0.25</v>
      </c>
      <c r="X30" s="3">
        <v>0.32</v>
      </c>
      <c r="Y30" s="3">
        <v>0.59</v>
      </c>
      <c r="Z30" s="3">
        <v>0.68</v>
      </c>
      <c r="AA30" s="3">
        <v>0.21</v>
      </c>
      <c r="AB30" s="13">
        <v>0.56999999999999995</v>
      </c>
      <c r="AC30" s="3">
        <v>0.12</v>
      </c>
      <c r="AD30" s="3">
        <v>0.1</v>
      </c>
    </row>
    <row r="31" spans="1:30" x14ac:dyDescent="0.25">
      <c r="A31" s="4">
        <v>2027</v>
      </c>
      <c r="B31" s="4" t="s">
        <v>7</v>
      </c>
      <c r="C31" s="4" t="s">
        <v>34</v>
      </c>
      <c r="D31" s="3">
        <v>0.88</v>
      </c>
      <c r="E31" s="3">
        <v>0.68</v>
      </c>
      <c r="F31" s="9">
        <v>920</v>
      </c>
      <c r="G31" s="4">
        <v>181</v>
      </c>
      <c r="H31" s="4">
        <v>135</v>
      </c>
      <c r="I31" s="4">
        <v>47</v>
      </c>
      <c r="J31" s="4">
        <v>173</v>
      </c>
      <c r="K31" s="4">
        <v>147</v>
      </c>
      <c r="L31" s="4">
        <v>106</v>
      </c>
      <c r="M31" s="4">
        <v>131</v>
      </c>
      <c r="N31" s="4">
        <v>29</v>
      </c>
      <c r="O31" s="4">
        <v>500</v>
      </c>
      <c r="P31" s="4">
        <v>150</v>
      </c>
      <c r="Q31" s="4">
        <v>295</v>
      </c>
      <c r="R31" s="4">
        <v>18</v>
      </c>
      <c r="S31" s="4">
        <v>6</v>
      </c>
      <c r="T31" s="4">
        <v>166</v>
      </c>
      <c r="U31" s="3">
        <v>0.91</v>
      </c>
      <c r="V31" s="3">
        <v>0.6</v>
      </c>
      <c r="W31" s="3">
        <v>0.94</v>
      </c>
      <c r="X31" s="3">
        <v>0.2</v>
      </c>
      <c r="Y31" s="3">
        <v>0.21</v>
      </c>
      <c r="Z31" s="3">
        <v>0.42</v>
      </c>
      <c r="AA31" s="3">
        <v>0.25</v>
      </c>
      <c r="AB31" s="12">
        <v>0.44</v>
      </c>
      <c r="AC31" s="3">
        <v>0.08</v>
      </c>
      <c r="AD31" s="3">
        <v>0.23</v>
      </c>
    </row>
    <row r="32" spans="1:30" x14ac:dyDescent="0.25">
      <c r="A32" s="4">
        <v>2027</v>
      </c>
      <c r="B32" s="4" t="s">
        <v>8</v>
      </c>
      <c r="C32" s="4" t="s">
        <v>34</v>
      </c>
      <c r="D32" s="3">
        <v>0.96</v>
      </c>
      <c r="E32" s="3">
        <v>0.5</v>
      </c>
      <c r="F32" s="9">
        <v>895</v>
      </c>
      <c r="G32" s="4">
        <v>7</v>
      </c>
      <c r="H32" s="4">
        <v>208</v>
      </c>
      <c r="I32" s="4">
        <v>30</v>
      </c>
      <c r="J32" s="4">
        <v>165</v>
      </c>
      <c r="K32" s="4">
        <v>229</v>
      </c>
      <c r="L32" s="4">
        <v>128</v>
      </c>
      <c r="M32" s="4">
        <v>128</v>
      </c>
      <c r="N32" s="4">
        <v>211</v>
      </c>
      <c r="O32" s="4">
        <v>273</v>
      </c>
      <c r="P32" s="4">
        <v>92</v>
      </c>
      <c r="Q32" s="4">
        <v>348</v>
      </c>
      <c r="R32" s="4">
        <v>136</v>
      </c>
      <c r="S32" s="4">
        <v>6</v>
      </c>
      <c r="T32" s="4">
        <v>177</v>
      </c>
      <c r="U32" s="3">
        <v>0.25</v>
      </c>
      <c r="V32" s="3">
        <v>0.55000000000000004</v>
      </c>
      <c r="W32" s="3">
        <v>0.32</v>
      </c>
      <c r="X32" s="3">
        <v>0.28999999999999998</v>
      </c>
      <c r="Y32" s="3">
        <v>0.94</v>
      </c>
      <c r="Z32" s="3">
        <v>0.98</v>
      </c>
      <c r="AA32" s="3">
        <v>0.05</v>
      </c>
      <c r="AB32" s="13">
        <v>0.56000000000000005</v>
      </c>
      <c r="AC32" s="3">
        <v>0.05</v>
      </c>
      <c r="AD32" s="3">
        <v>0.34</v>
      </c>
    </row>
    <row r="33" spans="1:30" x14ac:dyDescent="0.25">
      <c r="A33" s="4">
        <v>2027</v>
      </c>
      <c r="B33" s="4" t="s">
        <v>9</v>
      </c>
      <c r="C33" s="4" t="s">
        <v>34</v>
      </c>
      <c r="D33" s="3">
        <v>0.85</v>
      </c>
      <c r="E33" s="3">
        <v>0.9</v>
      </c>
      <c r="F33" s="9">
        <v>956</v>
      </c>
      <c r="G33" s="4">
        <v>84</v>
      </c>
      <c r="H33" s="4">
        <v>129</v>
      </c>
      <c r="I33" s="4">
        <v>156</v>
      </c>
      <c r="J33" s="4">
        <v>20</v>
      </c>
      <c r="K33" s="4">
        <v>161</v>
      </c>
      <c r="L33" s="4">
        <v>269</v>
      </c>
      <c r="M33" s="4">
        <v>137</v>
      </c>
      <c r="N33" s="4">
        <v>339</v>
      </c>
      <c r="O33" s="4">
        <v>21</v>
      </c>
      <c r="P33" s="4">
        <v>341</v>
      </c>
      <c r="Q33" s="4">
        <v>4</v>
      </c>
      <c r="R33" s="4">
        <v>218</v>
      </c>
      <c r="S33" s="4">
        <v>272</v>
      </c>
      <c r="T33" s="4">
        <v>199</v>
      </c>
      <c r="U33" s="3">
        <v>0.24</v>
      </c>
      <c r="V33" s="3">
        <v>0.27</v>
      </c>
      <c r="W33" s="3">
        <v>0.94</v>
      </c>
      <c r="X33" s="3">
        <v>0.44</v>
      </c>
      <c r="Y33" s="3">
        <v>0.77</v>
      </c>
      <c r="Z33" s="3">
        <v>0.43</v>
      </c>
      <c r="AA33" s="3">
        <v>0.22</v>
      </c>
      <c r="AB33" s="12">
        <v>0.46</v>
      </c>
      <c r="AC33" s="3">
        <v>0.18</v>
      </c>
      <c r="AD33" s="3">
        <v>0.14000000000000001</v>
      </c>
    </row>
    <row r="34" spans="1:30" x14ac:dyDescent="0.25">
      <c r="A34" s="4">
        <v>2027</v>
      </c>
      <c r="B34" s="4" t="s">
        <v>10</v>
      </c>
      <c r="C34" s="4" t="s">
        <v>34</v>
      </c>
      <c r="D34" s="3">
        <v>0.69</v>
      </c>
      <c r="E34" s="3">
        <v>0.8</v>
      </c>
      <c r="F34" s="9">
        <v>1072</v>
      </c>
      <c r="G34" s="4">
        <v>210</v>
      </c>
      <c r="H34" s="4">
        <v>224</v>
      </c>
      <c r="I34" s="4">
        <v>109</v>
      </c>
      <c r="J34" s="4">
        <v>39</v>
      </c>
      <c r="K34" s="4">
        <v>325</v>
      </c>
      <c r="L34" s="4">
        <v>12</v>
      </c>
      <c r="M34" s="4">
        <v>153</v>
      </c>
      <c r="N34" s="4">
        <v>196</v>
      </c>
      <c r="O34" s="4">
        <v>140</v>
      </c>
      <c r="P34" s="4">
        <v>193</v>
      </c>
      <c r="Q34" s="4">
        <v>248</v>
      </c>
      <c r="R34" s="4">
        <v>243</v>
      </c>
      <c r="S34" s="4">
        <v>188</v>
      </c>
      <c r="T34" s="4">
        <v>201</v>
      </c>
      <c r="U34" s="3">
        <v>0.54</v>
      </c>
      <c r="V34" s="3">
        <v>0.37</v>
      </c>
      <c r="W34" s="3">
        <v>0.86</v>
      </c>
      <c r="X34" s="3">
        <v>0.74</v>
      </c>
      <c r="Y34" s="3">
        <v>0.95</v>
      </c>
      <c r="Z34" s="3">
        <v>0.28000000000000003</v>
      </c>
      <c r="AA34" s="3">
        <v>0.23</v>
      </c>
      <c r="AB34" s="13">
        <v>0.42</v>
      </c>
      <c r="AC34" s="3">
        <v>0.15</v>
      </c>
      <c r="AD34" s="3">
        <v>0.2</v>
      </c>
    </row>
    <row r="35" spans="1:30" x14ac:dyDescent="0.25">
      <c r="A35" s="4">
        <v>2027</v>
      </c>
      <c r="B35" s="4" t="s">
        <v>11</v>
      </c>
      <c r="C35" s="4" t="s">
        <v>34</v>
      </c>
      <c r="D35" s="3">
        <v>0.64</v>
      </c>
      <c r="E35" s="3">
        <v>0.87</v>
      </c>
      <c r="F35" s="9">
        <v>1084</v>
      </c>
      <c r="G35" s="4">
        <v>32</v>
      </c>
      <c r="H35" s="4">
        <v>218</v>
      </c>
      <c r="I35" s="4">
        <v>244</v>
      </c>
      <c r="J35" s="4">
        <v>227</v>
      </c>
      <c r="K35" s="4">
        <v>173</v>
      </c>
      <c r="L35" s="4">
        <v>34</v>
      </c>
      <c r="M35" s="4">
        <v>156</v>
      </c>
      <c r="N35" s="4">
        <v>264</v>
      </c>
      <c r="O35" s="4">
        <v>181</v>
      </c>
      <c r="P35" s="4">
        <v>133</v>
      </c>
      <c r="Q35" s="4">
        <v>235</v>
      </c>
      <c r="R35" s="4">
        <v>118</v>
      </c>
      <c r="S35" s="4">
        <v>180</v>
      </c>
      <c r="T35" s="4">
        <v>185</v>
      </c>
      <c r="U35" s="3">
        <v>0.27</v>
      </c>
      <c r="V35" s="3">
        <v>0.54</v>
      </c>
      <c r="W35" s="3">
        <v>0.25</v>
      </c>
      <c r="X35" s="3">
        <v>0.33</v>
      </c>
      <c r="Y35" s="3">
        <v>0.36</v>
      </c>
      <c r="Z35" s="3">
        <v>0.75</v>
      </c>
      <c r="AA35" s="3">
        <v>0.28999999999999998</v>
      </c>
      <c r="AB35" s="12">
        <v>0.28000000000000003</v>
      </c>
      <c r="AC35" s="3">
        <v>0.3</v>
      </c>
      <c r="AD35" s="3">
        <v>0.13</v>
      </c>
    </row>
    <row r="36" spans="1:30" x14ac:dyDescent="0.25">
      <c r="A36" s="4">
        <v>2027</v>
      </c>
      <c r="B36" s="4" t="s">
        <v>12</v>
      </c>
      <c r="C36" s="4" t="s">
        <v>34</v>
      </c>
      <c r="D36" s="3">
        <v>0.37</v>
      </c>
      <c r="E36" s="3">
        <v>0.52</v>
      </c>
      <c r="F36" s="9">
        <v>997</v>
      </c>
      <c r="G36" s="4">
        <v>114</v>
      </c>
      <c r="H36" s="4">
        <v>105</v>
      </c>
      <c r="I36" s="4">
        <v>94</v>
      </c>
      <c r="J36" s="4">
        <v>257</v>
      </c>
      <c r="K36" s="4">
        <v>83</v>
      </c>
      <c r="L36" s="4">
        <v>201</v>
      </c>
      <c r="M36" s="4">
        <v>143</v>
      </c>
      <c r="N36" s="4">
        <v>87</v>
      </c>
      <c r="O36" s="4">
        <v>39</v>
      </c>
      <c r="P36" s="4">
        <v>315</v>
      </c>
      <c r="Q36" s="4">
        <v>247</v>
      </c>
      <c r="R36" s="4">
        <v>61</v>
      </c>
      <c r="S36" s="4">
        <v>165</v>
      </c>
      <c r="T36" s="4">
        <v>153</v>
      </c>
      <c r="U36" s="3">
        <v>0.51</v>
      </c>
      <c r="V36" s="3">
        <v>0.23</v>
      </c>
      <c r="W36" s="3">
        <v>0.51</v>
      </c>
      <c r="X36" s="3">
        <v>0.4</v>
      </c>
      <c r="Y36" s="3">
        <v>0.83</v>
      </c>
      <c r="Z36" s="3">
        <v>0.5</v>
      </c>
      <c r="AA36" s="3">
        <v>0.26</v>
      </c>
      <c r="AB36" s="13">
        <v>0.44</v>
      </c>
      <c r="AC36" s="3">
        <v>0.13</v>
      </c>
      <c r="AD36" s="3">
        <v>0.17</v>
      </c>
    </row>
    <row r="37" spans="1:30" x14ac:dyDescent="0.25">
      <c r="A37" s="4">
        <v>2027</v>
      </c>
      <c r="B37" s="4" t="s">
        <v>13</v>
      </c>
      <c r="C37" s="4" t="s">
        <v>34</v>
      </c>
      <c r="D37" s="3">
        <v>0.5</v>
      </c>
      <c r="E37" s="3">
        <v>0.77</v>
      </c>
      <c r="F37" s="9">
        <v>821</v>
      </c>
      <c r="G37" s="4">
        <v>179</v>
      </c>
      <c r="H37" s="4">
        <v>201</v>
      </c>
      <c r="I37" s="4">
        <v>127</v>
      </c>
      <c r="J37" s="4">
        <v>3</v>
      </c>
      <c r="K37" s="4">
        <v>2</v>
      </c>
      <c r="L37" s="4">
        <v>193</v>
      </c>
      <c r="M37" s="4">
        <v>116</v>
      </c>
      <c r="N37" s="4">
        <v>0</v>
      </c>
      <c r="O37" s="4">
        <v>0</v>
      </c>
      <c r="P37" s="4">
        <v>0</v>
      </c>
      <c r="Q37" s="4">
        <v>0</v>
      </c>
      <c r="R37" s="4">
        <v>0</v>
      </c>
      <c r="S37" s="4">
        <v>0</v>
      </c>
      <c r="T37" s="4">
        <v>0</v>
      </c>
      <c r="U37" s="3">
        <v>0.68</v>
      </c>
      <c r="V37" s="3">
        <v>0.55000000000000004</v>
      </c>
      <c r="W37" s="3">
        <v>0.35</v>
      </c>
      <c r="X37" s="3">
        <v>0.44</v>
      </c>
      <c r="Y37" s="3">
        <v>0.88</v>
      </c>
      <c r="Z37" s="3">
        <v>0.25</v>
      </c>
      <c r="AA37" s="3">
        <v>0.12</v>
      </c>
      <c r="AB37" s="12">
        <v>0.55000000000000004</v>
      </c>
      <c r="AC37" s="3">
        <v>0.04</v>
      </c>
      <c r="AD37" s="3">
        <v>0.28999999999999998</v>
      </c>
    </row>
    <row r="38" spans="1:30" x14ac:dyDescent="0.25">
      <c r="A38" s="4">
        <v>2025</v>
      </c>
      <c r="B38" s="4" t="s">
        <v>2</v>
      </c>
      <c r="C38" s="4" t="s">
        <v>36</v>
      </c>
      <c r="D38" s="3">
        <v>0.77</v>
      </c>
      <c r="E38" s="8">
        <v>0.75</v>
      </c>
      <c r="F38" s="4">
        <v>0</v>
      </c>
      <c r="G38" s="4">
        <v>0</v>
      </c>
      <c r="H38" s="4">
        <v>0</v>
      </c>
      <c r="I38" s="4">
        <v>0</v>
      </c>
      <c r="J38" s="4">
        <v>0</v>
      </c>
      <c r="K38" s="4">
        <v>0</v>
      </c>
      <c r="L38" s="4">
        <v>0</v>
      </c>
      <c r="M38" s="4">
        <v>0</v>
      </c>
      <c r="N38" s="4">
        <v>1</v>
      </c>
      <c r="O38" s="4">
        <v>0</v>
      </c>
      <c r="P38" s="4">
        <v>1</v>
      </c>
      <c r="Q38" s="4">
        <v>1</v>
      </c>
      <c r="R38" s="4">
        <v>1</v>
      </c>
      <c r="S38" s="4">
        <v>1</v>
      </c>
      <c r="T38" s="4">
        <v>2</v>
      </c>
      <c r="U38" s="3">
        <v>0.7</v>
      </c>
      <c r="V38" s="3">
        <v>0.85</v>
      </c>
      <c r="W38" s="3">
        <v>0.3</v>
      </c>
      <c r="X38" s="3">
        <v>0.5</v>
      </c>
      <c r="Y38" s="3">
        <v>0.3</v>
      </c>
      <c r="Z38" s="3">
        <v>0.35</v>
      </c>
      <c r="AA38" s="3">
        <v>7.0000000000000007E-2</v>
      </c>
      <c r="AB38" s="13">
        <v>0.55000000000000004</v>
      </c>
      <c r="AC38" s="3">
        <v>0.13</v>
      </c>
      <c r="AD38" s="3">
        <v>0.25</v>
      </c>
    </row>
    <row r="39" spans="1:30" x14ac:dyDescent="0.25">
      <c r="A39" s="4">
        <v>2025</v>
      </c>
      <c r="B39" s="4" t="s">
        <v>3</v>
      </c>
      <c r="C39" s="4" t="s">
        <v>36</v>
      </c>
      <c r="D39" s="3">
        <v>0.53</v>
      </c>
      <c r="E39" s="3">
        <v>0.72</v>
      </c>
      <c r="F39" s="4">
        <v>5</v>
      </c>
      <c r="G39" s="4">
        <v>2</v>
      </c>
      <c r="H39" s="4">
        <v>0</v>
      </c>
      <c r="I39" s="4">
        <v>1</v>
      </c>
      <c r="J39" s="4">
        <v>1</v>
      </c>
      <c r="K39" s="4">
        <v>0</v>
      </c>
      <c r="L39" s="4">
        <v>0</v>
      </c>
      <c r="M39" s="4">
        <v>1</v>
      </c>
      <c r="N39" s="4">
        <v>5</v>
      </c>
      <c r="O39" s="4">
        <v>4</v>
      </c>
      <c r="P39" s="4">
        <v>24</v>
      </c>
      <c r="Q39" s="4">
        <v>6</v>
      </c>
      <c r="R39" s="4">
        <v>7</v>
      </c>
      <c r="S39" s="4">
        <v>43</v>
      </c>
      <c r="T39" s="4">
        <v>15</v>
      </c>
      <c r="U39" s="3">
        <v>0.28000000000000003</v>
      </c>
      <c r="V39" s="3">
        <v>0.43</v>
      </c>
      <c r="W39" s="3">
        <v>0.7</v>
      </c>
      <c r="X39" s="3">
        <v>0.26</v>
      </c>
      <c r="Y39" s="3">
        <v>0.75</v>
      </c>
      <c r="Z39" s="3">
        <v>0.2</v>
      </c>
      <c r="AA39" s="3">
        <v>7.0000000000000007E-2</v>
      </c>
      <c r="AB39" s="12">
        <v>0.27</v>
      </c>
      <c r="AC39" s="3">
        <v>0.28999999999999998</v>
      </c>
      <c r="AD39" s="3">
        <v>0.37</v>
      </c>
    </row>
    <row r="40" spans="1:30" x14ac:dyDescent="0.25">
      <c r="A40" s="4">
        <v>2025</v>
      </c>
      <c r="B40" s="4" t="s">
        <v>4</v>
      </c>
      <c r="C40" s="4" t="s">
        <v>36</v>
      </c>
      <c r="D40" s="3">
        <v>0.9</v>
      </c>
      <c r="E40" s="3">
        <v>0.44</v>
      </c>
      <c r="F40" s="4">
        <v>80</v>
      </c>
      <c r="G40" s="4">
        <v>10</v>
      </c>
      <c r="H40" s="4">
        <v>11</v>
      </c>
      <c r="I40" s="4">
        <v>20</v>
      </c>
      <c r="J40" s="4">
        <v>14</v>
      </c>
      <c r="K40" s="4">
        <v>4</v>
      </c>
      <c r="L40" s="4">
        <v>9</v>
      </c>
      <c r="M40" s="4">
        <v>12</v>
      </c>
      <c r="N40" s="4">
        <v>63</v>
      </c>
      <c r="O40" s="4">
        <v>117</v>
      </c>
      <c r="P40" s="4">
        <v>13</v>
      </c>
      <c r="Q40" s="4">
        <v>24</v>
      </c>
      <c r="R40" s="4">
        <v>59</v>
      </c>
      <c r="S40" s="4">
        <v>1</v>
      </c>
      <c r="T40" s="4">
        <v>48</v>
      </c>
      <c r="U40" s="3">
        <v>0.91</v>
      </c>
      <c r="V40" s="3">
        <v>0.75</v>
      </c>
      <c r="W40" s="3">
        <v>0.5</v>
      </c>
      <c r="X40" s="3">
        <v>0.38</v>
      </c>
      <c r="Y40" s="3">
        <v>0.61</v>
      </c>
      <c r="Z40" s="3">
        <v>0.71</v>
      </c>
      <c r="AA40" s="3">
        <v>0.23</v>
      </c>
      <c r="AB40" s="13">
        <v>0.3</v>
      </c>
      <c r="AC40" s="3">
        <v>0.15</v>
      </c>
      <c r="AD40" s="3">
        <v>0.32</v>
      </c>
    </row>
    <row r="41" spans="1:30" x14ac:dyDescent="0.25">
      <c r="A41" s="4">
        <v>2025</v>
      </c>
      <c r="B41" s="4" t="s">
        <v>5</v>
      </c>
      <c r="C41" s="4" t="s">
        <v>36</v>
      </c>
      <c r="D41" s="3">
        <v>0.35</v>
      </c>
      <c r="E41" s="3">
        <v>0.71</v>
      </c>
      <c r="F41" s="4">
        <v>250</v>
      </c>
      <c r="G41" s="4">
        <v>36</v>
      </c>
      <c r="H41" s="4">
        <v>26</v>
      </c>
      <c r="I41" s="4">
        <v>21</v>
      </c>
      <c r="J41" s="4">
        <v>46</v>
      </c>
      <c r="K41" s="4">
        <v>55</v>
      </c>
      <c r="L41" s="4">
        <v>30</v>
      </c>
      <c r="M41" s="4">
        <v>36</v>
      </c>
      <c r="N41" s="4">
        <v>121</v>
      </c>
      <c r="O41" s="4">
        <v>18</v>
      </c>
      <c r="P41" s="4">
        <v>49</v>
      </c>
      <c r="Q41" s="4">
        <v>135</v>
      </c>
      <c r="R41" s="4">
        <v>120</v>
      </c>
      <c r="S41" s="4">
        <v>71</v>
      </c>
      <c r="T41" s="4">
        <v>85</v>
      </c>
      <c r="U41" s="3">
        <v>0.73</v>
      </c>
      <c r="V41" s="3">
        <v>0.92</v>
      </c>
      <c r="W41" s="3">
        <v>0.38</v>
      </c>
      <c r="X41" s="3">
        <v>0.45</v>
      </c>
      <c r="Y41" s="3">
        <v>0.79</v>
      </c>
      <c r="Z41" s="3">
        <v>0.24</v>
      </c>
      <c r="AA41" s="3">
        <v>0.19</v>
      </c>
      <c r="AB41" s="12">
        <v>0.42</v>
      </c>
      <c r="AC41" s="3">
        <v>0.22</v>
      </c>
      <c r="AD41" s="3">
        <v>0.17</v>
      </c>
    </row>
    <row r="42" spans="1:30" x14ac:dyDescent="0.25">
      <c r="A42" s="4">
        <v>2025</v>
      </c>
      <c r="B42" s="4" t="s">
        <v>6</v>
      </c>
      <c r="C42" s="4" t="s">
        <v>36</v>
      </c>
      <c r="D42" s="3">
        <v>0.41</v>
      </c>
      <c r="E42" s="3">
        <v>0.49</v>
      </c>
      <c r="F42" s="4">
        <v>461</v>
      </c>
      <c r="G42" s="4">
        <v>80</v>
      </c>
      <c r="H42" s="4">
        <v>63</v>
      </c>
      <c r="I42" s="4">
        <v>76</v>
      </c>
      <c r="J42" s="4">
        <v>48</v>
      </c>
      <c r="K42" s="4">
        <v>32</v>
      </c>
      <c r="L42" s="4">
        <v>97</v>
      </c>
      <c r="M42" s="4">
        <v>65</v>
      </c>
      <c r="N42" s="4">
        <v>133</v>
      </c>
      <c r="O42" s="4">
        <v>33</v>
      </c>
      <c r="P42" s="4">
        <v>149</v>
      </c>
      <c r="Q42" s="4">
        <v>123</v>
      </c>
      <c r="R42" s="4">
        <v>125</v>
      </c>
      <c r="S42" s="4">
        <v>142</v>
      </c>
      <c r="T42" s="4">
        <v>117</v>
      </c>
      <c r="U42" s="3">
        <v>0.95</v>
      </c>
      <c r="V42" s="3">
        <v>0.99</v>
      </c>
      <c r="W42" s="3">
        <v>0.26</v>
      </c>
      <c r="X42" s="3">
        <v>0.55000000000000004</v>
      </c>
      <c r="Y42" s="3">
        <v>0.91</v>
      </c>
      <c r="Z42" s="3">
        <v>0.93</v>
      </c>
      <c r="AA42" s="3">
        <v>0.15</v>
      </c>
      <c r="AB42" s="13">
        <v>0.43</v>
      </c>
      <c r="AC42" s="3">
        <v>0.16</v>
      </c>
      <c r="AD42" s="3">
        <v>0.26</v>
      </c>
    </row>
    <row r="43" spans="1:30" x14ac:dyDescent="0.25">
      <c r="A43" s="4">
        <v>2025</v>
      </c>
      <c r="B43" s="4" t="s">
        <v>7</v>
      </c>
      <c r="C43" s="4" t="s">
        <v>36</v>
      </c>
      <c r="D43" s="3">
        <v>0.83</v>
      </c>
      <c r="E43" s="3">
        <v>0.79</v>
      </c>
      <c r="F43" s="4">
        <v>632</v>
      </c>
      <c r="G43" s="4">
        <v>91</v>
      </c>
      <c r="H43" s="4">
        <v>135</v>
      </c>
      <c r="I43" s="4">
        <v>138</v>
      </c>
      <c r="J43" s="4">
        <v>78</v>
      </c>
      <c r="K43" s="4">
        <v>73</v>
      </c>
      <c r="L43" s="4">
        <v>25</v>
      </c>
      <c r="M43" s="4">
        <v>92</v>
      </c>
      <c r="N43" s="4">
        <v>169</v>
      </c>
      <c r="O43" s="4">
        <v>197</v>
      </c>
      <c r="P43" s="4">
        <v>4</v>
      </c>
      <c r="Q43" s="4">
        <v>247</v>
      </c>
      <c r="R43" s="4">
        <v>79</v>
      </c>
      <c r="S43" s="4">
        <v>131</v>
      </c>
      <c r="T43" s="4">
        <v>138</v>
      </c>
      <c r="U43" s="3">
        <v>0.82</v>
      </c>
      <c r="V43" s="3">
        <v>0.64</v>
      </c>
      <c r="W43" s="3">
        <v>0.72</v>
      </c>
      <c r="X43" s="3">
        <v>0.91</v>
      </c>
      <c r="Y43" s="3">
        <v>0.78</v>
      </c>
      <c r="Z43" s="3">
        <v>0.49</v>
      </c>
      <c r="AA43" s="3">
        <v>0.25</v>
      </c>
      <c r="AB43" s="12">
        <v>0.37</v>
      </c>
      <c r="AC43" s="3">
        <v>0.18</v>
      </c>
      <c r="AD43" s="3">
        <v>0.2</v>
      </c>
    </row>
    <row r="44" spans="1:30" x14ac:dyDescent="0.25">
      <c r="A44" s="4">
        <v>2025</v>
      </c>
      <c r="B44" s="4" t="s">
        <v>8</v>
      </c>
      <c r="C44" s="4" t="s">
        <v>36</v>
      </c>
      <c r="D44" s="3">
        <v>0.64</v>
      </c>
      <c r="E44" s="3">
        <v>0.72</v>
      </c>
      <c r="F44" s="4">
        <v>742</v>
      </c>
      <c r="G44" s="4">
        <v>11</v>
      </c>
      <c r="H44" s="4">
        <v>177</v>
      </c>
      <c r="I44" s="4">
        <v>172</v>
      </c>
      <c r="J44" s="4">
        <v>105</v>
      </c>
      <c r="K44" s="4">
        <v>12</v>
      </c>
      <c r="L44" s="4">
        <v>159</v>
      </c>
      <c r="M44" s="4">
        <v>106</v>
      </c>
      <c r="N44" s="4">
        <v>29</v>
      </c>
      <c r="O44" s="4">
        <v>149</v>
      </c>
      <c r="P44" s="4">
        <v>3</v>
      </c>
      <c r="Q44" s="4">
        <v>235</v>
      </c>
      <c r="R44" s="4">
        <v>223</v>
      </c>
      <c r="S44" s="4">
        <v>177</v>
      </c>
      <c r="T44" s="4">
        <v>137</v>
      </c>
      <c r="U44" s="3">
        <v>0.51</v>
      </c>
      <c r="V44" s="3">
        <v>0.77</v>
      </c>
      <c r="W44" s="3">
        <v>0.62</v>
      </c>
      <c r="X44" s="3">
        <v>0.84</v>
      </c>
      <c r="Y44" s="3">
        <v>0.5</v>
      </c>
      <c r="Z44" s="3">
        <v>0.93</v>
      </c>
      <c r="AA44" s="3">
        <v>0.22</v>
      </c>
      <c r="AB44" s="13">
        <v>0.44</v>
      </c>
      <c r="AC44" s="3">
        <v>0.22</v>
      </c>
      <c r="AD44" s="3">
        <v>0.12</v>
      </c>
    </row>
    <row r="45" spans="1:30" x14ac:dyDescent="0.25">
      <c r="A45" s="4">
        <v>2025</v>
      </c>
      <c r="B45" s="4" t="s">
        <v>9</v>
      </c>
      <c r="C45" s="4" t="s">
        <v>36</v>
      </c>
      <c r="D45" s="3">
        <v>0.82</v>
      </c>
      <c r="E45" s="3">
        <v>0.48</v>
      </c>
      <c r="F45" s="4">
        <v>733</v>
      </c>
      <c r="G45" s="4">
        <v>148</v>
      </c>
      <c r="H45" s="4">
        <v>201</v>
      </c>
      <c r="I45" s="4">
        <v>31</v>
      </c>
      <c r="J45" s="4">
        <v>76</v>
      </c>
      <c r="K45" s="4">
        <v>147</v>
      </c>
      <c r="L45" s="4">
        <v>26</v>
      </c>
      <c r="M45" s="4">
        <v>104</v>
      </c>
      <c r="N45" s="4">
        <v>104</v>
      </c>
      <c r="O45" s="4">
        <v>33</v>
      </c>
      <c r="P45" s="4">
        <v>128</v>
      </c>
      <c r="Q45" s="4">
        <v>89</v>
      </c>
      <c r="R45" s="4">
        <v>167</v>
      </c>
      <c r="S45" s="4">
        <v>137</v>
      </c>
      <c r="T45" s="4">
        <v>109</v>
      </c>
      <c r="U45" s="3">
        <v>0.69</v>
      </c>
      <c r="V45" s="3">
        <v>0.88</v>
      </c>
      <c r="W45" s="3">
        <v>0.38</v>
      </c>
      <c r="X45" s="3">
        <v>0.56999999999999995</v>
      </c>
      <c r="Y45" s="3">
        <v>0.93</v>
      </c>
      <c r="Z45" s="3">
        <v>0.27</v>
      </c>
      <c r="AA45" s="3">
        <v>0.27</v>
      </c>
      <c r="AB45" s="12">
        <v>0.47</v>
      </c>
      <c r="AC45" s="3">
        <v>0.17</v>
      </c>
      <c r="AD45" s="3">
        <v>0.09</v>
      </c>
    </row>
    <row r="46" spans="1:30" x14ac:dyDescent="0.25">
      <c r="A46" s="4">
        <v>2025</v>
      </c>
      <c r="B46" s="4" t="s">
        <v>10</v>
      </c>
      <c r="C46" s="4" t="s">
        <v>36</v>
      </c>
      <c r="D46" s="3">
        <v>0.94</v>
      </c>
      <c r="E46" s="3">
        <v>0.3</v>
      </c>
      <c r="F46" s="4">
        <v>590</v>
      </c>
      <c r="G46" s="4">
        <v>61</v>
      </c>
      <c r="H46" s="4">
        <v>5</v>
      </c>
      <c r="I46" s="4">
        <v>117</v>
      </c>
      <c r="J46" s="4">
        <v>116</v>
      </c>
      <c r="K46" s="4">
        <v>65</v>
      </c>
      <c r="L46" s="4">
        <v>142</v>
      </c>
      <c r="M46" s="4">
        <v>84</v>
      </c>
      <c r="N46" s="4">
        <v>85</v>
      </c>
      <c r="O46" s="4">
        <v>81</v>
      </c>
      <c r="P46" s="4">
        <v>80</v>
      </c>
      <c r="Q46" s="4">
        <v>63</v>
      </c>
      <c r="R46" s="4">
        <v>58</v>
      </c>
      <c r="S46" s="4">
        <v>84</v>
      </c>
      <c r="T46" s="4">
        <v>76</v>
      </c>
      <c r="U46" s="3">
        <v>0.74</v>
      </c>
      <c r="V46" s="3">
        <v>0.78</v>
      </c>
      <c r="W46" s="3">
        <v>0.25</v>
      </c>
      <c r="X46" s="3">
        <v>0.34</v>
      </c>
      <c r="Y46" s="3">
        <v>0.72</v>
      </c>
      <c r="Z46" s="3">
        <v>0.54</v>
      </c>
      <c r="AA46" s="3">
        <v>0.24</v>
      </c>
      <c r="AB46" s="13">
        <v>0.34</v>
      </c>
      <c r="AC46" s="3">
        <v>0.18</v>
      </c>
      <c r="AD46" s="3">
        <v>0.24</v>
      </c>
    </row>
    <row r="47" spans="1:30" x14ac:dyDescent="0.25">
      <c r="A47" s="4">
        <v>2025</v>
      </c>
      <c r="B47" s="4" t="s">
        <v>11</v>
      </c>
      <c r="C47" s="4" t="s">
        <v>36</v>
      </c>
      <c r="D47" s="3">
        <v>0.95</v>
      </c>
      <c r="E47" s="3">
        <v>0.35</v>
      </c>
      <c r="F47" s="4">
        <v>405</v>
      </c>
      <c r="G47" s="4">
        <v>32</v>
      </c>
      <c r="H47" s="4">
        <v>37</v>
      </c>
      <c r="I47" s="4">
        <v>59</v>
      </c>
      <c r="J47" s="4">
        <v>3</v>
      </c>
      <c r="K47" s="4">
        <v>92</v>
      </c>
      <c r="L47" s="4">
        <v>124</v>
      </c>
      <c r="M47" s="4">
        <v>58</v>
      </c>
      <c r="N47" s="4">
        <v>93</v>
      </c>
      <c r="O47" s="4">
        <v>52</v>
      </c>
      <c r="P47" s="4">
        <v>81</v>
      </c>
      <c r="Q47" s="4">
        <v>31</v>
      </c>
      <c r="R47" s="4">
        <v>44</v>
      </c>
      <c r="S47" s="4">
        <v>10</v>
      </c>
      <c r="T47" s="4">
        <v>50</v>
      </c>
      <c r="U47" s="3">
        <v>0.45</v>
      </c>
      <c r="V47" s="3">
        <v>0.85</v>
      </c>
      <c r="W47" s="3">
        <v>0.37</v>
      </c>
      <c r="X47" s="3">
        <v>0.91</v>
      </c>
      <c r="Y47" s="3">
        <v>0.71</v>
      </c>
      <c r="Z47" s="3">
        <v>0.22</v>
      </c>
      <c r="AA47" s="3">
        <v>0.22</v>
      </c>
      <c r="AB47" s="12">
        <v>0.38</v>
      </c>
      <c r="AC47" s="3">
        <v>0.14000000000000001</v>
      </c>
      <c r="AD47" s="3">
        <v>0.26</v>
      </c>
    </row>
    <row r="48" spans="1:30" x14ac:dyDescent="0.25">
      <c r="A48" s="4">
        <v>2025</v>
      </c>
      <c r="B48" s="4" t="s">
        <v>12</v>
      </c>
      <c r="C48" s="4" t="s">
        <v>36</v>
      </c>
      <c r="D48" s="3">
        <v>0.66</v>
      </c>
      <c r="E48" s="3">
        <v>0.72</v>
      </c>
      <c r="F48" s="4">
        <v>278</v>
      </c>
      <c r="G48" s="4">
        <v>26</v>
      </c>
      <c r="H48" s="4">
        <v>72</v>
      </c>
      <c r="I48" s="4">
        <v>12</v>
      </c>
      <c r="J48" s="4">
        <v>22</v>
      </c>
      <c r="K48" s="4">
        <v>56</v>
      </c>
      <c r="L48" s="4">
        <v>50</v>
      </c>
      <c r="M48" s="4">
        <v>40</v>
      </c>
      <c r="N48" s="4">
        <v>50</v>
      </c>
      <c r="O48" s="4">
        <v>27</v>
      </c>
      <c r="P48" s="4">
        <v>40</v>
      </c>
      <c r="Q48" s="4">
        <v>23</v>
      </c>
      <c r="R48" s="4">
        <v>48</v>
      </c>
      <c r="S48" s="4">
        <v>43</v>
      </c>
      <c r="T48" s="4">
        <v>38</v>
      </c>
      <c r="U48" s="3">
        <v>0.79</v>
      </c>
      <c r="V48" s="3">
        <v>0.92</v>
      </c>
      <c r="W48" s="3">
        <v>0.81</v>
      </c>
      <c r="X48" s="3">
        <v>0.88</v>
      </c>
      <c r="Y48" s="3">
        <v>0.47</v>
      </c>
      <c r="Z48" s="3">
        <v>0.65</v>
      </c>
      <c r="AA48" s="3">
        <v>0.12</v>
      </c>
      <c r="AB48" s="13">
        <v>0.51</v>
      </c>
      <c r="AC48" s="3">
        <v>0.21</v>
      </c>
      <c r="AD48" s="3">
        <v>0.16</v>
      </c>
    </row>
    <row r="49" spans="1:30" x14ac:dyDescent="0.25">
      <c r="A49" s="4">
        <v>2025</v>
      </c>
      <c r="B49" s="4" t="s">
        <v>13</v>
      </c>
      <c r="C49" s="4" t="s">
        <v>36</v>
      </c>
      <c r="D49" s="3">
        <v>0.59</v>
      </c>
      <c r="E49" s="3">
        <v>0.67</v>
      </c>
      <c r="F49" s="4">
        <v>207</v>
      </c>
      <c r="G49" s="4">
        <v>17</v>
      </c>
      <c r="H49" s="4">
        <v>51</v>
      </c>
      <c r="I49" s="4">
        <v>46</v>
      </c>
      <c r="J49" s="4">
        <v>26</v>
      </c>
      <c r="K49" s="4">
        <v>34</v>
      </c>
      <c r="L49" s="4">
        <v>2</v>
      </c>
      <c r="M49" s="4">
        <v>31</v>
      </c>
      <c r="N49" s="4">
        <v>80</v>
      </c>
      <c r="O49" s="4">
        <v>93</v>
      </c>
      <c r="P49" s="4">
        <v>83</v>
      </c>
      <c r="Q49" s="4">
        <v>76</v>
      </c>
      <c r="R49" s="4">
        <v>104</v>
      </c>
      <c r="S49" s="4">
        <v>66</v>
      </c>
      <c r="T49" s="4">
        <v>84</v>
      </c>
      <c r="U49" s="3">
        <v>0.96</v>
      </c>
      <c r="V49" s="3">
        <v>0.3</v>
      </c>
      <c r="W49" s="3">
        <v>0.45</v>
      </c>
      <c r="X49" s="3">
        <v>0.45</v>
      </c>
      <c r="Y49" s="3">
        <v>0.63</v>
      </c>
      <c r="Z49" s="3">
        <v>0.22</v>
      </c>
      <c r="AA49" s="3">
        <v>0.24</v>
      </c>
      <c r="AB49" s="12">
        <v>0.44</v>
      </c>
      <c r="AC49" s="3">
        <v>0.26</v>
      </c>
      <c r="AD49" s="3">
        <v>0.06</v>
      </c>
    </row>
    <row r="50" spans="1:30" x14ac:dyDescent="0.25">
      <c r="A50" s="4">
        <v>2026</v>
      </c>
      <c r="B50" s="4" t="s">
        <v>2</v>
      </c>
      <c r="C50" s="4" t="s">
        <v>36</v>
      </c>
      <c r="D50" s="3">
        <v>0.73</v>
      </c>
      <c r="E50" s="3">
        <v>0.8</v>
      </c>
      <c r="F50" s="4">
        <v>451</v>
      </c>
      <c r="G50" s="4">
        <v>18</v>
      </c>
      <c r="H50" s="4">
        <v>112</v>
      </c>
      <c r="I50" s="4">
        <v>91</v>
      </c>
      <c r="J50" s="4">
        <v>2</v>
      </c>
      <c r="K50" s="4">
        <v>120</v>
      </c>
      <c r="L50" s="4">
        <v>43</v>
      </c>
      <c r="M50" s="4">
        <v>65</v>
      </c>
      <c r="N50" s="4">
        <v>157</v>
      </c>
      <c r="O50" s="4">
        <v>127</v>
      </c>
      <c r="P50" s="4">
        <v>9</v>
      </c>
      <c r="Q50" s="4">
        <v>173</v>
      </c>
      <c r="R50" s="4">
        <v>98</v>
      </c>
      <c r="S50" s="4">
        <v>134</v>
      </c>
      <c r="T50" s="4">
        <v>117</v>
      </c>
      <c r="U50" s="3">
        <v>0.91</v>
      </c>
      <c r="V50" s="3">
        <v>0.62</v>
      </c>
      <c r="W50" s="3">
        <v>0.2</v>
      </c>
      <c r="X50" s="3">
        <v>0.39</v>
      </c>
      <c r="Y50" s="3">
        <v>0.67</v>
      </c>
      <c r="Z50" s="3">
        <v>0.38</v>
      </c>
      <c r="AA50" s="3">
        <v>0.21</v>
      </c>
      <c r="AB50" s="13">
        <v>0.5</v>
      </c>
      <c r="AC50" s="3">
        <v>0.18</v>
      </c>
      <c r="AD50" s="3">
        <v>0.11</v>
      </c>
    </row>
    <row r="51" spans="1:30" x14ac:dyDescent="0.25">
      <c r="A51" s="4">
        <v>2026</v>
      </c>
      <c r="B51" s="4" t="s">
        <v>3</v>
      </c>
      <c r="C51" s="4" t="s">
        <v>36</v>
      </c>
      <c r="D51" s="3">
        <v>0.76</v>
      </c>
      <c r="E51" s="3">
        <v>0.54</v>
      </c>
      <c r="F51" s="4">
        <v>627</v>
      </c>
      <c r="G51" s="4">
        <v>15</v>
      </c>
      <c r="H51" s="4">
        <v>170</v>
      </c>
      <c r="I51" s="4">
        <v>7</v>
      </c>
      <c r="J51" s="4">
        <v>137</v>
      </c>
      <c r="K51" s="4">
        <v>96</v>
      </c>
      <c r="L51" s="4">
        <v>112</v>
      </c>
      <c r="M51" s="4">
        <v>90</v>
      </c>
      <c r="N51" s="4">
        <v>131</v>
      </c>
      <c r="O51" s="4">
        <v>256</v>
      </c>
      <c r="P51" s="4">
        <v>9</v>
      </c>
      <c r="Q51" s="4">
        <v>237</v>
      </c>
      <c r="R51" s="4">
        <v>3</v>
      </c>
      <c r="S51" s="4">
        <v>160</v>
      </c>
      <c r="T51" s="4">
        <v>132</v>
      </c>
      <c r="U51" s="3">
        <v>0.42</v>
      </c>
      <c r="V51" s="3">
        <v>0.49</v>
      </c>
      <c r="W51" s="3">
        <v>0.54</v>
      </c>
      <c r="X51" s="3">
        <v>0.3</v>
      </c>
      <c r="Y51" s="3">
        <v>0.34</v>
      </c>
      <c r="Z51" s="3">
        <v>0.64</v>
      </c>
      <c r="AA51" s="3">
        <v>0.35</v>
      </c>
      <c r="AB51" s="12">
        <v>0.32</v>
      </c>
      <c r="AC51" s="3">
        <v>0.08</v>
      </c>
      <c r="AD51" s="3">
        <v>0.25</v>
      </c>
    </row>
    <row r="52" spans="1:30" x14ac:dyDescent="0.25">
      <c r="A52" s="4">
        <v>2026</v>
      </c>
      <c r="B52" s="4" t="s">
        <v>4</v>
      </c>
      <c r="C52" s="4" t="s">
        <v>36</v>
      </c>
      <c r="D52" s="3">
        <v>0.96</v>
      </c>
      <c r="E52" s="3">
        <v>0.51</v>
      </c>
      <c r="F52" s="4">
        <v>714</v>
      </c>
      <c r="G52" s="4">
        <v>36</v>
      </c>
      <c r="H52" s="4">
        <v>75</v>
      </c>
      <c r="I52" s="4">
        <v>104</v>
      </c>
      <c r="J52" s="4">
        <v>131</v>
      </c>
      <c r="K52" s="4">
        <v>176</v>
      </c>
      <c r="L52" s="4">
        <v>90</v>
      </c>
      <c r="M52" s="4">
        <v>102</v>
      </c>
      <c r="N52" s="4">
        <v>52</v>
      </c>
      <c r="O52" s="4">
        <v>4</v>
      </c>
      <c r="P52" s="4">
        <v>178</v>
      </c>
      <c r="Q52" s="4">
        <v>77</v>
      </c>
      <c r="R52" s="4">
        <v>307</v>
      </c>
      <c r="S52" s="4">
        <v>163</v>
      </c>
      <c r="T52" s="4">
        <v>132</v>
      </c>
      <c r="U52" s="3">
        <v>0.3</v>
      </c>
      <c r="V52" s="3">
        <v>0.88</v>
      </c>
      <c r="W52" s="3">
        <v>0.42</v>
      </c>
      <c r="X52" s="3">
        <v>0.45</v>
      </c>
      <c r="Y52" s="3">
        <v>0.41</v>
      </c>
      <c r="Z52" s="3">
        <v>0.57999999999999996</v>
      </c>
      <c r="AA52" s="3">
        <v>0.16</v>
      </c>
      <c r="AB52" s="13">
        <v>0.48</v>
      </c>
      <c r="AC52" s="3">
        <v>0.23</v>
      </c>
      <c r="AD52" s="3">
        <v>0.13</v>
      </c>
    </row>
    <row r="53" spans="1:30" x14ac:dyDescent="0.25">
      <c r="A53" s="4">
        <v>2026</v>
      </c>
      <c r="B53" s="4" t="s">
        <v>5</v>
      </c>
      <c r="C53" s="4" t="s">
        <v>36</v>
      </c>
      <c r="D53" s="3">
        <v>0.46</v>
      </c>
      <c r="E53" s="3">
        <v>0.64</v>
      </c>
      <c r="F53" s="4">
        <v>702</v>
      </c>
      <c r="G53" s="4">
        <v>160</v>
      </c>
      <c r="H53" s="4">
        <v>26</v>
      </c>
      <c r="I53" s="4">
        <v>97</v>
      </c>
      <c r="J53" s="4">
        <v>109</v>
      </c>
      <c r="K53" s="4">
        <v>207</v>
      </c>
      <c r="L53" s="4">
        <v>3</v>
      </c>
      <c r="M53" s="4">
        <v>100</v>
      </c>
      <c r="N53" s="4">
        <v>111</v>
      </c>
      <c r="O53" s="4">
        <v>61</v>
      </c>
      <c r="P53" s="4">
        <v>26</v>
      </c>
      <c r="Q53" s="4">
        <v>225</v>
      </c>
      <c r="R53" s="4">
        <v>184</v>
      </c>
      <c r="S53" s="4">
        <v>47</v>
      </c>
      <c r="T53" s="4">
        <v>108</v>
      </c>
      <c r="U53" s="3">
        <v>0.25</v>
      </c>
      <c r="V53" s="3">
        <v>0.65</v>
      </c>
      <c r="W53" s="3">
        <v>0.99</v>
      </c>
      <c r="X53" s="3">
        <v>0.39</v>
      </c>
      <c r="Y53" s="3">
        <v>0.62</v>
      </c>
      <c r="Z53" s="3">
        <v>0.27</v>
      </c>
      <c r="AA53" s="3">
        <v>0.03</v>
      </c>
      <c r="AB53" s="12">
        <v>0.46</v>
      </c>
      <c r="AC53" s="3">
        <v>0.28000000000000003</v>
      </c>
      <c r="AD53" s="3">
        <v>0.23</v>
      </c>
    </row>
    <row r="54" spans="1:30" x14ac:dyDescent="0.25">
      <c r="A54" s="4">
        <v>2026</v>
      </c>
      <c r="B54" s="4" t="s">
        <v>6</v>
      </c>
      <c r="C54" s="4" t="s">
        <v>36</v>
      </c>
      <c r="D54" s="3">
        <v>0.32</v>
      </c>
      <c r="E54" s="3">
        <v>0.72</v>
      </c>
      <c r="F54" s="4">
        <v>586</v>
      </c>
      <c r="G54" s="4">
        <v>58</v>
      </c>
      <c r="H54" s="4">
        <v>133</v>
      </c>
      <c r="I54" s="4">
        <v>138</v>
      </c>
      <c r="J54" s="4">
        <v>37</v>
      </c>
      <c r="K54" s="4">
        <v>63</v>
      </c>
      <c r="L54" s="4">
        <v>74</v>
      </c>
      <c r="M54" s="4">
        <v>83</v>
      </c>
      <c r="N54" s="4">
        <v>93</v>
      </c>
      <c r="O54" s="4">
        <v>51</v>
      </c>
      <c r="P54" s="4">
        <v>77</v>
      </c>
      <c r="Q54" s="4">
        <v>119</v>
      </c>
      <c r="R54" s="4">
        <v>108</v>
      </c>
      <c r="S54" s="4">
        <v>138</v>
      </c>
      <c r="T54" s="4">
        <v>97</v>
      </c>
      <c r="U54" s="3">
        <v>0.53</v>
      </c>
      <c r="V54" s="3">
        <v>0.96</v>
      </c>
      <c r="W54" s="3">
        <v>0.62</v>
      </c>
      <c r="X54" s="3">
        <v>0.31</v>
      </c>
      <c r="Y54" s="3">
        <v>0.73</v>
      </c>
      <c r="Z54" s="3">
        <v>0.82</v>
      </c>
      <c r="AA54" s="3">
        <v>0.04</v>
      </c>
      <c r="AB54" s="13">
        <v>0.38</v>
      </c>
      <c r="AC54" s="3">
        <v>0.28999999999999998</v>
      </c>
      <c r="AD54" s="3">
        <v>0.28999999999999998</v>
      </c>
    </row>
    <row r="55" spans="1:30" x14ac:dyDescent="0.25">
      <c r="A55" s="4">
        <v>2026</v>
      </c>
      <c r="B55" s="4" t="s">
        <v>7</v>
      </c>
      <c r="C55" s="4" t="s">
        <v>36</v>
      </c>
      <c r="D55" s="3">
        <v>0.72</v>
      </c>
      <c r="E55" s="3">
        <v>0.85</v>
      </c>
      <c r="F55" s="4">
        <v>525</v>
      </c>
      <c r="G55" s="4">
        <v>5</v>
      </c>
      <c r="H55" s="4">
        <v>123</v>
      </c>
      <c r="I55" s="4">
        <v>63</v>
      </c>
      <c r="J55" s="4">
        <v>70</v>
      </c>
      <c r="K55" s="4">
        <v>54</v>
      </c>
      <c r="L55" s="4">
        <v>135</v>
      </c>
      <c r="M55" s="4">
        <v>75</v>
      </c>
      <c r="N55" s="4">
        <v>63</v>
      </c>
      <c r="O55" s="4">
        <v>108</v>
      </c>
      <c r="P55" s="4">
        <v>90</v>
      </c>
      <c r="Q55" s="4">
        <v>146</v>
      </c>
      <c r="R55" s="4">
        <v>57</v>
      </c>
      <c r="S55" s="4">
        <v>150</v>
      </c>
      <c r="T55" s="4">
        <v>101</v>
      </c>
      <c r="U55" s="3">
        <v>0.6</v>
      </c>
      <c r="V55" s="3">
        <v>0.56999999999999995</v>
      </c>
      <c r="W55" s="3">
        <v>1</v>
      </c>
      <c r="X55" s="3">
        <v>0.44</v>
      </c>
      <c r="Y55" s="3">
        <v>0.84</v>
      </c>
      <c r="Z55" s="3">
        <v>0.39</v>
      </c>
      <c r="AA55" s="3">
        <v>0.15</v>
      </c>
      <c r="AB55" s="12">
        <v>0.41</v>
      </c>
      <c r="AC55" s="3">
        <v>0.28999999999999998</v>
      </c>
      <c r="AD55" s="3">
        <v>0.15</v>
      </c>
    </row>
    <row r="56" spans="1:30" x14ac:dyDescent="0.25">
      <c r="A56" s="4">
        <v>2026</v>
      </c>
      <c r="B56" s="4" t="s">
        <v>8</v>
      </c>
      <c r="C56" s="4" t="s">
        <v>36</v>
      </c>
      <c r="D56" s="3">
        <v>0.35</v>
      </c>
      <c r="E56" s="3">
        <v>0.61</v>
      </c>
      <c r="F56" s="4">
        <v>550</v>
      </c>
      <c r="G56" s="4">
        <v>55</v>
      </c>
      <c r="H56" s="4">
        <v>185</v>
      </c>
      <c r="I56" s="4">
        <v>48</v>
      </c>
      <c r="J56" s="4">
        <v>24</v>
      </c>
      <c r="K56" s="4">
        <v>104</v>
      </c>
      <c r="L56" s="4">
        <v>56</v>
      </c>
      <c r="M56" s="4">
        <v>78</v>
      </c>
      <c r="N56" s="4">
        <v>77</v>
      </c>
      <c r="O56" s="4">
        <v>124</v>
      </c>
      <c r="P56" s="4">
        <v>94</v>
      </c>
      <c r="Q56" s="4">
        <v>96</v>
      </c>
      <c r="R56" s="4">
        <v>165</v>
      </c>
      <c r="S56" s="4">
        <v>147</v>
      </c>
      <c r="T56" s="4">
        <v>116</v>
      </c>
      <c r="U56" s="3">
        <v>0.75</v>
      </c>
      <c r="V56" s="3">
        <v>0.55000000000000004</v>
      </c>
      <c r="W56" s="3">
        <v>0.34</v>
      </c>
      <c r="X56" s="3">
        <v>0.83</v>
      </c>
      <c r="Y56" s="3">
        <v>0.42</v>
      </c>
      <c r="Z56" s="3">
        <v>0.43</v>
      </c>
      <c r="AA56" s="3">
        <v>0.24</v>
      </c>
      <c r="AB56" s="13">
        <v>0.33</v>
      </c>
      <c r="AC56" s="3">
        <v>0.12</v>
      </c>
      <c r="AD56" s="3">
        <v>0.31</v>
      </c>
    </row>
    <row r="57" spans="1:30" x14ac:dyDescent="0.25">
      <c r="A57" s="4">
        <v>2026</v>
      </c>
      <c r="B57" s="4" t="s">
        <v>9</v>
      </c>
      <c r="C57" s="4" t="s">
        <v>36</v>
      </c>
      <c r="D57" s="3">
        <v>0.74</v>
      </c>
      <c r="E57" s="3">
        <v>0.98</v>
      </c>
      <c r="F57" s="4">
        <v>630</v>
      </c>
      <c r="G57" s="4">
        <v>96</v>
      </c>
      <c r="H57" s="4">
        <v>34</v>
      </c>
      <c r="I57" s="4">
        <v>108</v>
      </c>
      <c r="J57" s="4">
        <v>147</v>
      </c>
      <c r="K57" s="4">
        <v>1</v>
      </c>
      <c r="L57" s="4">
        <v>152</v>
      </c>
      <c r="M57" s="4">
        <v>92</v>
      </c>
      <c r="N57" s="4">
        <v>30</v>
      </c>
      <c r="O57" s="4">
        <v>123</v>
      </c>
      <c r="P57" s="4">
        <v>216</v>
      </c>
      <c r="Q57" s="4">
        <v>303</v>
      </c>
      <c r="R57" s="4">
        <v>66</v>
      </c>
      <c r="S57" s="4">
        <v>203</v>
      </c>
      <c r="T57" s="4">
        <v>158</v>
      </c>
      <c r="U57" s="3">
        <v>0.3</v>
      </c>
      <c r="V57" s="3">
        <v>0.7</v>
      </c>
      <c r="W57" s="3">
        <v>0.66</v>
      </c>
      <c r="X57" s="3">
        <v>0.28000000000000003</v>
      </c>
      <c r="Y57" s="3">
        <v>0.85</v>
      </c>
      <c r="Z57" s="3">
        <v>0.28999999999999998</v>
      </c>
      <c r="AA57" s="3">
        <v>0.23</v>
      </c>
      <c r="AB57" s="12">
        <v>0.47</v>
      </c>
      <c r="AC57" s="3">
        <v>0.11</v>
      </c>
      <c r="AD57" s="3">
        <v>0.19</v>
      </c>
    </row>
    <row r="58" spans="1:30" x14ac:dyDescent="0.25">
      <c r="A58" s="4">
        <v>2026</v>
      </c>
      <c r="B58" s="4" t="s">
        <v>10</v>
      </c>
      <c r="C58" s="4" t="s">
        <v>36</v>
      </c>
      <c r="D58" s="3">
        <v>0.82</v>
      </c>
      <c r="E58" s="3">
        <v>0.54</v>
      </c>
      <c r="F58" s="4">
        <v>845</v>
      </c>
      <c r="G58" s="4">
        <v>53</v>
      </c>
      <c r="H58" s="4">
        <v>317</v>
      </c>
      <c r="I58" s="4">
        <v>30</v>
      </c>
      <c r="J58" s="4">
        <v>70</v>
      </c>
      <c r="K58" s="4">
        <v>18</v>
      </c>
      <c r="L58" s="4">
        <v>237</v>
      </c>
      <c r="M58" s="4">
        <v>120</v>
      </c>
      <c r="N58" s="4">
        <v>108</v>
      </c>
      <c r="O58" s="4">
        <v>266</v>
      </c>
      <c r="P58" s="4">
        <v>257</v>
      </c>
      <c r="Q58" s="4">
        <v>23</v>
      </c>
      <c r="R58" s="4">
        <v>163</v>
      </c>
      <c r="S58" s="4">
        <v>130</v>
      </c>
      <c r="T58" s="4">
        <v>158</v>
      </c>
      <c r="U58" s="3">
        <v>0.71</v>
      </c>
      <c r="V58" s="3">
        <v>0.36</v>
      </c>
      <c r="W58" s="3">
        <v>0.6</v>
      </c>
      <c r="X58" s="3">
        <v>0.34</v>
      </c>
      <c r="Y58" s="3">
        <v>0.5</v>
      </c>
      <c r="Z58" s="3">
        <v>0.37</v>
      </c>
      <c r="AA58" s="3">
        <v>0.09</v>
      </c>
      <c r="AB58" s="13">
        <v>0.33</v>
      </c>
      <c r="AC58" s="3">
        <v>0.18</v>
      </c>
      <c r="AD58" s="3">
        <v>0.4</v>
      </c>
    </row>
    <row r="59" spans="1:30" x14ac:dyDescent="0.25">
      <c r="A59" s="4">
        <v>2026</v>
      </c>
      <c r="B59" s="4" t="s">
        <v>11</v>
      </c>
      <c r="C59" s="4" t="s">
        <v>36</v>
      </c>
      <c r="D59" s="3">
        <v>0.56000000000000005</v>
      </c>
      <c r="E59" s="3">
        <v>0.45</v>
      </c>
      <c r="F59" s="4">
        <v>850</v>
      </c>
      <c r="G59" s="4">
        <v>70</v>
      </c>
      <c r="H59" s="4">
        <v>210</v>
      </c>
      <c r="I59" s="4">
        <v>62</v>
      </c>
      <c r="J59" s="4">
        <v>18</v>
      </c>
      <c r="K59" s="4">
        <v>206</v>
      </c>
      <c r="L59" s="4">
        <v>164</v>
      </c>
      <c r="M59" s="4">
        <v>120</v>
      </c>
      <c r="N59" s="4">
        <v>116</v>
      </c>
      <c r="O59" s="4">
        <v>74</v>
      </c>
      <c r="P59" s="4">
        <v>129</v>
      </c>
      <c r="Q59" s="4">
        <v>180</v>
      </c>
      <c r="R59" s="4">
        <v>179</v>
      </c>
      <c r="S59" s="4">
        <v>112</v>
      </c>
      <c r="T59" s="4">
        <v>133</v>
      </c>
      <c r="U59" s="3">
        <v>0.8</v>
      </c>
      <c r="V59" s="3">
        <v>0.63</v>
      </c>
      <c r="W59" s="3">
        <v>0.72</v>
      </c>
      <c r="X59" s="3">
        <v>0.39</v>
      </c>
      <c r="Y59" s="3">
        <v>0.45</v>
      </c>
      <c r="Z59" s="3">
        <v>0.28000000000000003</v>
      </c>
      <c r="AA59" s="3">
        <v>0.25</v>
      </c>
      <c r="AB59" s="12">
        <v>0.5</v>
      </c>
      <c r="AC59" s="3">
        <v>0.15</v>
      </c>
      <c r="AD59" s="3">
        <v>0.1</v>
      </c>
    </row>
    <row r="60" spans="1:30" x14ac:dyDescent="0.25">
      <c r="A60" s="4">
        <v>2026</v>
      </c>
      <c r="B60" s="4" t="s">
        <v>12</v>
      </c>
      <c r="C60" s="4" t="s">
        <v>36</v>
      </c>
      <c r="D60" s="3">
        <v>0.37</v>
      </c>
      <c r="E60" s="3">
        <v>0.69</v>
      </c>
      <c r="F60" s="4">
        <v>710</v>
      </c>
      <c r="G60" s="4">
        <v>154</v>
      </c>
      <c r="H60" s="4">
        <v>139</v>
      </c>
      <c r="I60" s="4">
        <v>40</v>
      </c>
      <c r="J60" s="4">
        <v>94</v>
      </c>
      <c r="K60" s="4">
        <v>110</v>
      </c>
      <c r="L60" s="4">
        <v>72</v>
      </c>
      <c r="M60" s="4">
        <v>101</v>
      </c>
      <c r="N60" s="4">
        <v>158</v>
      </c>
      <c r="O60" s="4">
        <v>27</v>
      </c>
      <c r="P60" s="4">
        <v>167</v>
      </c>
      <c r="Q60" s="4">
        <v>17</v>
      </c>
      <c r="R60" s="4">
        <v>139</v>
      </c>
      <c r="S60" s="4">
        <v>191</v>
      </c>
      <c r="T60" s="4">
        <v>117</v>
      </c>
      <c r="U60" s="3">
        <v>0.95</v>
      </c>
      <c r="V60" s="3">
        <v>0.89</v>
      </c>
      <c r="W60" s="3">
        <v>0.72</v>
      </c>
      <c r="X60" s="3">
        <v>0.2</v>
      </c>
      <c r="Y60" s="3">
        <v>0.65</v>
      </c>
      <c r="Z60" s="3">
        <v>0.21</v>
      </c>
      <c r="AA60" s="3">
        <v>0.05</v>
      </c>
      <c r="AB60" s="13">
        <v>0.4</v>
      </c>
      <c r="AC60" s="3">
        <v>0.25</v>
      </c>
      <c r="AD60" s="3">
        <v>0.3</v>
      </c>
    </row>
    <row r="61" spans="1:30" x14ac:dyDescent="0.25">
      <c r="A61" s="4">
        <v>2026</v>
      </c>
      <c r="B61" s="4" t="s">
        <v>13</v>
      </c>
      <c r="C61" s="4" t="s">
        <v>36</v>
      </c>
      <c r="D61" s="3">
        <v>0.39</v>
      </c>
      <c r="E61" s="3">
        <v>0.53</v>
      </c>
      <c r="F61" s="4">
        <v>628</v>
      </c>
      <c r="G61" s="4">
        <v>29</v>
      </c>
      <c r="H61" s="4">
        <v>145</v>
      </c>
      <c r="I61" s="4">
        <v>123</v>
      </c>
      <c r="J61" s="4">
        <v>14</v>
      </c>
      <c r="K61" s="4">
        <v>103</v>
      </c>
      <c r="L61" s="4">
        <v>124</v>
      </c>
      <c r="M61" s="4">
        <v>90</v>
      </c>
      <c r="N61" s="4">
        <v>206</v>
      </c>
      <c r="O61" s="4">
        <v>179</v>
      </c>
      <c r="P61" s="4">
        <v>53</v>
      </c>
      <c r="Q61" s="4">
        <v>209</v>
      </c>
      <c r="R61" s="4">
        <v>116</v>
      </c>
      <c r="S61" s="4">
        <v>104</v>
      </c>
      <c r="T61" s="4">
        <v>144</v>
      </c>
      <c r="U61" s="3">
        <v>0.36</v>
      </c>
      <c r="V61" s="3">
        <v>0.31</v>
      </c>
      <c r="W61" s="3">
        <v>0.38</v>
      </c>
      <c r="X61" s="3">
        <v>0.97</v>
      </c>
      <c r="Y61" s="3">
        <v>0.4</v>
      </c>
      <c r="Z61" s="3">
        <v>0.22</v>
      </c>
      <c r="AA61" s="3">
        <v>0.11</v>
      </c>
      <c r="AB61" s="12">
        <v>0.42</v>
      </c>
      <c r="AC61" s="3">
        <v>0.24</v>
      </c>
      <c r="AD61" s="3">
        <v>0.23</v>
      </c>
    </row>
    <row r="62" spans="1:30" x14ac:dyDescent="0.25">
      <c r="A62" s="4">
        <v>2027</v>
      </c>
      <c r="B62" s="4" t="s">
        <v>2</v>
      </c>
      <c r="C62" s="4" t="s">
        <v>36</v>
      </c>
      <c r="D62" s="3">
        <v>0.34</v>
      </c>
      <c r="E62" s="3">
        <v>0.52</v>
      </c>
      <c r="F62" s="4">
        <v>778</v>
      </c>
      <c r="G62" s="4">
        <v>216</v>
      </c>
      <c r="H62" s="4">
        <v>42</v>
      </c>
      <c r="I62" s="4">
        <v>95</v>
      </c>
      <c r="J62" s="4">
        <v>82</v>
      </c>
      <c r="K62" s="4">
        <v>91</v>
      </c>
      <c r="L62" s="4">
        <v>141</v>
      </c>
      <c r="M62" s="4">
        <v>111</v>
      </c>
      <c r="N62" s="4">
        <v>182</v>
      </c>
      <c r="O62" s="4">
        <v>77</v>
      </c>
      <c r="P62" s="4">
        <v>219</v>
      </c>
      <c r="Q62" s="4">
        <v>15</v>
      </c>
      <c r="R62" s="4">
        <v>237</v>
      </c>
      <c r="S62" s="4">
        <v>66</v>
      </c>
      <c r="T62" s="4">
        <v>134</v>
      </c>
      <c r="U62" s="3">
        <v>0.73</v>
      </c>
      <c r="V62" s="3">
        <v>0.38</v>
      </c>
      <c r="W62" s="3">
        <v>1</v>
      </c>
      <c r="X62" s="3">
        <v>0.53</v>
      </c>
      <c r="Y62" s="3">
        <v>0.76</v>
      </c>
      <c r="Z62" s="3">
        <v>0.76</v>
      </c>
      <c r="AA62" s="3">
        <v>0.17</v>
      </c>
      <c r="AB62" s="13">
        <v>0.48</v>
      </c>
      <c r="AC62" s="3">
        <v>0.12</v>
      </c>
      <c r="AD62" s="3">
        <v>0.23</v>
      </c>
    </row>
    <row r="63" spans="1:30" x14ac:dyDescent="0.25">
      <c r="A63" s="4">
        <v>2027</v>
      </c>
      <c r="B63" s="4" t="s">
        <v>3</v>
      </c>
      <c r="C63" s="4" t="s">
        <v>36</v>
      </c>
      <c r="D63" s="3">
        <v>0.56999999999999995</v>
      </c>
      <c r="E63" s="3">
        <v>0.65</v>
      </c>
      <c r="F63" s="4">
        <v>715</v>
      </c>
      <c r="G63" s="4">
        <v>110</v>
      </c>
      <c r="H63" s="4">
        <v>148</v>
      </c>
      <c r="I63" s="4">
        <v>127</v>
      </c>
      <c r="J63" s="4">
        <v>38</v>
      </c>
      <c r="K63" s="4">
        <v>129</v>
      </c>
      <c r="L63" s="4">
        <v>62</v>
      </c>
      <c r="M63" s="4">
        <v>101</v>
      </c>
      <c r="N63" s="4">
        <v>86</v>
      </c>
      <c r="O63" s="4">
        <v>122</v>
      </c>
      <c r="P63" s="4">
        <v>115</v>
      </c>
      <c r="Q63" s="4">
        <v>45</v>
      </c>
      <c r="R63" s="4">
        <v>138</v>
      </c>
      <c r="S63" s="4">
        <v>150</v>
      </c>
      <c r="T63" s="4">
        <v>110</v>
      </c>
      <c r="U63" s="3">
        <v>0.33</v>
      </c>
      <c r="V63" s="3">
        <v>0.73</v>
      </c>
      <c r="W63" s="3">
        <v>0.99</v>
      </c>
      <c r="X63" s="3">
        <v>1</v>
      </c>
      <c r="Y63" s="3">
        <v>0.68</v>
      </c>
      <c r="Z63" s="3">
        <v>0.24</v>
      </c>
      <c r="AA63" s="3">
        <v>0.09</v>
      </c>
      <c r="AB63" s="12">
        <v>0.34</v>
      </c>
      <c r="AC63" s="3">
        <v>0.38</v>
      </c>
      <c r="AD63" s="3">
        <v>0.19</v>
      </c>
    </row>
    <row r="64" spans="1:30" x14ac:dyDescent="0.25">
      <c r="A64" s="4">
        <v>2027</v>
      </c>
      <c r="B64" s="4" t="s">
        <v>4</v>
      </c>
      <c r="C64" s="4" t="s">
        <v>36</v>
      </c>
      <c r="D64" s="3">
        <v>0.42</v>
      </c>
      <c r="E64" s="3">
        <v>0.5</v>
      </c>
      <c r="F64" s="4">
        <v>589</v>
      </c>
      <c r="G64" s="4">
        <v>106</v>
      </c>
      <c r="H64" s="4">
        <v>79</v>
      </c>
      <c r="I64" s="4">
        <v>80</v>
      </c>
      <c r="J64" s="4">
        <v>58</v>
      </c>
      <c r="K64" s="4">
        <v>125</v>
      </c>
      <c r="L64" s="4">
        <v>56</v>
      </c>
      <c r="M64" s="4">
        <v>85</v>
      </c>
      <c r="N64" s="4">
        <v>225</v>
      </c>
      <c r="O64" s="4">
        <v>27</v>
      </c>
      <c r="P64" s="4">
        <v>38</v>
      </c>
      <c r="Q64" s="4">
        <v>56</v>
      </c>
      <c r="R64" s="4">
        <v>215</v>
      </c>
      <c r="S64" s="4">
        <v>183</v>
      </c>
      <c r="T64" s="4">
        <v>124</v>
      </c>
      <c r="U64" s="3">
        <v>0.47</v>
      </c>
      <c r="V64" s="3">
        <v>0.84</v>
      </c>
      <c r="W64" s="3">
        <v>0.62</v>
      </c>
      <c r="X64" s="3">
        <v>0.57999999999999996</v>
      </c>
      <c r="Y64" s="3">
        <v>0.94</v>
      </c>
      <c r="Z64" s="3">
        <v>0.74</v>
      </c>
      <c r="AA64" s="3">
        <v>0.16</v>
      </c>
      <c r="AB64" s="13">
        <v>0.42</v>
      </c>
      <c r="AC64" s="3">
        <v>0.34</v>
      </c>
      <c r="AD64" s="3">
        <v>0.08</v>
      </c>
    </row>
    <row r="65" spans="1:30" x14ac:dyDescent="0.25">
      <c r="A65" s="4">
        <v>2027</v>
      </c>
      <c r="B65" s="4" t="s">
        <v>5</v>
      </c>
      <c r="C65" s="4" t="s">
        <v>36</v>
      </c>
      <c r="D65" s="3">
        <v>0.42</v>
      </c>
      <c r="E65" s="3">
        <v>0.76</v>
      </c>
      <c r="F65" s="4">
        <v>668</v>
      </c>
      <c r="G65" s="4">
        <v>100</v>
      </c>
      <c r="H65" s="4">
        <v>16</v>
      </c>
      <c r="I65" s="4">
        <v>33</v>
      </c>
      <c r="J65" s="4">
        <v>201</v>
      </c>
      <c r="K65" s="4">
        <v>168</v>
      </c>
      <c r="L65" s="4">
        <v>55</v>
      </c>
      <c r="M65" s="4">
        <v>95</v>
      </c>
      <c r="N65" s="4">
        <v>88</v>
      </c>
      <c r="O65" s="4">
        <v>53</v>
      </c>
      <c r="P65" s="4">
        <v>310</v>
      </c>
      <c r="Q65" s="4">
        <v>16</v>
      </c>
      <c r="R65" s="4">
        <v>20</v>
      </c>
      <c r="S65" s="4">
        <v>259</v>
      </c>
      <c r="T65" s="4">
        <v>125</v>
      </c>
      <c r="U65" s="3">
        <v>0.35</v>
      </c>
      <c r="V65" s="3">
        <v>0.21</v>
      </c>
      <c r="W65" s="3">
        <v>0.92</v>
      </c>
      <c r="X65" s="3">
        <v>0.35</v>
      </c>
      <c r="Y65" s="3">
        <v>0.96</v>
      </c>
      <c r="Z65" s="3">
        <v>0.78</v>
      </c>
      <c r="AA65" s="3">
        <v>0.36</v>
      </c>
      <c r="AB65" s="12">
        <v>0.39</v>
      </c>
      <c r="AC65" s="3">
        <v>0.23</v>
      </c>
      <c r="AD65" s="3">
        <v>0.02</v>
      </c>
    </row>
    <row r="66" spans="1:30" x14ac:dyDescent="0.25">
      <c r="A66" s="4">
        <v>2027</v>
      </c>
      <c r="B66" s="4" t="s">
        <v>6</v>
      </c>
      <c r="C66" s="4" t="s">
        <v>36</v>
      </c>
      <c r="D66" s="3">
        <v>0.53</v>
      </c>
      <c r="E66" s="3">
        <v>0.59</v>
      </c>
      <c r="F66" s="4">
        <v>670</v>
      </c>
      <c r="G66" s="4">
        <v>67</v>
      </c>
      <c r="H66" s="4">
        <v>142</v>
      </c>
      <c r="I66" s="4">
        <v>49</v>
      </c>
      <c r="J66" s="4">
        <v>217</v>
      </c>
      <c r="K66" s="4">
        <v>12</v>
      </c>
      <c r="L66" s="4">
        <v>87</v>
      </c>
      <c r="M66" s="4">
        <v>96</v>
      </c>
      <c r="N66" s="4">
        <v>130</v>
      </c>
      <c r="O66" s="4">
        <v>2</v>
      </c>
      <c r="P66" s="4">
        <v>36</v>
      </c>
      <c r="Q66" s="4">
        <v>302</v>
      </c>
      <c r="R66" s="4">
        <v>42</v>
      </c>
      <c r="S66" s="4">
        <v>143</v>
      </c>
      <c r="T66" s="4">
        <v>109</v>
      </c>
      <c r="U66" s="3">
        <v>0.83</v>
      </c>
      <c r="V66" s="3">
        <v>0.71</v>
      </c>
      <c r="W66" s="3">
        <v>0.82</v>
      </c>
      <c r="X66" s="3">
        <v>0.72</v>
      </c>
      <c r="Y66" s="3">
        <v>0.69</v>
      </c>
      <c r="Z66" s="3">
        <v>0.92</v>
      </c>
      <c r="AA66" s="3">
        <v>0.23</v>
      </c>
      <c r="AB66" s="13">
        <v>0.42</v>
      </c>
      <c r="AC66" s="3">
        <v>0.03</v>
      </c>
      <c r="AD66" s="3">
        <v>0.32</v>
      </c>
    </row>
    <row r="67" spans="1:30" x14ac:dyDescent="0.25">
      <c r="A67" s="4">
        <v>2027</v>
      </c>
      <c r="B67" s="4" t="s">
        <v>7</v>
      </c>
      <c r="C67" s="4" t="s">
        <v>36</v>
      </c>
      <c r="D67" s="3">
        <v>0.9</v>
      </c>
      <c r="E67" s="3">
        <v>0.97</v>
      </c>
      <c r="F67" s="4">
        <v>588</v>
      </c>
      <c r="G67" s="4">
        <v>16</v>
      </c>
      <c r="H67" s="4">
        <v>117</v>
      </c>
      <c r="I67" s="4">
        <v>55</v>
      </c>
      <c r="J67" s="4">
        <v>88</v>
      </c>
      <c r="K67" s="4">
        <v>128</v>
      </c>
      <c r="L67" s="4">
        <v>100</v>
      </c>
      <c r="M67" s="4">
        <v>84</v>
      </c>
      <c r="N67" s="4">
        <v>33</v>
      </c>
      <c r="O67" s="4">
        <v>38</v>
      </c>
      <c r="P67" s="4">
        <v>193</v>
      </c>
      <c r="Q67" s="4">
        <v>163</v>
      </c>
      <c r="R67" s="4">
        <v>33</v>
      </c>
      <c r="S67" s="4">
        <v>135</v>
      </c>
      <c r="T67" s="4">
        <v>99</v>
      </c>
      <c r="U67" s="3">
        <v>0.43</v>
      </c>
      <c r="V67" s="3">
        <v>0.59</v>
      </c>
      <c r="W67" s="3">
        <v>0.95</v>
      </c>
      <c r="X67" s="3">
        <v>0.87</v>
      </c>
      <c r="Y67" s="3">
        <v>0.52</v>
      </c>
      <c r="Z67" s="3">
        <v>0.45</v>
      </c>
      <c r="AA67" s="3">
        <v>0.08</v>
      </c>
      <c r="AB67" s="12">
        <v>0.31</v>
      </c>
      <c r="AC67" s="3">
        <v>0.38</v>
      </c>
      <c r="AD67" s="3">
        <v>0.23</v>
      </c>
    </row>
    <row r="68" spans="1:30" x14ac:dyDescent="0.25">
      <c r="A68" s="4">
        <v>2027</v>
      </c>
      <c r="B68" s="4" t="s">
        <v>8</v>
      </c>
      <c r="C68" s="4" t="s">
        <v>36</v>
      </c>
      <c r="D68" s="3">
        <v>0.71</v>
      </c>
      <c r="E68" s="3">
        <v>0.65</v>
      </c>
      <c r="F68" s="4">
        <v>534</v>
      </c>
      <c r="G68" s="4">
        <v>105</v>
      </c>
      <c r="H68" s="4">
        <v>75</v>
      </c>
      <c r="I68" s="4">
        <v>56</v>
      </c>
      <c r="J68" s="4">
        <v>46</v>
      </c>
      <c r="K68" s="4">
        <v>72</v>
      </c>
      <c r="L68" s="4">
        <v>105</v>
      </c>
      <c r="M68" s="4">
        <v>75</v>
      </c>
      <c r="N68" s="4">
        <v>82</v>
      </c>
      <c r="O68" s="4">
        <v>9</v>
      </c>
      <c r="P68" s="4">
        <v>120</v>
      </c>
      <c r="Q68" s="4">
        <v>163</v>
      </c>
      <c r="R68" s="4">
        <v>108</v>
      </c>
      <c r="S68" s="4">
        <v>160</v>
      </c>
      <c r="T68" s="4">
        <v>107</v>
      </c>
      <c r="U68" s="3">
        <v>0.56999999999999995</v>
      </c>
      <c r="V68" s="3">
        <v>0.8</v>
      </c>
      <c r="W68" s="3">
        <v>0.78</v>
      </c>
      <c r="X68" s="3">
        <v>0.31</v>
      </c>
      <c r="Y68" s="3">
        <v>0.4</v>
      </c>
      <c r="Z68" s="3">
        <v>0.56999999999999995</v>
      </c>
      <c r="AA68" s="3">
        <v>0.28000000000000003</v>
      </c>
      <c r="AB68" s="13">
        <v>0.28000000000000003</v>
      </c>
      <c r="AC68" s="3">
        <v>0.28000000000000003</v>
      </c>
      <c r="AD68" s="3">
        <v>0.16</v>
      </c>
    </row>
    <row r="69" spans="1:30" x14ac:dyDescent="0.25">
      <c r="A69" s="4">
        <v>2027</v>
      </c>
      <c r="B69" s="4" t="s">
        <v>9</v>
      </c>
      <c r="C69" s="4" t="s">
        <v>36</v>
      </c>
      <c r="D69" s="3">
        <v>0.51</v>
      </c>
      <c r="E69" s="3">
        <v>0.75</v>
      </c>
      <c r="F69" s="4">
        <v>576</v>
      </c>
      <c r="G69" s="4">
        <v>89</v>
      </c>
      <c r="H69" s="4">
        <v>12</v>
      </c>
      <c r="I69" s="4">
        <v>114</v>
      </c>
      <c r="J69" s="4">
        <v>73</v>
      </c>
      <c r="K69" s="4">
        <v>149</v>
      </c>
      <c r="L69" s="4">
        <v>56</v>
      </c>
      <c r="M69" s="4">
        <v>83</v>
      </c>
      <c r="N69" s="4">
        <v>10</v>
      </c>
      <c r="O69" s="4">
        <v>194</v>
      </c>
      <c r="P69" s="4">
        <v>51</v>
      </c>
      <c r="Q69" s="4">
        <v>112</v>
      </c>
      <c r="R69" s="4">
        <v>175</v>
      </c>
      <c r="S69" s="4">
        <v>220</v>
      </c>
      <c r="T69" s="4">
        <v>127</v>
      </c>
      <c r="U69" s="3">
        <v>0.44</v>
      </c>
      <c r="V69" s="3">
        <v>0.43</v>
      </c>
      <c r="W69" s="3">
        <v>0.7</v>
      </c>
      <c r="X69" s="3">
        <v>0.4</v>
      </c>
      <c r="Y69" s="3">
        <v>0.92</v>
      </c>
      <c r="Z69" s="3">
        <v>0.9</v>
      </c>
      <c r="AA69" s="3">
        <v>0.11</v>
      </c>
      <c r="AB69" s="12">
        <v>0.55000000000000004</v>
      </c>
      <c r="AC69" s="3">
        <v>0.2</v>
      </c>
      <c r="AD69" s="3">
        <v>0.14000000000000001</v>
      </c>
    </row>
    <row r="70" spans="1:30" x14ac:dyDescent="0.25">
      <c r="A70" s="4">
        <v>2027</v>
      </c>
      <c r="B70" s="4" t="s">
        <v>10</v>
      </c>
      <c r="C70" s="4" t="s">
        <v>36</v>
      </c>
      <c r="D70" s="3">
        <v>0.55000000000000004</v>
      </c>
      <c r="E70" s="3">
        <v>0.86</v>
      </c>
      <c r="F70" s="4">
        <v>684</v>
      </c>
      <c r="G70" s="4">
        <v>17</v>
      </c>
      <c r="H70" s="4">
        <v>60</v>
      </c>
      <c r="I70" s="4">
        <v>141</v>
      </c>
      <c r="J70" s="4">
        <v>77</v>
      </c>
      <c r="K70" s="4">
        <v>141</v>
      </c>
      <c r="L70" s="4">
        <v>151</v>
      </c>
      <c r="M70" s="4">
        <v>97</v>
      </c>
      <c r="N70" s="4">
        <v>111</v>
      </c>
      <c r="O70" s="4">
        <v>203</v>
      </c>
      <c r="P70" s="4">
        <v>205</v>
      </c>
      <c r="Q70" s="4">
        <v>158</v>
      </c>
      <c r="R70" s="4">
        <v>134</v>
      </c>
      <c r="S70" s="4">
        <v>9</v>
      </c>
      <c r="T70" s="4">
        <v>137</v>
      </c>
      <c r="U70" s="3">
        <v>0.89</v>
      </c>
      <c r="V70" s="3">
        <v>0.62</v>
      </c>
      <c r="W70" s="3">
        <v>0.76</v>
      </c>
      <c r="X70" s="3">
        <v>0.5</v>
      </c>
      <c r="Y70" s="3">
        <v>0.56999999999999995</v>
      </c>
      <c r="Z70" s="3">
        <v>0.87</v>
      </c>
      <c r="AA70" s="3">
        <v>0.13</v>
      </c>
      <c r="AB70" s="13">
        <v>0.51</v>
      </c>
      <c r="AC70" s="3">
        <v>0.28000000000000003</v>
      </c>
      <c r="AD70" s="3">
        <v>0.08</v>
      </c>
    </row>
    <row r="71" spans="1:30" x14ac:dyDescent="0.25">
      <c r="A71" s="4">
        <v>2027</v>
      </c>
      <c r="B71" s="4" t="s">
        <v>11</v>
      </c>
      <c r="C71" s="4" t="s">
        <v>36</v>
      </c>
      <c r="D71" s="3">
        <v>0.31</v>
      </c>
      <c r="E71" s="3">
        <v>0.84</v>
      </c>
      <c r="F71" s="4">
        <v>736</v>
      </c>
      <c r="G71" s="4">
        <v>131</v>
      </c>
      <c r="H71" s="4">
        <v>119</v>
      </c>
      <c r="I71" s="4">
        <v>89</v>
      </c>
      <c r="J71" s="4">
        <v>124</v>
      </c>
      <c r="K71" s="4">
        <v>125</v>
      </c>
      <c r="L71" s="4">
        <v>43</v>
      </c>
      <c r="M71" s="4">
        <v>105</v>
      </c>
      <c r="N71" s="4">
        <v>264</v>
      </c>
      <c r="O71" s="4">
        <v>76</v>
      </c>
      <c r="P71" s="4">
        <v>49</v>
      </c>
      <c r="Q71" s="4">
        <v>277</v>
      </c>
      <c r="R71" s="4">
        <v>93</v>
      </c>
      <c r="S71" s="4">
        <v>32</v>
      </c>
      <c r="T71" s="4">
        <v>132</v>
      </c>
      <c r="U71" s="3">
        <v>0.28000000000000003</v>
      </c>
      <c r="V71" s="3">
        <v>0.72</v>
      </c>
      <c r="W71" s="3">
        <v>0.68</v>
      </c>
      <c r="X71" s="3">
        <v>0.87</v>
      </c>
      <c r="Y71" s="3">
        <v>0.98</v>
      </c>
      <c r="Z71" s="3">
        <v>0.96</v>
      </c>
      <c r="AA71" s="3">
        <v>0.34</v>
      </c>
      <c r="AB71" s="12">
        <v>0.33</v>
      </c>
      <c r="AC71" s="3">
        <v>0.25</v>
      </c>
      <c r="AD71" s="3">
        <v>0.08</v>
      </c>
    </row>
    <row r="72" spans="1:30" x14ac:dyDescent="0.25">
      <c r="A72" s="4">
        <v>2027</v>
      </c>
      <c r="B72" s="4" t="s">
        <v>12</v>
      </c>
      <c r="C72" s="4" t="s">
        <v>36</v>
      </c>
      <c r="D72" s="3">
        <v>0.63</v>
      </c>
      <c r="E72" s="3">
        <v>0.66</v>
      </c>
      <c r="F72" s="4">
        <v>710</v>
      </c>
      <c r="G72" s="4">
        <v>218</v>
      </c>
      <c r="H72" s="4">
        <v>53</v>
      </c>
      <c r="I72" s="4">
        <v>171</v>
      </c>
      <c r="J72" s="4">
        <v>149</v>
      </c>
      <c r="K72" s="4">
        <v>2</v>
      </c>
      <c r="L72" s="4">
        <v>16</v>
      </c>
      <c r="M72" s="4">
        <v>101</v>
      </c>
      <c r="N72" s="4">
        <v>49</v>
      </c>
      <c r="O72" s="4">
        <v>45</v>
      </c>
      <c r="P72" s="4">
        <v>230</v>
      </c>
      <c r="Q72" s="4">
        <v>55</v>
      </c>
      <c r="R72" s="4">
        <v>199</v>
      </c>
      <c r="S72" s="4">
        <v>121</v>
      </c>
      <c r="T72" s="4">
        <v>117</v>
      </c>
      <c r="U72" s="3">
        <v>0.41</v>
      </c>
      <c r="V72" s="3">
        <v>0.67</v>
      </c>
      <c r="W72" s="3">
        <v>0.88</v>
      </c>
      <c r="X72" s="3">
        <v>0.69</v>
      </c>
      <c r="Y72" s="3">
        <v>0.71</v>
      </c>
      <c r="Z72" s="3">
        <v>0.63</v>
      </c>
      <c r="AA72" s="3">
        <v>0.2</v>
      </c>
      <c r="AB72" s="13">
        <v>0.43</v>
      </c>
      <c r="AC72" s="3">
        <v>0.12</v>
      </c>
      <c r="AD72" s="3">
        <v>0.25</v>
      </c>
    </row>
    <row r="73" spans="1:30" x14ac:dyDescent="0.25">
      <c r="A73" s="4">
        <v>2027</v>
      </c>
      <c r="B73" s="4" t="s">
        <v>13</v>
      </c>
      <c r="C73" s="4" t="s">
        <v>36</v>
      </c>
      <c r="D73" s="3">
        <v>0.64</v>
      </c>
      <c r="E73" s="3">
        <v>0.52</v>
      </c>
      <c r="F73" s="4">
        <v>628</v>
      </c>
      <c r="G73" s="4">
        <v>134</v>
      </c>
      <c r="H73" s="4">
        <v>12</v>
      </c>
      <c r="I73" s="4">
        <v>82</v>
      </c>
      <c r="J73" s="4">
        <v>95</v>
      </c>
      <c r="K73" s="4">
        <v>106</v>
      </c>
      <c r="L73" s="4">
        <v>109</v>
      </c>
      <c r="M73" s="4">
        <v>90</v>
      </c>
      <c r="N73" s="4">
        <v>0</v>
      </c>
      <c r="O73" s="4">
        <v>0</v>
      </c>
      <c r="P73" s="4">
        <v>0</v>
      </c>
      <c r="Q73" s="4">
        <v>0</v>
      </c>
      <c r="R73" s="4">
        <v>0</v>
      </c>
      <c r="S73" s="4">
        <v>0</v>
      </c>
      <c r="T73" s="4">
        <v>0</v>
      </c>
      <c r="U73" s="3">
        <v>0.86</v>
      </c>
      <c r="V73" s="3">
        <v>0.32</v>
      </c>
      <c r="W73" s="3">
        <v>0.27</v>
      </c>
      <c r="X73" s="3">
        <v>0.9</v>
      </c>
      <c r="Y73" s="3">
        <v>0.96</v>
      </c>
      <c r="Z73" s="3">
        <v>0.8</v>
      </c>
      <c r="AA73" s="3">
        <v>0.17</v>
      </c>
      <c r="AB73" s="12">
        <v>0.45</v>
      </c>
      <c r="AC73" s="3">
        <v>0.19</v>
      </c>
      <c r="AD73" s="3">
        <v>0.19</v>
      </c>
    </row>
    <row r="74" spans="1:30" x14ac:dyDescent="0.25">
      <c r="A74" s="4">
        <v>2025</v>
      </c>
      <c r="B74" s="4" t="s">
        <v>2</v>
      </c>
      <c r="C74" s="4" t="s">
        <v>35</v>
      </c>
      <c r="D74" s="3">
        <v>0.65</v>
      </c>
      <c r="E74" s="8">
        <v>0.5</v>
      </c>
      <c r="F74" s="4">
        <v>0</v>
      </c>
      <c r="G74" s="4">
        <v>0</v>
      </c>
      <c r="H74" s="4">
        <v>0</v>
      </c>
      <c r="I74" s="4">
        <v>0</v>
      </c>
      <c r="J74" s="4">
        <v>0</v>
      </c>
      <c r="K74" s="4">
        <v>0</v>
      </c>
      <c r="L74" s="4">
        <v>0</v>
      </c>
      <c r="M74" s="4">
        <v>0</v>
      </c>
      <c r="N74" s="4">
        <v>0</v>
      </c>
      <c r="O74" s="4">
        <v>0</v>
      </c>
      <c r="P74" s="4">
        <v>0</v>
      </c>
      <c r="Q74" s="4">
        <v>0</v>
      </c>
      <c r="R74" s="4">
        <v>0</v>
      </c>
      <c r="S74" s="4">
        <v>0</v>
      </c>
      <c r="T74" s="4">
        <v>0</v>
      </c>
      <c r="U74" s="3">
        <v>0.4</v>
      </c>
      <c r="V74" s="3">
        <v>0.5</v>
      </c>
      <c r="W74" s="3">
        <v>0.45</v>
      </c>
      <c r="X74" s="3">
        <v>0.55000000000000004</v>
      </c>
      <c r="Y74" s="3">
        <v>0.1</v>
      </c>
      <c r="Z74" s="3">
        <v>0.25</v>
      </c>
      <c r="AA74" s="3">
        <v>0.19</v>
      </c>
      <c r="AB74" s="13">
        <v>0.5</v>
      </c>
      <c r="AC74" s="3">
        <v>0.02</v>
      </c>
      <c r="AD74" s="3">
        <v>0.28999999999999998</v>
      </c>
    </row>
    <row r="75" spans="1:30" x14ac:dyDescent="0.25">
      <c r="A75" s="4">
        <v>2025</v>
      </c>
      <c r="B75" s="4" t="s">
        <v>3</v>
      </c>
      <c r="C75" s="4" t="s">
        <v>35</v>
      </c>
      <c r="D75" s="3">
        <v>0.73</v>
      </c>
      <c r="E75" s="3">
        <v>0.47</v>
      </c>
      <c r="F75" s="4">
        <v>0</v>
      </c>
      <c r="G75" s="4">
        <v>0</v>
      </c>
      <c r="H75" s="4">
        <v>0</v>
      </c>
      <c r="I75" s="4">
        <v>0</v>
      </c>
      <c r="J75" s="4">
        <v>0</v>
      </c>
      <c r="K75" s="4">
        <v>0</v>
      </c>
      <c r="L75" s="4">
        <v>0</v>
      </c>
      <c r="M75" s="4">
        <v>0</v>
      </c>
      <c r="N75" s="4">
        <v>1</v>
      </c>
      <c r="O75" s="4">
        <v>1</v>
      </c>
      <c r="P75" s="4">
        <v>1</v>
      </c>
      <c r="Q75" s="4">
        <v>1</v>
      </c>
      <c r="R75" s="4">
        <v>2</v>
      </c>
      <c r="S75" s="4">
        <v>2</v>
      </c>
      <c r="T75" s="4">
        <v>1</v>
      </c>
      <c r="U75" s="3">
        <v>0.33</v>
      </c>
      <c r="V75" s="3">
        <v>0.31</v>
      </c>
      <c r="W75" s="3">
        <v>0.33</v>
      </c>
      <c r="X75" s="3">
        <v>0.37</v>
      </c>
      <c r="Y75" s="3">
        <v>1</v>
      </c>
      <c r="Z75" s="3">
        <v>0.51</v>
      </c>
      <c r="AA75" s="3">
        <v>0.14000000000000001</v>
      </c>
      <c r="AB75" s="12">
        <v>0.26</v>
      </c>
      <c r="AC75" s="3">
        <v>0.23</v>
      </c>
      <c r="AD75" s="3">
        <v>0.37</v>
      </c>
    </row>
    <row r="76" spans="1:30" x14ac:dyDescent="0.25">
      <c r="A76" s="4">
        <v>2025</v>
      </c>
      <c r="B76" s="4" t="s">
        <v>4</v>
      </c>
      <c r="C76" s="4" t="s">
        <v>35</v>
      </c>
      <c r="D76" s="3">
        <v>0.83</v>
      </c>
      <c r="E76" s="3">
        <v>0.74</v>
      </c>
      <c r="F76" s="4">
        <v>7</v>
      </c>
      <c r="G76" s="4">
        <v>1</v>
      </c>
      <c r="H76" s="4">
        <v>1</v>
      </c>
      <c r="I76" s="4">
        <v>0</v>
      </c>
      <c r="J76" s="4">
        <v>1</v>
      </c>
      <c r="K76" s="4">
        <v>1</v>
      </c>
      <c r="L76" s="4">
        <v>0</v>
      </c>
      <c r="M76" s="4">
        <v>3</v>
      </c>
      <c r="N76" s="4">
        <v>4</v>
      </c>
      <c r="O76" s="4">
        <v>10</v>
      </c>
      <c r="P76" s="4">
        <v>18</v>
      </c>
      <c r="Q76" s="4">
        <v>12</v>
      </c>
      <c r="R76" s="4">
        <v>1</v>
      </c>
      <c r="S76" s="4">
        <v>3</v>
      </c>
      <c r="T76" s="4">
        <v>7</v>
      </c>
      <c r="U76" s="3">
        <v>0.43</v>
      </c>
      <c r="V76" s="3">
        <v>0.53</v>
      </c>
      <c r="W76" s="3">
        <v>0.9</v>
      </c>
      <c r="X76" s="3">
        <v>0.81</v>
      </c>
      <c r="Y76" s="3">
        <v>0.54</v>
      </c>
      <c r="Z76" s="3">
        <v>0.43</v>
      </c>
      <c r="AA76" s="3">
        <v>0.23</v>
      </c>
      <c r="AB76" s="13">
        <v>0.48</v>
      </c>
      <c r="AC76" s="3">
        <v>0.19</v>
      </c>
      <c r="AD76" s="3">
        <v>0.1</v>
      </c>
    </row>
    <row r="77" spans="1:30" x14ac:dyDescent="0.25">
      <c r="A77" s="4">
        <v>2025</v>
      </c>
      <c r="B77" s="4" t="s">
        <v>5</v>
      </c>
      <c r="C77" s="4" t="s">
        <v>35</v>
      </c>
      <c r="D77" s="3">
        <v>0.57999999999999996</v>
      </c>
      <c r="E77" s="3">
        <v>0.81</v>
      </c>
      <c r="F77" s="4">
        <v>42</v>
      </c>
      <c r="G77" s="4">
        <v>8</v>
      </c>
      <c r="H77" s="4">
        <v>6</v>
      </c>
      <c r="I77" s="4">
        <v>5</v>
      </c>
      <c r="J77" s="4">
        <v>9</v>
      </c>
      <c r="K77" s="4">
        <v>0</v>
      </c>
      <c r="L77" s="4">
        <v>9</v>
      </c>
      <c r="M77" s="4">
        <v>5</v>
      </c>
      <c r="N77" s="4">
        <v>3</v>
      </c>
      <c r="O77" s="4">
        <v>6</v>
      </c>
      <c r="P77" s="4">
        <v>23</v>
      </c>
      <c r="Q77" s="4">
        <v>19</v>
      </c>
      <c r="R77" s="4">
        <v>30</v>
      </c>
      <c r="S77" s="4">
        <v>8</v>
      </c>
      <c r="T77" s="4">
        <v>15</v>
      </c>
      <c r="U77" s="3">
        <v>0.4</v>
      </c>
      <c r="V77" s="3">
        <v>0.65</v>
      </c>
      <c r="W77" s="3">
        <v>0.25</v>
      </c>
      <c r="X77" s="3">
        <v>0.82</v>
      </c>
      <c r="Y77" s="3">
        <v>0.56000000000000005</v>
      </c>
      <c r="Z77" s="3">
        <v>0.95</v>
      </c>
      <c r="AA77" s="3">
        <v>0.12</v>
      </c>
      <c r="AB77" s="12">
        <v>0.27</v>
      </c>
      <c r="AC77" s="3">
        <v>0.26</v>
      </c>
      <c r="AD77" s="3">
        <v>0.35</v>
      </c>
    </row>
    <row r="78" spans="1:30" x14ac:dyDescent="0.25">
      <c r="A78" s="4">
        <v>2025</v>
      </c>
      <c r="B78" s="4" t="s">
        <v>6</v>
      </c>
      <c r="C78" s="4" t="s">
        <v>35</v>
      </c>
      <c r="D78" s="3">
        <v>0.4</v>
      </c>
      <c r="E78" s="3">
        <v>0.81</v>
      </c>
      <c r="F78" s="4">
        <v>80</v>
      </c>
      <c r="G78" s="4">
        <v>7</v>
      </c>
      <c r="H78" s="4">
        <v>10</v>
      </c>
      <c r="I78" s="4">
        <v>17</v>
      </c>
      <c r="J78" s="4">
        <v>10</v>
      </c>
      <c r="K78" s="4">
        <v>7</v>
      </c>
      <c r="L78" s="4">
        <v>16</v>
      </c>
      <c r="M78" s="4">
        <v>13</v>
      </c>
      <c r="N78" s="4">
        <v>36</v>
      </c>
      <c r="O78" s="4">
        <v>25</v>
      </c>
      <c r="P78" s="4">
        <v>28</v>
      </c>
      <c r="Q78" s="4">
        <v>28</v>
      </c>
      <c r="R78" s="4">
        <v>19</v>
      </c>
      <c r="S78" s="4">
        <v>6</v>
      </c>
      <c r="T78" s="4">
        <v>24</v>
      </c>
      <c r="U78" s="3">
        <v>0.56000000000000005</v>
      </c>
      <c r="V78" s="3">
        <v>0.69</v>
      </c>
      <c r="W78" s="3">
        <v>0.52</v>
      </c>
      <c r="X78" s="3">
        <v>0.61</v>
      </c>
      <c r="Y78" s="3">
        <v>0.56000000000000005</v>
      </c>
      <c r="Z78" s="3">
        <v>0.23</v>
      </c>
      <c r="AA78" s="3">
        <v>0.28000000000000003</v>
      </c>
      <c r="AB78" s="13">
        <v>0.39</v>
      </c>
      <c r="AC78" s="3">
        <v>0.05</v>
      </c>
      <c r="AD78" s="3">
        <v>0.28000000000000003</v>
      </c>
    </row>
    <row r="79" spans="1:30" x14ac:dyDescent="0.25">
      <c r="A79" s="4">
        <v>2025</v>
      </c>
      <c r="B79" s="4" t="s">
        <v>7</v>
      </c>
      <c r="C79" s="4" t="s">
        <v>35</v>
      </c>
      <c r="D79" s="3">
        <v>0.78</v>
      </c>
      <c r="E79" s="3">
        <v>0.5</v>
      </c>
      <c r="F79" s="4">
        <v>128</v>
      </c>
      <c r="G79" s="4">
        <v>20</v>
      </c>
      <c r="H79" s="4">
        <v>2</v>
      </c>
      <c r="I79" s="4">
        <v>21</v>
      </c>
      <c r="J79" s="4">
        <v>35</v>
      </c>
      <c r="K79" s="4">
        <v>28</v>
      </c>
      <c r="L79" s="4">
        <v>5</v>
      </c>
      <c r="M79" s="4">
        <v>17</v>
      </c>
      <c r="N79" s="4">
        <v>60</v>
      </c>
      <c r="O79" s="4">
        <v>67</v>
      </c>
      <c r="P79" s="4">
        <v>46</v>
      </c>
      <c r="Q79" s="4">
        <v>20</v>
      </c>
      <c r="R79" s="4">
        <v>40</v>
      </c>
      <c r="S79" s="4">
        <v>18</v>
      </c>
      <c r="T79" s="4">
        <v>43</v>
      </c>
      <c r="U79" s="3">
        <v>0.41</v>
      </c>
      <c r="V79" s="3">
        <v>0.88</v>
      </c>
      <c r="W79" s="3">
        <v>0.61</v>
      </c>
      <c r="X79" s="3">
        <v>0.79</v>
      </c>
      <c r="Y79" s="3">
        <v>0.85</v>
      </c>
      <c r="Z79" s="3">
        <v>0.89</v>
      </c>
      <c r="AA79" s="3">
        <v>0.27</v>
      </c>
      <c r="AB79" s="12">
        <v>0.26</v>
      </c>
      <c r="AC79" s="3">
        <v>0.44</v>
      </c>
      <c r="AD79" s="3">
        <v>0.03</v>
      </c>
    </row>
    <row r="80" spans="1:30" x14ac:dyDescent="0.25">
      <c r="A80" s="4">
        <v>2025</v>
      </c>
      <c r="B80" s="4" t="s">
        <v>8</v>
      </c>
      <c r="C80" s="4" t="s">
        <v>35</v>
      </c>
      <c r="D80" s="3">
        <v>0.46</v>
      </c>
      <c r="E80" s="3">
        <v>0.66</v>
      </c>
      <c r="F80" s="4">
        <v>226</v>
      </c>
      <c r="G80" s="4">
        <v>18</v>
      </c>
      <c r="H80" s="4">
        <v>20</v>
      </c>
      <c r="I80" s="4">
        <v>49</v>
      </c>
      <c r="J80" s="4">
        <v>55</v>
      </c>
      <c r="K80" s="4">
        <v>26</v>
      </c>
      <c r="L80" s="4">
        <v>25</v>
      </c>
      <c r="M80" s="4">
        <v>33</v>
      </c>
      <c r="N80" s="4">
        <v>19</v>
      </c>
      <c r="O80" s="4">
        <v>160</v>
      </c>
      <c r="P80" s="4">
        <v>121</v>
      </c>
      <c r="Q80" s="4">
        <v>22</v>
      </c>
      <c r="R80" s="4">
        <v>44</v>
      </c>
      <c r="S80" s="4">
        <v>13</v>
      </c>
      <c r="T80" s="4">
        <v>64</v>
      </c>
      <c r="U80" s="3">
        <v>0.66</v>
      </c>
      <c r="V80" s="3">
        <v>0.34</v>
      </c>
      <c r="W80" s="3">
        <v>0.66</v>
      </c>
      <c r="X80" s="3">
        <v>0.86</v>
      </c>
      <c r="Y80" s="3">
        <v>0.95</v>
      </c>
      <c r="Z80" s="3">
        <v>0.94</v>
      </c>
      <c r="AA80" s="3">
        <v>0.27</v>
      </c>
      <c r="AB80" s="13">
        <v>0.49</v>
      </c>
      <c r="AC80" s="3">
        <v>0.12</v>
      </c>
      <c r="AD80" s="3">
        <v>0.12</v>
      </c>
    </row>
    <row r="81" spans="1:30" x14ac:dyDescent="0.25">
      <c r="A81" s="4">
        <v>2025</v>
      </c>
      <c r="B81" s="4" t="s">
        <v>9</v>
      </c>
      <c r="C81" s="4" t="s">
        <v>35</v>
      </c>
      <c r="D81" s="3">
        <v>0.82</v>
      </c>
      <c r="E81" s="3">
        <v>0.99</v>
      </c>
      <c r="F81" s="4">
        <v>341</v>
      </c>
      <c r="G81" s="4">
        <v>125</v>
      </c>
      <c r="H81" s="4">
        <v>23</v>
      </c>
      <c r="I81" s="4">
        <v>4</v>
      </c>
      <c r="J81" s="4">
        <v>55</v>
      </c>
      <c r="K81" s="4">
        <v>6</v>
      </c>
      <c r="L81" s="4">
        <v>80</v>
      </c>
      <c r="M81" s="4">
        <v>48</v>
      </c>
      <c r="N81" s="4">
        <v>19</v>
      </c>
      <c r="O81" s="4">
        <v>94</v>
      </c>
      <c r="P81" s="4">
        <v>183</v>
      </c>
      <c r="Q81" s="4">
        <v>15</v>
      </c>
      <c r="R81" s="4">
        <v>125</v>
      </c>
      <c r="S81" s="4">
        <v>30</v>
      </c>
      <c r="T81" s="4">
        <v>79</v>
      </c>
      <c r="U81" s="3">
        <v>0.57999999999999996</v>
      </c>
      <c r="V81" s="3">
        <v>0.25</v>
      </c>
      <c r="W81" s="3">
        <v>0.93</v>
      </c>
      <c r="X81" s="3">
        <v>0.55000000000000004</v>
      </c>
      <c r="Y81" s="3">
        <v>0.91</v>
      </c>
      <c r="Z81" s="3">
        <v>0.56000000000000005</v>
      </c>
      <c r="AA81" s="3">
        <v>0.18</v>
      </c>
      <c r="AB81" s="12">
        <v>0.26</v>
      </c>
      <c r="AC81" s="3">
        <v>0.34</v>
      </c>
      <c r="AD81" s="3">
        <v>0.22</v>
      </c>
    </row>
    <row r="82" spans="1:30" x14ac:dyDescent="0.25">
      <c r="A82" s="4">
        <v>2025</v>
      </c>
      <c r="B82" s="4" t="s">
        <v>10</v>
      </c>
      <c r="C82" s="4" t="s">
        <v>35</v>
      </c>
      <c r="D82" s="3">
        <v>0.45</v>
      </c>
      <c r="E82" s="3">
        <v>0.98</v>
      </c>
      <c r="F82" s="4">
        <v>419</v>
      </c>
      <c r="G82" s="4">
        <v>62</v>
      </c>
      <c r="H82" s="4">
        <v>77</v>
      </c>
      <c r="I82" s="4">
        <v>75</v>
      </c>
      <c r="J82" s="4">
        <v>96</v>
      </c>
      <c r="K82" s="4">
        <v>37</v>
      </c>
      <c r="L82" s="4">
        <v>11</v>
      </c>
      <c r="M82" s="4">
        <v>61</v>
      </c>
      <c r="N82" s="4">
        <v>78</v>
      </c>
      <c r="O82" s="4">
        <v>103</v>
      </c>
      <c r="P82" s="4">
        <v>31</v>
      </c>
      <c r="Q82" s="4">
        <v>55</v>
      </c>
      <c r="R82" s="4">
        <v>72</v>
      </c>
      <c r="S82" s="4">
        <v>75</v>
      </c>
      <c r="T82" s="4">
        <v>67</v>
      </c>
      <c r="U82" s="3">
        <v>0.5</v>
      </c>
      <c r="V82" s="3">
        <v>0.6</v>
      </c>
      <c r="W82" s="3">
        <v>0.42</v>
      </c>
      <c r="X82" s="3">
        <v>0.48</v>
      </c>
      <c r="Y82" s="3">
        <v>0.93</v>
      </c>
      <c r="Z82" s="3">
        <v>0.5</v>
      </c>
      <c r="AA82" s="3">
        <v>0.06</v>
      </c>
      <c r="AB82" s="13">
        <v>0.49</v>
      </c>
      <c r="AC82" s="3">
        <v>0.22</v>
      </c>
      <c r="AD82" s="3">
        <v>0.23</v>
      </c>
    </row>
    <row r="83" spans="1:30" x14ac:dyDescent="0.25">
      <c r="A83" s="4">
        <v>2025</v>
      </c>
      <c r="B83" s="4" t="s">
        <v>11</v>
      </c>
      <c r="C83" s="4" t="s">
        <v>35</v>
      </c>
      <c r="D83" s="3">
        <v>0.68</v>
      </c>
      <c r="E83" s="3">
        <v>0.6</v>
      </c>
      <c r="F83" s="4">
        <v>370</v>
      </c>
      <c r="G83" s="4">
        <v>46</v>
      </c>
      <c r="H83" s="4">
        <v>18</v>
      </c>
      <c r="I83" s="4">
        <v>65</v>
      </c>
      <c r="J83" s="4">
        <v>86</v>
      </c>
      <c r="K83" s="4">
        <v>17</v>
      </c>
      <c r="L83" s="4">
        <v>87</v>
      </c>
      <c r="M83" s="4">
        <v>51</v>
      </c>
      <c r="N83" s="4">
        <v>23</v>
      </c>
      <c r="O83" s="4">
        <v>54</v>
      </c>
      <c r="P83" s="4">
        <v>7</v>
      </c>
      <c r="Q83" s="4">
        <v>51</v>
      </c>
      <c r="R83" s="4">
        <v>110</v>
      </c>
      <c r="S83" s="4">
        <v>24</v>
      </c>
      <c r="T83" s="4">
        <v>46</v>
      </c>
      <c r="U83" s="3">
        <v>0.45</v>
      </c>
      <c r="V83" s="3">
        <v>0.49</v>
      </c>
      <c r="W83" s="3">
        <v>0.59</v>
      </c>
      <c r="X83" s="3">
        <v>0.2</v>
      </c>
      <c r="Y83" s="3">
        <v>0.84</v>
      </c>
      <c r="Z83" s="3">
        <v>0.21</v>
      </c>
      <c r="AA83" s="3">
        <v>0.11</v>
      </c>
      <c r="AB83" s="12">
        <v>0.64</v>
      </c>
      <c r="AC83" s="3">
        <v>0.09</v>
      </c>
      <c r="AD83" s="3">
        <v>0.16</v>
      </c>
    </row>
    <row r="84" spans="1:30" x14ac:dyDescent="0.25">
      <c r="A84" s="4">
        <v>2025</v>
      </c>
      <c r="B84" s="4" t="s">
        <v>12</v>
      </c>
      <c r="C84" s="4" t="s">
        <v>35</v>
      </c>
      <c r="D84" s="3">
        <v>0.51</v>
      </c>
      <c r="E84" s="3">
        <v>0.68</v>
      </c>
      <c r="F84" s="4">
        <v>242</v>
      </c>
      <c r="G84" s="4">
        <v>51</v>
      </c>
      <c r="H84" s="4">
        <v>20</v>
      </c>
      <c r="I84" s="4">
        <v>49</v>
      </c>
      <c r="J84" s="4">
        <v>53</v>
      </c>
      <c r="K84" s="4">
        <v>10</v>
      </c>
      <c r="L84" s="4">
        <v>24</v>
      </c>
      <c r="M84" s="4">
        <v>35</v>
      </c>
      <c r="N84" s="4">
        <v>20</v>
      </c>
      <c r="O84" s="4">
        <v>58</v>
      </c>
      <c r="P84" s="4">
        <v>57</v>
      </c>
      <c r="Q84" s="4">
        <v>34</v>
      </c>
      <c r="R84" s="4">
        <v>1</v>
      </c>
      <c r="S84" s="4">
        <v>4</v>
      </c>
      <c r="T84" s="4">
        <v>28</v>
      </c>
      <c r="U84" s="3">
        <v>0.93</v>
      </c>
      <c r="V84" s="3">
        <v>0.54</v>
      </c>
      <c r="W84" s="3">
        <v>0.3</v>
      </c>
      <c r="X84" s="3">
        <v>0.35</v>
      </c>
      <c r="Y84" s="3">
        <v>0.42</v>
      </c>
      <c r="Z84" s="3">
        <v>0.68</v>
      </c>
      <c r="AA84" s="3">
        <v>0.04</v>
      </c>
      <c r="AB84" s="13">
        <v>0.61</v>
      </c>
      <c r="AC84" s="3">
        <v>0.3</v>
      </c>
      <c r="AD84" s="3">
        <v>0.05</v>
      </c>
    </row>
    <row r="85" spans="1:30" x14ac:dyDescent="0.25">
      <c r="A85" s="4">
        <v>2025</v>
      </c>
      <c r="B85" s="4" t="s">
        <v>13</v>
      </c>
      <c r="C85" s="4" t="s">
        <v>35</v>
      </c>
      <c r="D85" s="3">
        <v>0.38</v>
      </c>
      <c r="E85" s="3">
        <v>0.65</v>
      </c>
      <c r="F85" s="4">
        <v>155</v>
      </c>
      <c r="G85" s="4">
        <v>32</v>
      </c>
      <c r="H85" s="4">
        <v>30</v>
      </c>
      <c r="I85" s="4">
        <v>4</v>
      </c>
      <c r="J85" s="4">
        <v>20</v>
      </c>
      <c r="K85" s="4">
        <v>35</v>
      </c>
      <c r="L85" s="4">
        <v>12</v>
      </c>
      <c r="M85" s="4">
        <v>22</v>
      </c>
      <c r="N85" s="4">
        <v>84</v>
      </c>
      <c r="O85" s="4">
        <v>38</v>
      </c>
      <c r="P85" s="4">
        <v>55</v>
      </c>
      <c r="Q85" s="4">
        <v>16</v>
      </c>
      <c r="R85" s="4">
        <v>96</v>
      </c>
      <c r="S85" s="4">
        <v>109</v>
      </c>
      <c r="T85" s="4">
        <v>67</v>
      </c>
      <c r="U85" s="3">
        <v>0.89</v>
      </c>
      <c r="V85" s="3">
        <v>0.73</v>
      </c>
      <c r="W85" s="3">
        <v>0.96</v>
      </c>
      <c r="X85" s="3">
        <v>0.86</v>
      </c>
      <c r="Y85" s="3">
        <v>0.44</v>
      </c>
      <c r="Z85" s="3">
        <v>0.66</v>
      </c>
      <c r="AA85" s="3">
        <v>0.14000000000000001</v>
      </c>
      <c r="AB85" s="12">
        <v>0.42</v>
      </c>
      <c r="AC85" s="3">
        <v>0.19</v>
      </c>
      <c r="AD85" s="3">
        <v>0.25</v>
      </c>
    </row>
    <row r="86" spans="1:30" x14ac:dyDescent="0.25">
      <c r="A86" s="4">
        <v>2026</v>
      </c>
      <c r="B86" s="4" t="s">
        <v>2</v>
      </c>
      <c r="C86" s="4" t="s">
        <v>35</v>
      </c>
      <c r="D86" s="3">
        <v>0.52</v>
      </c>
      <c r="E86" s="3">
        <v>0.86</v>
      </c>
      <c r="F86" s="9">
        <v>358</v>
      </c>
      <c r="G86" s="4">
        <v>78</v>
      </c>
      <c r="H86" s="4">
        <v>28</v>
      </c>
      <c r="I86" s="4">
        <v>43</v>
      </c>
      <c r="J86" s="4">
        <v>53</v>
      </c>
      <c r="K86" s="4">
        <v>76</v>
      </c>
      <c r="L86" s="4">
        <v>29</v>
      </c>
      <c r="M86" s="4">
        <v>51</v>
      </c>
      <c r="N86" s="4">
        <v>60</v>
      </c>
      <c r="O86" s="4">
        <v>143</v>
      </c>
      <c r="P86" s="4">
        <v>104</v>
      </c>
      <c r="Q86" s="4">
        <v>45</v>
      </c>
      <c r="R86" s="4">
        <v>65</v>
      </c>
      <c r="S86" s="4">
        <v>74</v>
      </c>
      <c r="T86" s="4">
        <v>81</v>
      </c>
      <c r="U86" s="3">
        <v>0.32</v>
      </c>
      <c r="V86" s="3">
        <v>0.77</v>
      </c>
      <c r="W86" s="3">
        <v>0.4</v>
      </c>
      <c r="X86" s="3">
        <v>0.26</v>
      </c>
      <c r="Y86" s="3">
        <v>0.35</v>
      </c>
      <c r="Z86" s="3">
        <v>0.94</v>
      </c>
      <c r="AA86" s="3">
        <v>0.13</v>
      </c>
      <c r="AB86" s="13">
        <v>0.42</v>
      </c>
      <c r="AC86" s="3">
        <v>0.23</v>
      </c>
      <c r="AD86" s="3">
        <v>0.22</v>
      </c>
    </row>
    <row r="87" spans="1:30" x14ac:dyDescent="0.25">
      <c r="A87" s="4">
        <v>2026</v>
      </c>
      <c r="B87" s="4" t="s">
        <v>3</v>
      </c>
      <c r="C87" s="4" t="s">
        <v>35</v>
      </c>
      <c r="D87" s="3">
        <v>0.8</v>
      </c>
      <c r="E87" s="3">
        <v>0.89</v>
      </c>
      <c r="F87" s="9">
        <v>440</v>
      </c>
      <c r="G87" s="4">
        <v>69</v>
      </c>
      <c r="H87" s="4">
        <v>92</v>
      </c>
      <c r="I87" s="4">
        <v>37</v>
      </c>
      <c r="J87" s="4">
        <v>55</v>
      </c>
      <c r="K87" s="4">
        <v>108</v>
      </c>
      <c r="L87" s="4">
        <v>16</v>
      </c>
      <c r="M87" s="4">
        <v>63</v>
      </c>
      <c r="N87" s="4">
        <v>160</v>
      </c>
      <c r="O87" s="4">
        <v>111</v>
      </c>
      <c r="P87" s="4">
        <v>68</v>
      </c>
      <c r="Q87" s="4">
        <v>16</v>
      </c>
      <c r="R87" s="4">
        <v>89</v>
      </c>
      <c r="S87" s="4">
        <v>75</v>
      </c>
      <c r="T87" s="4">
        <v>87</v>
      </c>
      <c r="U87" s="3">
        <v>0.74</v>
      </c>
      <c r="V87" s="3">
        <v>0.62</v>
      </c>
      <c r="W87" s="3">
        <v>0.36</v>
      </c>
      <c r="X87" s="3">
        <v>0.96</v>
      </c>
      <c r="Y87" s="3">
        <v>0.36</v>
      </c>
      <c r="Z87" s="3">
        <v>0.55000000000000004</v>
      </c>
      <c r="AA87" s="3">
        <v>0.2</v>
      </c>
      <c r="AB87" s="12">
        <v>0.38</v>
      </c>
      <c r="AC87" s="3">
        <v>0.15</v>
      </c>
      <c r="AD87" s="3">
        <v>0.27</v>
      </c>
    </row>
    <row r="88" spans="1:30" x14ac:dyDescent="0.25">
      <c r="A88" s="4">
        <v>2026</v>
      </c>
      <c r="B88" s="4" t="s">
        <v>4</v>
      </c>
      <c r="C88" s="4" t="s">
        <v>35</v>
      </c>
      <c r="D88" s="3">
        <v>0.85</v>
      </c>
      <c r="E88" s="3">
        <v>0.47</v>
      </c>
      <c r="F88" s="9">
        <v>466</v>
      </c>
      <c r="G88" s="4">
        <v>114</v>
      </c>
      <c r="H88" s="4">
        <v>56</v>
      </c>
      <c r="I88" s="4">
        <v>66</v>
      </c>
      <c r="J88" s="4">
        <v>80</v>
      </c>
      <c r="K88" s="4">
        <v>74</v>
      </c>
      <c r="L88" s="4">
        <v>8</v>
      </c>
      <c r="M88" s="4">
        <v>68</v>
      </c>
      <c r="N88" s="4">
        <v>125</v>
      </c>
      <c r="O88" s="4">
        <v>62</v>
      </c>
      <c r="P88" s="4">
        <v>26</v>
      </c>
      <c r="Q88" s="4">
        <v>19</v>
      </c>
      <c r="R88" s="4">
        <v>20</v>
      </c>
      <c r="S88" s="4">
        <v>210</v>
      </c>
      <c r="T88" s="4">
        <v>76</v>
      </c>
      <c r="U88" s="3">
        <v>0.59</v>
      </c>
      <c r="V88" s="3">
        <v>0.33</v>
      </c>
      <c r="W88" s="3">
        <v>0.86</v>
      </c>
      <c r="X88" s="3">
        <v>0.46</v>
      </c>
      <c r="Y88" s="3">
        <v>0.24</v>
      </c>
      <c r="Z88" s="3">
        <v>0.94</v>
      </c>
      <c r="AA88" s="3">
        <v>0.14000000000000001</v>
      </c>
      <c r="AB88" s="13">
        <v>0.52</v>
      </c>
      <c r="AC88" s="3">
        <v>0.28000000000000003</v>
      </c>
      <c r="AD88" s="3">
        <v>0.06</v>
      </c>
    </row>
    <row r="89" spans="1:30" x14ac:dyDescent="0.25">
      <c r="A89" s="4">
        <v>2026</v>
      </c>
      <c r="B89" s="4" t="s">
        <v>5</v>
      </c>
      <c r="C89" s="4" t="s">
        <v>35</v>
      </c>
      <c r="D89" s="3">
        <v>0.51</v>
      </c>
      <c r="E89" s="3">
        <v>0.59</v>
      </c>
      <c r="F89" s="9">
        <v>414</v>
      </c>
      <c r="G89" s="4">
        <v>68</v>
      </c>
      <c r="H89" s="4">
        <v>48</v>
      </c>
      <c r="I89" s="4">
        <v>19</v>
      </c>
      <c r="J89" s="4">
        <v>96</v>
      </c>
      <c r="K89" s="4">
        <v>100</v>
      </c>
      <c r="L89" s="4">
        <v>23</v>
      </c>
      <c r="M89" s="4">
        <v>60</v>
      </c>
      <c r="N89" s="4">
        <v>34</v>
      </c>
      <c r="O89" s="4">
        <v>91</v>
      </c>
      <c r="P89" s="4">
        <v>94</v>
      </c>
      <c r="Q89" s="4">
        <v>0</v>
      </c>
      <c r="R89" s="4">
        <v>27</v>
      </c>
      <c r="S89" s="4">
        <v>95</v>
      </c>
      <c r="T89" s="4">
        <v>57</v>
      </c>
      <c r="U89" s="3">
        <v>0.47</v>
      </c>
      <c r="V89" s="3">
        <v>0.59</v>
      </c>
      <c r="W89" s="3">
        <v>0.82</v>
      </c>
      <c r="X89" s="3">
        <v>0.49</v>
      </c>
      <c r="Y89" s="3">
        <v>0.81</v>
      </c>
      <c r="Z89" s="3">
        <v>0.66</v>
      </c>
      <c r="AA89" s="3">
        <v>0.17</v>
      </c>
      <c r="AB89" s="12">
        <v>0.57999999999999996</v>
      </c>
      <c r="AC89" s="3">
        <v>0.12</v>
      </c>
      <c r="AD89" s="3">
        <v>0.13</v>
      </c>
    </row>
    <row r="90" spans="1:30" x14ac:dyDescent="0.25">
      <c r="A90" s="4">
        <v>2026</v>
      </c>
      <c r="B90" s="4" t="s">
        <v>6</v>
      </c>
      <c r="C90" s="4" t="s">
        <v>35</v>
      </c>
      <c r="D90" s="3">
        <v>0.79</v>
      </c>
      <c r="E90" s="3">
        <v>0.63</v>
      </c>
      <c r="F90" s="9">
        <v>306</v>
      </c>
      <c r="G90" s="4">
        <v>62</v>
      </c>
      <c r="H90" s="4">
        <v>30</v>
      </c>
      <c r="I90" s="4">
        <v>0</v>
      </c>
      <c r="J90" s="4">
        <v>77</v>
      </c>
      <c r="K90" s="4">
        <v>67</v>
      </c>
      <c r="L90" s="4">
        <v>27</v>
      </c>
      <c r="M90" s="4">
        <v>43</v>
      </c>
      <c r="N90" s="4">
        <v>42</v>
      </c>
      <c r="O90" s="4">
        <v>81</v>
      </c>
      <c r="P90" s="4">
        <v>59</v>
      </c>
      <c r="Q90" s="4">
        <v>50</v>
      </c>
      <c r="R90" s="4">
        <v>26</v>
      </c>
      <c r="S90" s="4">
        <v>36</v>
      </c>
      <c r="T90" s="4">
        <v>49</v>
      </c>
      <c r="U90" s="3">
        <v>0.83</v>
      </c>
      <c r="V90" s="3">
        <v>0.83</v>
      </c>
      <c r="W90" s="3">
        <v>0.39</v>
      </c>
      <c r="X90" s="3">
        <v>0.83</v>
      </c>
      <c r="Y90" s="3">
        <v>0.6</v>
      </c>
      <c r="Z90" s="3">
        <v>0.59</v>
      </c>
      <c r="AA90" s="3">
        <v>0.13</v>
      </c>
      <c r="AB90" s="13">
        <v>0.45</v>
      </c>
      <c r="AC90" s="3">
        <v>0.2</v>
      </c>
      <c r="AD90" s="3">
        <v>0.22</v>
      </c>
    </row>
    <row r="91" spans="1:30" x14ac:dyDescent="0.25">
      <c r="A91" s="4">
        <v>2026</v>
      </c>
      <c r="B91" s="4" t="s">
        <v>7</v>
      </c>
      <c r="C91" s="4" t="s">
        <v>35</v>
      </c>
      <c r="D91" s="3">
        <v>0.4</v>
      </c>
      <c r="E91" s="3">
        <v>0.54</v>
      </c>
      <c r="F91" s="9">
        <v>264</v>
      </c>
      <c r="G91" s="4">
        <v>47</v>
      </c>
      <c r="H91" s="4">
        <v>28</v>
      </c>
      <c r="I91" s="4">
        <v>50</v>
      </c>
      <c r="J91" s="4">
        <v>6</v>
      </c>
      <c r="K91" s="4">
        <v>64</v>
      </c>
      <c r="L91" s="4">
        <v>31</v>
      </c>
      <c r="M91" s="4">
        <v>38</v>
      </c>
      <c r="N91" s="4">
        <v>29</v>
      </c>
      <c r="O91" s="4">
        <v>26</v>
      </c>
      <c r="P91" s="4">
        <v>76</v>
      </c>
      <c r="Q91" s="4">
        <v>67</v>
      </c>
      <c r="R91" s="4">
        <v>80</v>
      </c>
      <c r="S91" s="4">
        <v>76</v>
      </c>
      <c r="T91" s="4">
        <v>59</v>
      </c>
      <c r="U91" s="3">
        <v>0.99</v>
      </c>
      <c r="V91" s="3">
        <v>0.46</v>
      </c>
      <c r="W91" s="3">
        <v>0.25</v>
      </c>
      <c r="X91" s="3">
        <v>0.38</v>
      </c>
      <c r="Y91" s="3">
        <v>0.54</v>
      </c>
      <c r="Z91" s="3">
        <v>0.39</v>
      </c>
      <c r="AA91" s="3">
        <v>0.13</v>
      </c>
      <c r="AB91" s="12">
        <v>0.49</v>
      </c>
      <c r="AC91" s="3">
        <v>0.09</v>
      </c>
      <c r="AD91" s="3">
        <v>0.28999999999999998</v>
      </c>
    </row>
    <row r="92" spans="1:30" x14ac:dyDescent="0.25">
      <c r="A92" s="4">
        <v>2026</v>
      </c>
      <c r="B92" s="4" t="s">
        <v>8</v>
      </c>
      <c r="C92" s="4" t="s">
        <v>35</v>
      </c>
      <c r="D92" s="3">
        <v>0.36</v>
      </c>
      <c r="E92" s="3">
        <v>0.87</v>
      </c>
      <c r="F92" s="9">
        <v>318</v>
      </c>
      <c r="G92" s="4">
        <v>65</v>
      </c>
      <c r="H92" s="4">
        <v>21</v>
      </c>
      <c r="I92" s="4">
        <v>8</v>
      </c>
      <c r="J92" s="4">
        <v>65</v>
      </c>
      <c r="K92" s="4">
        <v>66</v>
      </c>
      <c r="L92" s="4">
        <v>48</v>
      </c>
      <c r="M92" s="4">
        <v>45</v>
      </c>
      <c r="N92" s="4">
        <v>83</v>
      </c>
      <c r="O92" s="4">
        <v>89</v>
      </c>
      <c r="P92" s="4">
        <v>35</v>
      </c>
      <c r="Q92" s="4">
        <v>70</v>
      </c>
      <c r="R92" s="4">
        <v>42</v>
      </c>
      <c r="S92" s="4">
        <v>128</v>
      </c>
      <c r="T92" s="4">
        <v>73</v>
      </c>
      <c r="U92" s="3">
        <v>0.46</v>
      </c>
      <c r="V92" s="3">
        <v>0.4</v>
      </c>
      <c r="W92" s="3">
        <v>0.32</v>
      </c>
      <c r="X92" s="3">
        <v>0.79</v>
      </c>
      <c r="Y92" s="3">
        <v>0.26</v>
      </c>
      <c r="Z92" s="3">
        <v>0.73</v>
      </c>
      <c r="AA92" s="3">
        <v>0.22</v>
      </c>
      <c r="AB92" s="13">
        <v>0.43</v>
      </c>
      <c r="AC92" s="3">
        <v>0.13</v>
      </c>
      <c r="AD92" s="3">
        <v>0.22</v>
      </c>
    </row>
    <row r="93" spans="1:30" x14ac:dyDescent="0.25">
      <c r="A93" s="4">
        <v>2026</v>
      </c>
      <c r="B93" s="4" t="s">
        <v>9</v>
      </c>
      <c r="C93" s="4" t="s">
        <v>35</v>
      </c>
      <c r="D93" s="3">
        <v>0.62</v>
      </c>
      <c r="E93" s="3">
        <v>0.82</v>
      </c>
      <c r="F93" s="9">
        <v>400</v>
      </c>
      <c r="G93" s="4">
        <v>10</v>
      </c>
      <c r="H93" s="4">
        <v>120</v>
      </c>
      <c r="I93" s="4">
        <v>56</v>
      </c>
      <c r="J93" s="4">
        <v>78</v>
      </c>
      <c r="K93" s="4">
        <v>48</v>
      </c>
      <c r="L93" s="4">
        <v>31</v>
      </c>
      <c r="M93" s="4">
        <v>57</v>
      </c>
      <c r="N93" s="4">
        <v>114</v>
      </c>
      <c r="O93" s="4">
        <v>45</v>
      </c>
      <c r="P93" s="4">
        <v>105</v>
      </c>
      <c r="Q93" s="4">
        <v>105</v>
      </c>
      <c r="R93" s="4">
        <v>64</v>
      </c>
      <c r="S93" s="4">
        <v>9</v>
      </c>
      <c r="T93" s="4">
        <v>75</v>
      </c>
      <c r="U93" s="3">
        <v>0.34</v>
      </c>
      <c r="V93" s="3">
        <v>0.6</v>
      </c>
      <c r="W93" s="3">
        <v>0.51</v>
      </c>
      <c r="X93" s="3">
        <v>0.49</v>
      </c>
      <c r="Y93" s="3">
        <v>0.24</v>
      </c>
      <c r="Z93" s="3">
        <v>0.85</v>
      </c>
      <c r="AA93" s="3">
        <v>0.23</v>
      </c>
      <c r="AB93" s="12">
        <v>0.47</v>
      </c>
      <c r="AC93" s="3">
        <v>0.03</v>
      </c>
      <c r="AD93" s="3">
        <v>0.27</v>
      </c>
    </row>
    <row r="94" spans="1:30" x14ac:dyDescent="0.25">
      <c r="A94" s="4">
        <v>2026</v>
      </c>
      <c r="B94" s="4" t="s">
        <v>10</v>
      </c>
      <c r="C94" s="4" t="s">
        <v>35</v>
      </c>
      <c r="D94" s="3">
        <v>0.98</v>
      </c>
      <c r="E94" s="3">
        <v>0.72</v>
      </c>
      <c r="F94" s="9">
        <v>398</v>
      </c>
      <c r="G94" s="4">
        <v>83</v>
      </c>
      <c r="H94" s="4">
        <v>113</v>
      </c>
      <c r="I94" s="4">
        <v>47</v>
      </c>
      <c r="J94" s="4">
        <v>0</v>
      </c>
      <c r="K94" s="4">
        <v>39</v>
      </c>
      <c r="L94" s="4">
        <v>59</v>
      </c>
      <c r="M94" s="4">
        <v>57</v>
      </c>
      <c r="N94" s="4">
        <v>92</v>
      </c>
      <c r="O94" s="4">
        <v>26</v>
      </c>
      <c r="P94" s="4">
        <v>120</v>
      </c>
      <c r="Q94" s="4">
        <v>55</v>
      </c>
      <c r="R94" s="4">
        <v>43</v>
      </c>
      <c r="S94" s="4">
        <v>19</v>
      </c>
      <c r="T94" s="4">
        <v>60</v>
      </c>
      <c r="U94" s="3">
        <v>0.22</v>
      </c>
      <c r="V94" s="3">
        <v>0.69</v>
      </c>
      <c r="W94" s="3">
        <v>0.91</v>
      </c>
      <c r="X94" s="3">
        <v>1</v>
      </c>
      <c r="Y94" s="3">
        <v>0.49</v>
      </c>
      <c r="Z94" s="3">
        <v>0.73</v>
      </c>
      <c r="AA94" s="3">
        <v>0.28999999999999998</v>
      </c>
      <c r="AB94" s="13">
        <v>0.31</v>
      </c>
      <c r="AC94" s="3">
        <v>0.28999999999999998</v>
      </c>
      <c r="AD94" s="3">
        <v>0.11</v>
      </c>
    </row>
    <row r="95" spans="1:30" x14ac:dyDescent="0.25">
      <c r="A95" s="4">
        <v>2026</v>
      </c>
      <c r="B95" s="4" t="s">
        <v>11</v>
      </c>
      <c r="C95" s="4" t="s">
        <v>35</v>
      </c>
      <c r="D95" s="3">
        <v>0.41</v>
      </c>
      <c r="E95" s="3">
        <v>0.32</v>
      </c>
      <c r="F95" s="9">
        <v>319</v>
      </c>
      <c r="G95" s="4">
        <v>45</v>
      </c>
      <c r="H95" s="4">
        <v>57</v>
      </c>
      <c r="I95" s="4">
        <v>65</v>
      </c>
      <c r="J95" s="4">
        <v>43</v>
      </c>
      <c r="K95" s="4">
        <v>54</v>
      </c>
      <c r="L95" s="4">
        <v>9</v>
      </c>
      <c r="M95" s="4">
        <v>46</v>
      </c>
      <c r="N95" s="4">
        <v>79</v>
      </c>
      <c r="O95" s="4">
        <v>131</v>
      </c>
      <c r="P95" s="4">
        <v>124</v>
      </c>
      <c r="Q95" s="4">
        <v>79</v>
      </c>
      <c r="R95" s="4">
        <v>66</v>
      </c>
      <c r="S95" s="4">
        <v>17</v>
      </c>
      <c r="T95" s="4">
        <v>83</v>
      </c>
      <c r="U95" s="3">
        <v>0.85</v>
      </c>
      <c r="V95" s="3">
        <v>0.94</v>
      </c>
      <c r="W95" s="3">
        <v>0.67</v>
      </c>
      <c r="X95" s="3">
        <v>0.57999999999999996</v>
      </c>
      <c r="Y95" s="3">
        <v>0.31</v>
      </c>
      <c r="Z95" s="3">
        <v>0.33</v>
      </c>
      <c r="AA95" s="3">
        <v>0.06</v>
      </c>
      <c r="AB95" s="12">
        <v>0.73</v>
      </c>
      <c r="AC95" s="3">
        <v>0.04</v>
      </c>
      <c r="AD95" s="3">
        <v>0.17</v>
      </c>
    </row>
    <row r="96" spans="1:30" x14ac:dyDescent="0.25">
      <c r="A96" s="4">
        <v>2026</v>
      </c>
      <c r="B96" s="4" t="s">
        <v>12</v>
      </c>
      <c r="C96" s="4" t="s">
        <v>35</v>
      </c>
      <c r="D96" s="3">
        <v>0.7</v>
      </c>
      <c r="E96" s="3">
        <v>0.78</v>
      </c>
      <c r="F96" s="9">
        <v>445</v>
      </c>
      <c r="G96" s="4">
        <v>109</v>
      </c>
      <c r="H96" s="4">
        <v>105</v>
      </c>
      <c r="I96" s="4">
        <v>19</v>
      </c>
      <c r="J96" s="4">
        <v>52</v>
      </c>
      <c r="K96" s="4">
        <v>68</v>
      </c>
      <c r="L96" s="4">
        <v>29</v>
      </c>
      <c r="M96" s="4">
        <v>63</v>
      </c>
      <c r="N96" s="4">
        <v>92</v>
      </c>
      <c r="O96" s="4">
        <v>87</v>
      </c>
      <c r="P96" s="4">
        <v>110</v>
      </c>
      <c r="Q96" s="4">
        <v>87</v>
      </c>
      <c r="R96" s="4">
        <v>129</v>
      </c>
      <c r="S96" s="4">
        <v>61</v>
      </c>
      <c r="T96" s="4">
        <v>94</v>
      </c>
      <c r="U96" s="3">
        <v>0.97</v>
      </c>
      <c r="V96" s="3">
        <v>0.84</v>
      </c>
      <c r="W96" s="3">
        <v>0.52</v>
      </c>
      <c r="X96" s="3">
        <v>0.32</v>
      </c>
      <c r="Y96" s="3">
        <v>0.26</v>
      </c>
      <c r="Z96" s="3">
        <v>0.39</v>
      </c>
      <c r="AA96" s="3">
        <v>7.0000000000000007E-2</v>
      </c>
      <c r="AB96" s="13">
        <v>0.56999999999999995</v>
      </c>
      <c r="AC96" s="3">
        <v>0.19</v>
      </c>
      <c r="AD96" s="3">
        <v>0.17</v>
      </c>
    </row>
    <row r="97" spans="1:30" x14ac:dyDescent="0.25">
      <c r="A97" s="4">
        <v>2026</v>
      </c>
      <c r="B97" s="4" t="s">
        <v>13</v>
      </c>
      <c r="C97" s="4" t="s">
        <v>35</v>
      </c>
      <c r="D97" s="3">
        <v>0.82</v>
      </c>
      <c r="E97" s="3">
        <v>0.87</v>
      </c>
      <c r="F97" s="9">
        <v>508</v>
      </c>
      <c r="G97" s="4">
        <v>86</v>
      </c>
      <c r="H97" s="4">
        <v>22</v>
      </c>
      <c r="I97" s="4">
        <v>85</v>
      </c>
      <c r="J97" s="4">
        <v>62</v>
      </c>
      <c r="K97" s="4">
        <v>92</v>
      </c>
      <c r="L97" s="4">
        <v>89</v>
      </c>
      <c r="M97" s="4">
        <v>72</v>
      </c>
      <c r="N97" s="4">
        <v>118</v>
      </c>
      <c r="O97" s="4">
        <v>107</v>
      </c>
      <c r="P97" s="4">
        <v>50</v>
      </c>
      <c r="Q97" s="4">
        <v>135</v>
      </c>
      <c r="R97" s="4">
        <v>42</v>
      </c>
      <c r="S97" s="4">
        <v>141</v>
      </c>
      <c r="T97" s="4">
        <v>99</v>
      </c>
      <c r="U97" s="3">
        <v>0.86</v>
      </c>
      <c r="V97" s="3">
        <v>0.91</v>
      </c>
      <c r="W97" s="3">
        <v>0.41</v>
      </c>
      <c r="X97" s="3">
        <v>0.68</v>
      </c>
      <c r="Y97" s="3">
        <v>0.45</v>
      </c>
      <c r="Z97" s="3">
        <v>0.95</v>
      </c>
      <c r="AA97" s="3">
        <v>0.27</v>
      </c>
      <c r="AB97" s="12">
        <v>0.48</v>
      </c>
      <c r="AC97" s="3">
        <v>0.1</v>
      </c>
      <c r="AD97" s="3">
        <v>0.15</v>
      </c>
    </row>
    <row r="98" spans="1:30" x14ac:dyDescent="0.25">
      <c r="A98" s="4">
        <v>2027</v>
      </c>
      <c r="B98" s="4" t="s">
        <v>2</v>
      </c>
      <c r="C98" s="4" t="s">
        <v>35</v>
      </c>
      <c r="D98" s="3">
        <v>0.38</v>
      </c>
      <c r="E98" s="3">
        <v>0.56999999999999995</v>
      </c>
      <c r="F98" s="4">
        <v>532</v>
      </c>
      <c r="G98" s="4">
        <v>175</v>
      </c>
      <c r="H98" s="4">
        <v>20</v>
      </c>
      <c r="I98" s="4">
        <v>68</v>
      </c>
      <c r="J98" s="4">
        <v>84</v>
      </c>
      <c r="K98" s="4">
        <v>38</v>
      </c>
      <c r="L98" s="4">
        <v>71</v>
      </c>
      <c r="M98" s="4">
        <v>76</v>
      </c>
      <c r="N98" s="4">
        <v>47</v>
      </c>
      <c r="O98" s="4">
        <v>59</v>
      </c>
      <c r="P98" s="4">
        <v>129</v>
      </c>
      <c r="Q98" s="4">
        <v>55</v>
      </c>
      <c r="R98" s="4">
        <v>111</v>
      </c>
      <c r="S98" s="4">
        <v>3</v>
      </c>
      <c r="T98" s="4">
        <v>69</v>
      </c>
      <c r="U98" s="3">
        <v>0.82</v>
      </c>
      <c r="V98" s="3">
        <v>0.33</v>
      </c>
      <c r="W98" s="3">
        <v>0.91</v>
      </c>
      <c r="X98" s="3">
        <v>0.77</v>
      </c>
      <c r="Y98" s="3">
        <v>0.56999999999999995</v>
      </c>
      <c r="Z98" s="3">
        <v>0.65</v>
      </c>
      <c r="AA98" s="3">
        <v>0.23</v>
      </c>
      <c r="AB98" s="13">
        <v>0.33</v>
      </c>
      <c r="AC98" s="3">
        <v>0.22</v>
      </c>
      <c r="AD98" s="3">
        <v>0.22</v>
      </c>
    </row>
    <row r="99" spans="1:30" x14ac:dyDescent="0.25">
      <c r="A99" s="4">
        <v>2027</v>
      </c>
      <c r="B99" s="4" t="s">
        <v>3</v>
      </c>
      <c r="C99" s="4" t="s">
        <v>35</v>
      </c>
      <c r="D99" s="3">
        <v>0.78</v>
      </c>
      <c r="E99" s="3">
        <v>0.78</v>
      </c>
      <c r="F99" s="4">
        <v>364</v>
      </c>
      <c r="G99" s="4">
        <v>42</v>
      </c>
      <c r="H99" s="4">
        <v>41</v>
      </c>
      <c r="I99" s="4">
        <v>72</v>
      </c>
      <c r="J99" s="4">
        <v>67</v>
      </c>
      <c r="K99" s="4">
        <v>14</v>
      </c>
      <c r="L99" s="4">
        <v>77</v>
      </c>
      <c r="M99" s="4">
        <v>51</v>
      </c>
      <c r="N99" s="4">
        <v>67</v>
      </c>
      <c r="O99" s="4">
        <v>9</v>
      </c>
      <c r="P99" s="4">
        <v>130</v>
      </c>
      <c r="Q99" s="4">
        <v>39</v>
      </c>
      <c r="R99" s="4">
        <v>7</v>
      </c>
      <c r="S99" s="4">
        <v>71</v>
      </c>
      <c r="T99" s="4">
        <v>53</v>
      </c>
      <c r="U99" s="3">
        <v>0.42</v>
      </c>
      <c r="V99" s="3">
        <v>0.61</v>
      </c>
      <c r="W99" s="3">
        <v>0.59</v>
      </c>
      <c r="X99" s="3">
        <v>0.96</v>
      </c>
      <c r="Y99" s="3">
        <v>0.44</v>
      </c>
      <c r="Z99" s="3">
        <v>1</v>
      </c>
      <c r="AA99" s="3">
        <v>0.08</v>
      </c>
      <c r="AB99" s="12">
        <v>0.67</v>
      </c>
      <c r="AC99" s="3">
        <v>0.13</v>
      </c>
      <c r="AD99" s="3">
        <v>0.12</v>
      </c>
    </row>
    <row r="100" spans="1:30" x14ac:dyDescent="0.25">
      <c r="A100" s="4">
        <v>2027</v>
      </c>
      <c r="B100" s="4" t="s">
        <v>4</v>
      </c>
      <c r="C100" s="4" t="s">
        <v>35</v>
      </c>
      <c r="D100" s="3">
        <v>0.95</v>
      </c>
      <c r="E100" s="3">
        <v>0.38</v>
      </c>
      <c r="F100" s="4">
        <v>289</v>
      </c>
      <c r="G100" s="4">
        <v>70</v>
      </c>
      <c r="H100" s="4">
        <v>54</v>
      </c>
      <c r="I100" s="4">
        <v>27</v>
      </c>
      <c r="J100" s="4">
        <v>22</v>
      </c>
      <c r="K100" s="4">
        <v>42</v>
      </c>
      <c r="L100" s="4">
        <v>33</v>
      </c>
      <c r="M100" s="4">
        <v>41</v>
      </c>
      <c r="N100" s="4">
        <v>61</v>
      </c>
      <c r="O100" s="4">
        <v>44</v>
      </c>
      <c r="P100" s="4">
        <v>59</v>
      </c>
      <c r="Q100" s="4">
        <v>33</v>
      </c>
      <c r="R100" s="4">
        <v>66</v>
      </c>
      <c r="S100" s="4">
        <v>67</v>
      </c>
      <c r="T100" s="4">
        <v>54</v>
      </c>
      <c r="U100" s="3">
        <v>0.33</v>
      </c>
      <c r="V100" s="3">
        <v>0.63</v>
      </c>
      <c r="W100" s="3">
        <v>0.49</v>
      </c>
      <c r="X100" s="3">
        <v>0.42</v>
      </c>
      <c r="Y100" s="3">
        <v>1</v>
      </c>
      <c r="Z100" s="3">
        <v>0.3</v>
      </c>
      <c r="AA100" s="3">
        <v>0.17</v>
      </c>
      <c r="AB100" s="13">
        <v>0.61</v>
      </c>
      <c r="AC100" s="3">
        <v>0.06</v>
      </c>
      <c r="AD100" s="3">
        <v>0.16</v>
      </c>
    </row>
    <row r="101" spans="1:30" x14ac:dyDescent="0.25">
      <c r="A101" s="4">
        <v>2027</v>
      </c>
      <c r="B101" s="4" t="s">
        <v>5</v>
      </c>
      <c r="C101" s="4" t="s">
        <v>35</v>
      </c>
      <c r="D101" s="3">
        <v>0.65</v>
      </c>
      <c r="E101" s="3">
        <v>0.88</v>
      </c>
      <c r="F101" s="4">
        <v>295</v>
      </c>
      <c r="G101" s="4">
        <v>61</v>
      </c>
      <c r="H101" s="4">
        <v>28</v>
      </c>
      <c r="I101" s="4">
        <v>56</v>
      </c>
      <c r="J101" s="4">
        <v>13</v>
      </c>
      <c r="K101" s="4">
        <v>45</v>
      </c>
      <c r="L101" s="4">
        <v>50</v>
      </c>
      <c r="M101" s="4">
        <v>42</v>
      </c>
      <c r="N101" s="4">
        <v>83</v>
      </c>
      <c r="O101" s="4">
        <v>32</v>
      </c>
      <c r="P101" s="4">
        <v>48</v>
      </c>
      <c r="Q101" s="4">
        <v>106</v>
      </c>
      <c r="R101" s="4">
        <v>24</v>
      </c>
      <c r="S101" s="4">
        <v>92</v>
      </c>
      <c r="T101" s="4">
        <v>65</v>
      </c>
      <c r="U101" s="3">
        <v>0.76</v>
      </c>
      <c r="V101" s="3">
        <v>0.62</v>
      </c>
      <c r="W101" s="3">
        <v>0.24</v>
      </c>
      <c r="X101" s="3">
        <v>0.46</v>
      </c>
      <c r="Y101" s="3">
        <v>0.81</v>
      </c>
      <c r="Z101" s="3">
        <v>0.62</v>
      </c>
      <c r="AA101" s="3">
        <v>0.12</v>
      </c>
      <c r="AB101" s="12">
        <v>0.5</v>
      </c>
      <c r="AC101" s="3">
        <v>0.12</v>
      </c>
      <c r="AD101" s="3">
        <v>0.26</v>
      </c>
    </row>
    <row r="102" spans="1:30" x14ac:dyDescent="0.25">
      <c r="A102" s="4">
        <v>2027</v>
      </c>
      <c r="B102" s="4" t="s">
        <v>6</v>
      </c>
      <c r="C102" s="4" t="s">
        <v>35</v>
      </c>
      <c r="D102" s="3">
        <v>0.81</v>
      </c>
      <c r="E102" s="3">
        <v>0.84</v>
      </c>
      <c r="F102" s="4">
        <v>346</v>
      </c>
      <c r="G102" s="4">
        <v>54</v>
      </c>
      <c r="H102" s="4">
        <v>23</v>
      </c>
      <c r="I102" s="4">
        <v>50</v>
      </c>
      <c r="J102" s="4">
        <v>12</v>
      </c>
      <c r="K102" s="4">
        <v>75</v>
      </c>
      <c r="L102" s="4">
        <v>82</v>
      </c>
      <c r="M102" s="4">
        <v>50</v>
      </c>
      <c r="N102" s="4">
        <v>116</v>
      </c>
      <c r="O102" s="4">
        <v>80</v>
      </c>
      <c r="P102" s="4">
        <v>8</v>
      </c>
      <c r="Q102" s="4">
        <v>82</v>
      </c>
      <c r="R102" s="4">
        <v>70</v>
      </c>
      <c r="S102" s="4">
        <v>55</v>
      </c>
      <c r="T102" s="4">
        <v>70</v>
      </c>
      <c r="U102" s="3">
        <v>0.56000000000000005</v>
      </c>
      <c r="V102" s="3">
        <v>0.43</v>
      </c>
      <c r="W102" s="3">
        <v>0.84</v>
      </c>
      <c r="X102" s="3">
        <v>0.27</v>
      </c>
      <c r="Y102" s="3">
        <v>0.26</v>
      </c>
      <c r="Z102" s="3">
        <v>0.5</v>
      </c>
      <c r="AA102" s="3">
        <v>0.26</v>
      </c>
      <c r="AB102" s="13">
        <v>0.33</v>
      </c>
      <c r="AC102" s="3">
        <v>0.17</v>
      </c>
      <c r="AD102" s="3">
        <v>0.24</v>
      </c>
    </row>
    <row r="103" spans="1:30" x14ac:dyDescent="0.25">
      <c r="A103" s="4">
        <v>2027</v>
      </c>
      <c r="B103" s="4" t="s">
        <v>7</v>
      </c>
      <c r="C103" s="4" t="s">
        <v>35</v>
      </c>
      <c r="D103" s="3">
        <v>1</v>
      </c>
      <c r="E103" s="3">
        <v>0.55000000000000004</v>
      </c>
      <c r="F103" s="4">
        <v>370</v>
      </c>
      <c r="G103" s="4">
        <v>67</v>
      </c>
      <c r="H103" s="4">
        <v>112</v>
      </c>
      <c r="I103" s="4">
        <v>50</v>
      </c>
      <c r="J103" s="4">
        <v>23</v>
      </c>
      <c r="K103" s="4">
        <v>2</v>
      </c>
      <c r="L103" s="4">
        <v>64</v>
      </c>
      <c r="M103" s="4">
        <v>52</v>
      </c>
      <c r="N103" s="4">
        <v>3</v>
      </c>
      <c r="O103" s="4">
        <v>127</v>
      </c>
      <c r="P103" s="4">
        <v>103</v>
      </c>
      <c r="Q103" s="4">
        <v>21</v>
      </c>
      <c r="R103" s="4">
        <v>26</v>
      </c>
      <c r="S103" s="4">
        <v>82</v>
      </c>
      <c r="T103" s="4">
        <v>59</v>
      </c>
      <c r="U103" s="3">
        <v>0.35</v>
      </c>
      <c r="V103" s="3">
        <v>0.96</v>
      </c>
      <c r="W103" s="3">
        <v>0.31</v>
      </c>
      <c r="X103" s="3">
        <v>0.42</v>
      </c>
      <c r="Y103" s="3">
        <v>0.78</v>
      </c>
      <c r="Z103" s="3">
        <v>0.56999999999999995</v>
      </c>
      <c r="AA103" s="3">
        <v>0.09</v>
      </c>
      <c r="AB103" s="12">
        <v>0.49</v>
      </c>
      <c r="AC103" s="3">
        <v>0.12</v>
      </c>
      <c r="AD103" s="3">
        <v>0.3</v>
      </c>
    </row>
    <row r="104" spans="1:30" x14ac:dyDescent="0.25">
      <c r="A104" s="4">
        <v>2027</v>
      </c>
      <c r="B104" s="4" t="s">
        <v>8</v>
      </c>
      <c r="C104" s="4" t="s">
        <v>35</v>
      </c>
      <c r="D104" s="3">
        <v>0.43</v>
      </c>
      <c r="E104" s="3">
        <v>0.76</v>
      </c>
      <c r="F104" s="4">
        <v>324</v>
      </c>
      <c r="G104" s="4">
        <v>50</v>
      </c>
      <c r="H104" s="4">
        <v>94</v>
      </c>
      <c r="I104" s="4">
        <v>29</v>
      </c>
      <c r="J104" s="4">
        <v>65</v>
      </c>
      <c r="K104" s="4">
        <v>3</v>
      </c>
      <c r="L104" s="4">
        <v>36</v>
      </c>
      <c r="M104" s="4">
        <v>47</v>
      </c>
      <c r="N104" s="4">
        <v>57</v>
      </c>
      <c r="O104" s="4">
        <v>15</v>
      </c>
      <c r="P104" s="4">
        <v>35</v>
      </c>
      <c r="Q104" s="4">
        <v>58</v>
      </c>
      <c r="R104" s="4">
        <v>37</v>
      </c>
      <c r="S104" s="4">
        <v>50</v>
      </c>
      <c r="T104" s="4">
        <v>42</v>
      </c>
      <c r="U104" s="3">
        <v>0.74</v>
      </c>
      <c r="V104" s="3">
        <v>0.9</v>
      </c>
      <c r="W104" s="3">
        <v>0.78</v>
      </c>
      <c r="X104" s="3">
        <v>0.43</v>
      </c>
      <c r="Y104" s="3">
        <v>0.76</v>
      </c>
      <c r="Z104" s="3">
        <v>0.21</v>
      </c>
      <c r="AA104" s="3">
        <v>0.26</v>
      </c>
      <c r="AB104" s="13">
        <v>0.48</v>
      </c>
      <c r="AC104" s="3">
        <v>0.01</v>
      </c>
      <c r="AD104" s="3">
        <v>0.25</v>
      </c>
    </row>
    <row r="105" spans="1:30" x14ac:dyDescent="0.25">
      <c r="A105" s="4">
        <v>2027</v>
      </c>
      <c r="B105" s="4" t="s">
        <v>9</v>
      </c>
      <c r="C105" s="4" t="s">
        <v>35</v>
      </c>
      <c r="D105" s="3">
        <v>0.62</v>
      </c>
      <c r="E105" s="3">
        <v>0.8</v>
      </c>
      <c r="F105" s="4">
        <v>226</v>
      </c>
      <c r="G105" s="4">
        <v>20</v>
      </c>
      <c r="H105" s="4">
        <v>32</v>
      </c>
      <c r="I105" s="4">
        <v>36</v>
      </c>
      <c r="J105" s="4">
        <v>11</v>
      </c>
      <c r="K105" s="4">
        <v>46</v>
      </c>
      <c r="L105" s="4">
        <v>48</v>
      </c>
      <c r="M105" s="4">
        <v>33</v>
      </c>
      <c r="N105" s="4">
        <v>4</v>
      </c>
      <c r="O105" s="4">
        <v>54</v>
      </c>
      <c r="P105" s="4">
        <v>44</v>
      </c>
      <c r="Q105" s="4">
        <v>30</v>
      </c>
      <c r="R105" s="4">
        <v>25</v>
      </c>
      <c r="S105" s="4">
        <v>35</v>
      </c>
      <c r="T105" s="4">
        <v>34</v>
      </c>
      <c r="U105" s="3">
        <v>0.7</v>
      </c>
      <c r="V105" s="3">
        <v>0.67</v>
      </c>
      <c r="W105" s="3">
        <v>0.97</v>
      </c>
      <c r="X105" s="3">
        <v>0.61</v>
      </c>
      <c r="Y105" s="3">
        <v>0.46</v>
      </c>
      <c r="Z105" s="3">
        <v>0.21</v>
      </c>
      <c r="AA105" s="3">
        <v>0.16</v>
      </c>
      <c r="AB105" s="12">
        <v>0.4</v>
      </c>
      <c r="AC105" s="3">
        <v>0.21</v>
      </c>
      <c r="AD105" s="3">
        <v>0.23</v>
      </c>
    </row>
    <row r="106" spans="1:30" x14ac:dyDescent="0.25">
      <c r="A106" s="4">
        <v>2027</v>
      </c>
      <c r="B106" s="4" t="s">
        <v>10</v>
      </c>
      <c r="C106" s="4" t="s">
        <v>35</v>
      </c>
      <c r="D106" s="3">
        <v>0.43</v>
      </c>
      <c r="E106" s="3">
        <v>0.99</v>
      </c>
      <c r="F106" s="4">
        <v>174</v>
      </c>
      <c r="G106" s="4">
        <v>5</v>
      </c>
      <c r="H106" s="4">
        <v>8</v>
      </c>
      <c r="I106" s="4">
        <v>15</v>
      </c>
      <c r="J106" s="4">
        <v>39</v>
      </c>
      <c r="K106" s="4">
        <v>49</v>
      </c>
      <c r="L106" s="4">
        <v>32</v>
      </c>
      <c r="M106" s="4">
        <v>26</v>
      </c>
      <c r="N106" s="4">
        <v>50</v>
      </c>
      <c r="O106" s="4">
        <v>22</v>
      </c>
      <c r="P106" s="4">
        <v>49</v>
      </c>
      <c r="Q106" s="4">
        <v>36</v>
      </c>
      <c r="R106" s="4">
        <v>46</v>
      </c>
      <c r="S106" s="4">
        <v>9</v>
      </c>
      <c r="T106" s="4">
        <v>35</v>
      </c>
      <c r="U106" s="3">
        <v>0.94</v>
      </c>
      <c r="V106" s="3">
        <v>0.67</v>
      </c>
      <c r="W106" s="3">
        <v>0.98</v>
      </c>
      <c r="X106" s="3">
        <v>0.74</v>
      </c>
      <c r="Y106" s="3">
        <v>0.56999999999999995</v>
      </c>
      <c r="Z106" s="3">
        <v>0.27</v>
      </c>
      <c r="AA106" s="3">
        <v>0.08</v>
      </c>
      <c r="AB106" s="13">
        <v>0.42</v>
      </c>
      <c r="AC106" s="3">
        <v>0.06</v>
      </c>
      <c r="AD106" s="3">
        <v>0.44</v>
      </c>
    </row>
    <row r="107" spans="1:30" x14ac:dyDescent="0.25">
      <c r="A107" s="4">
        <v>2027</v>
      </c>
      <c r="B107" s="4" t="s">
        <v>11</v>
      </c>
      <c r="C107" s="4" t="s">
        <v>35</v>
      </c>
      <c r="D107" s="3">
        <v>0.44</v>
      </c>
      <c r="E107" s="3">
        <v>0.8</v>
      </c>
      <c r="F107" s="4">
        <v>190</v>
      </c>
      <c r="G107" s="4">
        <v>7</v>
      </c>
      <c r="H107" s="4">
        <v>64</v>
      </c>
      <c r="I107" s="4">
        <v>27</v>
      </c>
      <c r="J107" s="4">
        <v>12</v>
      </c>
      <c r="K107" s="4">
        <v>42</v>
      </c>
      <c r="L107" s="4">
        <v>10</v>
      </c>
      <c r="M107" s="4">
        <v>28</v>
      </c>
      <c r="N107" s="4">
        <v>7</v>
      </c>
      <c r="O107" s="4">
        <v>49</v>
      </c>
      <c r="P107" s="4">
        <v>33</v>
      </c>
      <c r="Q107" s="4">
        <v>55</v>
      </c>
      <c r="R107" s="4">
        <v>70</v>
      </c>
      <c r="S107" s="4">
        <v>66</v>
      </c>
      <c r="T107" s="4">
        <v>48</v>
      </c>
      <c r="U107" s="3">
        <v>0.89</v>
      </c>
      <c r="V107" s="3">
        <v>0.92</v>
      </c>
      <c r="W107" s="3">
        <v>0.33</v>
      </c>
      <c r="X107" s="3">
        <v>0.68</v>
      </c>
      <c r="Y107" s="3">
        <v>0.73</v>
      </c>
      <c r="Z107" s="3">
        <v>0.81</v>
      </c>
      <c r="AA107" s="3">
        <v>0.24</v>
      </c>
      <c r="AB107" s="12">
        <v>0.31</v>
      </c>
      <c r="AC107" s="3">
        <v>0.2</v>
      </c>
      <c r="AD107" s="3">
        <v>0.25</v>
      </c>
    </row>
    <row r="108" spans="1:30" x14ac:dyDescent="0.25">
      <c r="A108" s="4">
        <v>2027</v>
      </c>
      <c r="B108" s="4" t="s">
        <v>12</v>
      </c>
      <c r="C108" s="4" t="s">
        <v>35</v>
      </c>
      <c r="D108" s="3">
        <v>0.92</v>
      </c>
      <c r="E108" s="3">
        <v>0.81</v>
      </c>
      <c r="F108" s="4">
        <v>252</v>
      </c>
      <c r="G108" s="4">
        <v>61</v>
      </c>
      <c r="H108" s="4">
        <v>3</v>
      </c>
      <c r="I108" s="4">
        <v>18</v>
      </c>
      <c r="J108" s="4">
        <v>29</v>
      </c>
      <c r="K108" s="4">
        <v>83</v>
      </c>
      <c r="L108" s="4">
        <v>21</v>
      </c>
      <c r="M108" s="4">
        <v>37</v>
      </c>
      <c r="N108" s="4">
        <v>34</v>
      </c>
      <c r="O108" s="4">
        <v>90</v>
      </c>
      <c r="P108" s="4">
        <v>51</v>
      </c>
      <c r="Q108" s="4">
        <v>114</v>
      </c>
      <c r="R108" s="4">
        <v>9</v>
      </c>
      <c r="S108" s="4">
        <v>111</v>
      </c>
      <c r="T108" s="4">
        <v>68</v>
      </c>
      <c r="U108" s="3">
        <v>0.91</v>
      </c>
      <c r="V108" s="3">
        <v>0.8</v>
      </c>
      <c r="W108" s="3">
        <v>0.51</v>
      </c>
      <c r="X108" s="3">
        <v>0.43</v>
      </c>
      <c r="Y108" s="3">
        <v>0.65</v>
      </c>
      <c r="Z108" s="3">
        <v>0.32</v>
      </c>
      <c r="AA108" s="3">
        <v>0.27</v>
      </c>
      <c r="AB108" s="13">
        <v>0.33</v>
      </c>
      <c r="AC108" s="3">
        <v>7.0000000000000007E-2</v>
      </c>
      <c r="AD108" s="3">
        <v>0.33</v>
      </c>
    </row>
    <row r="109" spans="1:30" x14ac:dyDescent="0.25">
      <c r="A109" s="4">
        <v>2027</v>
      </c>
      <c r="B109" s="4" t="s">
        <v>13</v>
      </c>
      <c r="C109" s="4" t="s">
        <v>35</v>
      </c>
      <c r="D109" s="3">
        <v>0.95</v>
      </c>
      <c r="E109" s="3">
        <v>0.62</v>
      </c>
      <c r="F109" s="4">
        <v>367</v>
      </c>
      <c r="G109" s="4">
        <v>101</v>
      </c>
      <c r="H109" s="4">
        <v>54</v>
      </c>
      <c r="I109" s="4">
        <v>34</v>
      </c>
      <c r="J109" s="4">
        <v>13</v>
      </c>
      <c r="K109" s="4">
        <v>64</v>
      </c>
      <c r="L109" s="4">
        <v>48</v>
      </c>
      <c r="M109" s="4">
        <v>53</v>
      </c>
      <c r="N109" s="4">
        <v>67</v>
      </c>
      <c r="O109" s="4">
        <v>80</v>
      </c>
      <c r="P109" s="4">
        <v>76</v>
      </c>
      <c r="Q109" s="4">
        <v>29</v>
      </c>
      <c r="R109" s="4">
        <v>26</v>
      </c>
      <c r="S109" s="4">
        <v>76</v>
      </c>
      <c r="T109" s="4">
        <v>53</v>
      </c>
      <c r="U109" s="3">
        <v>0.24</v>
      </c>
      <c r="V109" s="3">
        <v>0.95</v>
      </c>
      <c r="W109" s="3">
        <v>0.98</v>
      </c>
      <c r="X109" s="3">
        <v>0.27</v>
      </c>
      <c r="Y109" s="3">
        <v>0.76</v>
      </c>
      <c r="Z109" s="3">
        <v>0.28000000000000003</v>
      </c>
    </row>
  </sheetData>
  <mergeCells count="1">
    <mergeCell ref="AF1:AH1"/>
  </mergeCells>
  <phoneticPr fontId="2" type="noConversion"/>
  <hyperlinks>
    <hyperlink ref="AF1" r:id="rId1" xr:uid="{F4B1F5A8-C246-4A24-82A7-A82EE0E6F7F9}"/>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FD59-1FBB-449C-822E-96659D829171}">
  <dimension ref="B1:F34"/>
  <sheetViews>
    <sheetView workbookViewId="0">
      <selection activeCell="D1" sqref="D1:F1"/>
    </sheetView>
  </sheetViews>
  <sheetFormatPr defaultRowHeight="15" x14ac:dyDescent="0.25"/>
  <sheetData>
    <row r="1" spans="2:6" x14ac:dyDescent="0.25">
      <c r="B1" s="24" t="s">
        <v>109</v>
      </c>
      <c r="D1" s="41" t="s">
        <v>131</v>
      </c>
      <c r="E1" s="42"/>
      <c r="F1" s="42"/>
    </row>
    <row r="2" spans="2:6" x14ac:dyDescent="0.25">
      <c r="B2" s="20" t="s">
        <v>110</v>
      </c>
    </row>
    <row r="5" spans="2:6" x14ac:dyDescent="0.25">
      <c r="B5" s="21" t="s">
        <v>111</v>
      </c>
    </row>
    <row r="6" spans="2:6" x14ac:dyDescent="0.25">
      <c r="B6" s="22" t="s">
        <v>112</v>
      </c>
    </row>
    <row r="7" spans="2:6" x14ac:dyDescent="0.25">
      <c r="B7" s="23" t="s">
        <v>113</v>
      </c>
    </row>
    <row r="10" spans="2:6" x14ac:dyDescent="0.25">
      <c r="B10" s="23" t="s">
        <v>113</v>
      </c>
    </row>
    <row r="11" spans="2:6" x14ac:dyDescent="0.25">
      <c r="B11" s="25" t="s">
        <v>114</v>
      </c>
    </row>
    <row r="12" spans="2:6" x14ac:dyDescent="0.25">
      <c r="B12" s="26" t="s">
        <v>115</v>
      </c>
    </row>
    <row r="13" spans="2:6" x14ac:dyDescent="0.25">
      <c r="B13" s="27" t="s">
        <v>116</v>
      </c>
    </row>
    <row r="15" spans="2:6" x14ac:dyDescent="0.25">
      <c r="B15" s="28" t="s">
        <v>117</v>
      </c>
    </row>
    <row r="16" spans="2:6" x14ac:dyDescent="0.25">
      <c r="B16" s="26" t="s">
        <v>115</v>
      </c>
    </row>
    <row r="17" spans="2:2" x14ac:dyDescent="0.25">
      <c r="B17" s="22" t="s">
        <v>112</v>
      </c>
    </row>
    <row r="20" spans="2:2" x14ac:dyDescent="0.25">
      <c r="B20" s="29" t="s">
        <v>118</v>
      </c>
    </row>
    <row r="21" spans="2:2" x14ac:dyDescent="0.25">
      <c r="B21" s="30" t="s">
        <v>119</v>
      </c>
    </row>
    <row r="22" spans="2:2" x14ac:dyDescent="0.25">
      <c r="B22" s="31" t="s">
        <v>120</v>
      </c>
    </row>
    <row r="24" spans="2:2" x14ac:dyDescent="0.25">
      <c r="B24" s="32" t="s">
        <v>121</v>
      </c>
    </row>
    <row r="25" spans="2:2" x14ac:dyDescent="0.25">
      <c r="B25" s="33" t="s">
        <v>122</v>
      </c>
    </row>
    <row r="26" spans="2:2" x14ac:dyDescent="0.25">
      <c r="B26" s="34" t="s">
        <v>123</v>
      </c>
    </row>
    <row r="28" spans="2:2" x14ac:dyDescent="0.25">
      <c r="B28" s="35" t="s">
        <v>124</v>
      </c>
    </row>
    <row r="29" spans="2:2" x14ac:dyDescent="0.25">
      <c r="B29" s="36" t="s">
        <v>125</v>
      </c>
    </row>
    <row r="30" spans="2:2" x14ac:dyDescent="0.25">
      <c r="B30" s="37" t="s">
        <v>126</v>
      </c>
    </row>
    <row r="32" spans="2:2" x14ac:dyDescent="0.25">
      <c r="B32" s="38" t="s">
        <v>127</v>
      </c>
    </row>
    <row r="33" spans="2:2" x14ac:dyDescent="0.25">
      <c r="B33" s="39" t="s">
        <v>128</v>
      </c>
    </row>
    <row r="34" spans="2:2" x14ac:dyDescent="0.25">
      <c r="B34" s="40" t="s">
        <v>129</v>
      </c>
    </row>
  </sheetData>
  <mergeCells count="1">
    <mergeCell ref="D1:F1"/>
  </mergeCells>
  <hyperlinks>
    <hyperlink ref="D1" r:id="rId1" xr:uid="{C8B41F6E-C857-485E-B82C-2F074C4BE3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Point Of Sales</vt:lpstr>
      <vt:lpstr>Targeting</vt:lpstr>
      <vt:lpstr>Sales Dynamics</vt:lpstr>
      <vt:lpstr>Coverage</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2025-01-20T16:49:27Z</dcterms:created>
  <dcterms:modified xsi:type="dcterms:W3CDTF">2026-09-18T05:36:00Z</dcterms:modified>
</cp:coreProperties>
</file>