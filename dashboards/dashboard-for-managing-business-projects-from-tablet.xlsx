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slicers/slicer4.xml" ContentType="application/vnd.ms-excel.slicer+xml"/>
  <Override PartName="/xl/charts/chart20.xml" ContentType="application/vnd.openxmlformats-officedocument.drawingml.chart+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5.xml" ContentType="application/vnd.openxmlformats-officedocument.drawing+xml"/>
  <Override PartName="/xl/slicers/slicer5.xml" ContentType="application/vnd.ms-excel.slicer+xml"/>
  <Override PartName="/xl/charts/chart25.xml" ContentType="application/vnd.openxmlformats-officedocument.drawingml.chart+xml"/>
  <Override PartName="/xl/charts/chart26.xml" ContentType="application/vnd.openxmlformats-officedocument.drawingml.chart+xml"/>
  <Override PartName="/xl/charts/style22.xml" ContentType="application/vnd.ms-office.chartstyle+xml"/>
  <Override PartName="/xl/charts/colors22.xml" ContentType="application/vnd.ms-office.chartcolorstyle+xml"/>
  <Override PartName="/xl/charts/chart27.xml" ContentType="application/vnd.openxmlformats-officedocument.drawingml.chart+xml"/>
  <Override PartName="/xl/charts/style23.xml" ContentType="application/vnd.ms-office.chartstyle+xml"/>
  <Override PartName="/xl/charts/colors23.xml" ContentType="application/vnd.ms-office.chartcolorstyle+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c6e5fe5563ab6cfd/Desktop/Dashboard Projects/Dashboard/template98/"/>
    </mc:Choice>
  </mc:AlternateContent>
  <xr:revisionPtr revIDLastSave="1" documentId="8_{3602565C-7C99-4585-9841-A3CF50E7C117}" xr6:coauthVersionLast="47" xr6:coauthVersionMax="47" xr10:uidLastSave="{EB60A98B-CC27-4A54-BDB4-83E92B5E280E}"/>
  <bookViews>
    <workbookView xWindow="-120" yWindow="-120" windowWidth="20730" windowHeight="11310" tabRatio="757" xr2:uid="{A58991F2-9DC6-495D-8CF6-B6ED1028A530}"/>
  </bookViews>
  <sheets>
    <sheet name="DASHBOARD" sheetId="1" r:id="rId1"/>
    <sheet name="Visitors &amp; Buyers" sheetId="4" r:id="rId2"/>
    <sheet name="Conversion" sheetId="5" r:id="rId3"/>
    <sheet name="Profit" sheetId="6" r:id="rId4"/>
    <sheet name="Tasks" sheetId="7" r:id="rId5"/>
    <sheet name="Processing" sheetId="2" r:id="rId6"/>
    <sheet name="Control" sheetId="9" r:id="rId7"/>
    <sheet name="Data" sheetId="8" r:id="rId8"/>
    <sheet name="Resource" sheetId="3" r:id="rId9"/>
  </sheets>
  <definedNames>
    <definedName name="Slicer_Month">#N/A</definedName>
    <definedName name="Slicer_Year">#N/A</definedName>
  </definedNames>
  <calcPr calcId="191029"/>
  <pivotCaches>
    <pivotCache cacheId="7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2" l="1"/>
  <c r="D9" i="2"/>
  <c r="D10" i="2"/>
  <c r="D11" i="2"/>
  <c r="D12" i="2"/>
  <c r="K28" i="2"/>
  <c r="C21" i="2"/>
  <c r="L23" i="2"/>
  <c r="E24" i="2"/>
  <c r="H8" i="2"/>
  <c r="H19" i="2"/>
  <c r="I23" i="2"/>
  <c r="J18" i="2"/>
  <c r="C24" i="2"/>
  <c r="L27" i="2"/>
  <c r="E19" i="2"/>
  <c r="C28" i="2"/>
  <c r="I27" i="2"/>
  <c r="B23" i="2"/>
  <c r="J20" i="2"/>
  <c r="I26" i="2"/>
  <c r="C22" i="2"/>
  <c r="G8" i="2"/>
  <c r="I18" i="2"/>
  <c r="C19" i="2"/>
  <c r="B10" i="2"/>
  <c r="B9" i="2"/>
  <c r="L18" i="2"/>
  <c r="B2" i="2"/>
  <c r="K18" i="2"/>
  <c r="D21" i="2"/>
  <c r="E26" i="2"/>
  <c r="B18" i="2"/>
  <c r="K19" i="2"/>
  <c r="H21" i="2"/>
  <c r="B8" i="2"/>
  <c r="E21" i="2"/>
  <c r="B21" i="2"/>
  <c r="C18" i="2"/>
  <c r="H22" i="2"/>
  <c r="K17" i="2"/>
  <c r="D29" i="2"/>
  <c r="D20" i="2"/>
  <c r="G9" i="2"/>
  <c r="H20" i="2"/>
  <c r="C27" i="2"/>
  <c r="C17" i="2"/>
  <c r="I19" i="2"/>
  <c r="B28" i="2"/>
  <c r="C26" i="2"/>
  <c r="B26" i="2"/>
  <c r="I28" i="2"/>
  <c r="B27" i="2"/>
  <c r="I20" i="2"/>
  <c r="D28" i="2"/>
  <c r="G12" i="2"/>
  <c r="H25" i="2"/>
  <c r="D17" i="2"/>
  <c r="K21" i="2"/>
  <c r="B22" i="2"/>
  <c r="I17" i="2"/>
  <c r="D18" i="2"/>
  <c r="H11" i="2"/>
  <c r="H28" i="2"/>
  <c r="J21" i="2"/>
  <c r="J23" i="2"/>
  <c r="D27" i="2"/>
  <c r="G10" i="2"/>
  <c r="I24" i="2"/>
  <c r="E22" i="2"/>
  <c r="D24" i="2"/>
  <c r="E27" i="2"/>
  <c r="J19" i="2"/>
  <c r="E17" i="2"/>
  <c r="B20" i="2"/>
  <c r="K22" i="2"/>
  <c r="L19" i="2"/>
  <c r="I25" i="2"/>
  <c r="I21" i="2"/>
  <c r="H12" i="2"/>
  <c r="L22" i="2"/>
  <c r="H26" i="2"/>
  <c r="L17" i="2"/>
  <c r="D19" i="2"/>
  <c r="H29" i="2"/>
  <c r="G11" i="2"/>
  <c r="J27" i="2"/>
  <c r="J25" i="2"/>
  <c r="H10" i="2"/>
  <c r="L20" i="2"/>
  <c r="L26" i="2"/>
  <c r="E28" i="2"/>
  <c r="J29" i="2"/>
  <c r="I22" i="2"/>
  <c r="K23" i="2"/>
  <c r="B12" i="2"/>
  <c r="H18" i="2"/>
  <c r="C20" i="2"/>
  <c r="J28" i="2"/>
  <c r="C25" i="2"/>
  <c r="L25" i="2"/>
  <c r="E18" i="2"/>
  <c r="H9" i="2"/>
  <c r="H27" i="2"/>
  <c r="B24" i="2"/>
  <c r="J17" i="2"/>
  <c r="D25" i="2"/>
  <c r="K29" i="2"/>
  <c r="E29" i="2"/>
  <c r="B19" i="2"/>
  <c r="J26" i="2"/>
  <c r="B11" i="2"/>
  <c r="H23" i="2"/>
  <c r="L21" i="2"/>
  <c r="L24" i="2"/>
  <c r="H17" i="2"/>
  <c r="L28" i="2"/>
  <c r="D26" i="2"/>
  <c r="B17" i="2"/>
  <c r="K26" i="2"/>
  <c r="E23" i="2"/>
  <c r="J24" i="2"/>
  <c r="D23" i="2"/>
  <c r="H24" i="2"/>
  <c r="C23" i="2"/>
  <c r="D22" i="2"/>
  <c r="L29" i="2"/>
  <c r="E20" i="2"/>
  <c r="K25" i="2"/>
  <c r="B3" i="2"/>
  <c r="J22" i="2"/>
  <c r="K27" i="2"/>
  <c r="K20" i="2"/>
  <c r="E25" i="2"/>
  <c r="K24" i="2"/>
  <c r="B25" i="2"/>
  <c r="B4" i="2" l="1"/>
  <c r="B5" i="2"/>
  <c r="G13" i="2"/>
  <c r="I29" i="2"/>
  <c r="H13" i="2" l="1"/>
  <c r="C12" i="2" l="1"/>
  <c r="C11" i="2"/>
  <c r="C10" i="2"/>
  <c r="C9" i="2"/>
  <c r="C8" i="2"/>
  <c r="D5" i="2"/>
  <c r="C3" i="2"/>
</calcChain>
</file>

<file path=xl/sharedStrings.xml><?xml version="1.0" encoding="utf-8"?>
<sst xmlns="http://schemas.openxmlformats.org/spreadsheetml/2006/main" count="200" uniqueCount="91">
  <si>
    <t>Visitors &amp; Buyers</t>
  </si>
  <si>
    <t>Profit</t>
  </si>
  <si>
    <t>Conversion</t>
  </si>
  <si>
    <t>Tasks</t>
  </si>
  <si>
    <t>Task 1</t>
  </si>
  <si>
    <t>Task 2</t>
  </si>
  <si>
    <t>Task 3</t>
  </si>
  <si>
    <t>Task 4</t>
  </si>
  <si>
    <t>Task 5</t>
  </si>
  <si>
    <t>Task Manager</t>
  </si>
  <si>
    <t>Indent</t>
  </si>
  <si>
    <t>Visitors</t>
  </si>
  <si>
    <t>Buyers</t>
  </si>
  <si>
    <t>JAN</t>
  </si>
  <si>
    <t>FEB</t>
  </si>
  <si>
    <t>MAR</t>
  </si>
  <si>
    <t>APR</t>
  </si>
  <si>
    <t>MAY</t>
  </si>
  <si>
    <t>JUN</t>
  </si>
  <si>
    <t>JUL</t>
  </si>
  <si>
    <t>AUG</t>
  </si>
  <si>
    <t>SEP</t>
  </si>
  <si>
    <t>OCT</t>
  </si>
  <si>
    <t>NOV</t>
  </si>
  <si>
    <t>DEC</t>
  </si>
  <si>
    <t>Plan</t>
  </si>
  <si>
    <t>Break-Even Point</t>
  </si>
  <si>
    <t>Profit Performance</t>
  </si>
  <si>
    <t>Debt</t>
  </si>
  <si>
    <t>Year</t>
  </si>
  <si>
    <t>Month</t>
  </si>
  <si>
    <t>Equity</t>
  </si>
  <si>
    <t>ETask 1</t>
  </si>
  <si>
    <t>ETask 2</t>
  </si>
  <si>
    <t>ETask 3</t>
  </si>
  <si>
    <t>ETask 4</t>
  </si>
  <si>
    <t>ETask 5</t>
  </si>
  <si>
    <t>DTask 1</t>
  </si>
  <si>
    <t>DTask 2</t>
  </si>
  <si>
    <t>DTask 3</t>
  </si>
  <si>
    <t>DTask 4</t>
  </si>
  <si>
    <t>DTask 5</t>
  </si>
  <si>
    <t>Row Labels</t>
  </si>
  <si>
    <t>Grand Total</t>
  </si>
  <si>
    <t>Sum of Visitors</t>
  </si>
  <si>
    <t>Sum of Buyers</t>
  </si>
  <si>
    <t>Cursor B</t>
  </si>
  <si>
    <t>Cursor V</t>
  </si>
  <si>
    <t>Average of Conversion</t>
  </si>
  <si>
    <t>Cursor</t>
  </si>
  <si>
    <t>Sum of Profit</t>
  </si>
  <si>
    <t>Sum of Plan</t>
  </si>
  <si>
    <t>Sum of Break-Even Point</t>
  </si>
  <si>
    <t>Sum of Debt</t>
  </si>
  <si>
    <t>Sum of ETask 1</t>
  </si>
  <si>
    <t>Sum of ETask 2</t>
  </si>
  <si>
    <t>Sum of ETask 3</t>
  </si>
  <si>
    <t>Sum of ETask 4</t>
  </si>
  <si>
    <t>Sum of ETask 5</t>
  </si>
  <si>
    <t>Sum of DTask 1</t>
  </si>
  <si>
    <t>Sum of DTask 2</t>
  </si>
  <si>
    <t>Sum of DTask 3</t>
  </si>
  <si>
    <t>Sum of DTask 4</t>
  </si>
  <si>
    <t>Sum of DTask 5</t>
  </si>
  <si>
    <t>Average of Task 1</t>
  </si>
  <si>
    <t>Average of Task 2</t>
  </si>
  <si>
    <t>Average of Task 3</t>
  </si>
  <si>
    <t>Average of Task 4</t>
  </si>
  <si>
    <t>Average of Task 5</t>
  </si>
  <si>
    <t>Menu</t>
  </si>
  <si>
    <t xml:space="preserve">[&gt;=1000000]#,, "M";[&gt;=1000]#,"k";# </t>
  </si>
  <si>
    <t>Funding Sources by Tasks</t>
  </si>
  <si>
    <t>067D70</t>
  </si>
  <si>
    <t>3FA48E</t>
  </si>
  <si>
    <t>49AA91</t>
  </si>
  <si>
    <t>Line</t>
  </si>
  <si>
    <t>#068275</t>
  </si>
  <si>
    <t>#73C3AE</t>
  </si>
  <si>
    <t>#9FE1D8</t>
  </si>
  <si>
    <t>#70D2C3</t>
  </si>
  <si>
    <t>#329E8F</t>
  </si>
  <si>
    <t>#C2F1C8</t>
  </si>
  <si>
    <t>95B1AF</t>
  </si>
  <si>
    <t>#156082</t>
  </si>
  <si>
    <t>2C78A7</t>
  </si>
  <si>
    <t>CE2C35</t>
  </si>
  <si>
    <t>FA7E31</t>
  </si>
  <si>
    <t>#9482D7</t>
  </si>
  <si>
    <t>#F181F2</t>
  </si>
  <si>
    <t>#297F73</t>
  </si>
  <si>
    <t>00C9AD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</si>
</sst>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_(&quot;$&quot;* #,##0_);_(&quot;$&quot;* \(#,##0\);_(&quot;$&quot;* &quot;-&quot;??_);_(@_)"/>
    <numFmt numFmtId="165" formatCode="#\ ###\ ###"/>
    <numFmt numFmtId="166" formatCode="0.0%"/>
    <numFmt numFmtId="167" formatCode="[&gt;=1000000]#,,\ &quot;M&quot;;[&gt;=1000]#,&quot;k&quot;;#\ "/>
  </numFmts>
  <fonts count="8" x14ac:knownFonts="1">
    <font>
      <sz val="11"/>
      <color theme="1"/>
      <name val="Aptos Narrow"/>
      <family val="2"/>
      <scheme val="minor"/>
    </font>
    <font>
      <sz val="11"/>
      <color theme="1"/>
      <name val="Aptos Narrow"/>
      <family val="2"/>
      <scheme val="minor"/>
    </font>
    <font>
      <sz val="8"/>
      <name val="Aptos Narrow"/>
      <family val="2"/>
      <scheme val="minor"/>
    </font>
    <font>
      <b/>
      <sz val="11"/>
      <color theme="1"/>
      <name val="Aptos Narrow"/>
      <family val="2"/>
      <scheme val="minor"/>
    </font>
    <font>
      <sz val="11"/>
      <name val="Aptos Narrow"/>
      <family val="2"/>
      <scheme val="minor"/>
    </font>
    <font>
      <u/>
      <sz val="11"/>
      <color theme="10"/>
      <name val="Aptos Narrow"/>
      <family val="2"/>
      <scheme val="minor"/>
    </font>
    <font>
      <sz val="20"/>
      <color theme="0"/>
      <name val="Aptos Narrow"/>
      <family val="2"/>
      <scheme val="minor"/>
    </font>
    <font>
      <u/>
      <sz val="20"/>
      <color theme="0"/>
      <name val="Aptos Narrow"/>
      <family val="2"/>
      <scheme val="minor"/>
    </font>
  </fonts>
  <fills count="24">
    <fill>
      <patternFill patternType="none"/>
    </fill>
    <fill>
      <patternFill patternType="gray125"/>
    </fill>
    <fill>
      <patternFill patternType="solid">
        <fgColor rgb="FF068275"/>
        <bgColor indexed="64"/>
      </patternFill>
    </fill>
    <fill>
      <patternFill patternType="solid">
        <fgColor rgb="FF067D70"/>
        <bgColor indexed="64"/>
      </patternFill>
    </fill>
    <fill>
      <patternFill patternType="solid">
        <fgColor rgb="FF249987"/>
        <bgColor indexed="64"/>
      </patternFill>
    </fill>
    <fill>
      <patternFill patternType="solid">
        <fgColor rgb="FF3FA48E"/>
        <bgColor indexed="64"/>
      </patternFill>
    </fill>
    <fill>
      <patternFill patternType="solid">
        <fgColor rgb="FF49AA91"/>
        <bgColor indexed="64"/>
      </patternFill>
    </fill>
    <fill>
      <patternFill patternType="solid">
        <fgColor rgb="FF73C3AD"/>
        <bgColor indexed="64"/>
      </patternFill>
    </fill>
    <fill>
      <patternFill patternType="solid">
        <fgColor rgb="FF006966"/>
        <bgColor indexed="64"/>
      </patternFill>
    </fill>
    <fill>
      <patternFill patternType="solid">
        <fgColor rgb="FF9FE1D8"/>
        <bgColor indexed="64"/>
      </patternFill>
    </fill>
    <fill>
      <patternFill patternType="solid">
        <fgColor rgb="FF70D2C3"/>
        <bgColor indexed="64"/>
      </patternFill>
    </fill>
    <fill>
      <patternFill patternType="solid">
        <fgColor rgb="FF329E8F"/>
        <bgColor indexed="64"/>
      </patternFill>
    </fill>
    <fill>
      <patternFill patternType="solid">
        <fgColor rgb="FFC2F1C8"/>
        <bgColor indexed="64"/>
      </patternFill>
    </fill>
    <fill>
      <patternFill patternType="solid">
        <fgColor rgb="FF95B1AF"/>
        <bgColor indexed="64"/>
      </patternFill>
    </fill>
    <fill>
      <patternFill patternType="solid">
        <fgColor rgb="FF156082"/>
        <bgColor indexed="64"/>
      </patternFill>
    </fill>
    <fill>
      <patternFill patternType="solid">
        <fgColor rgb="FF2C78A7"/>
        <bgColor indexed="64"/>
      </patternFill>
    </fill>
    <fill>
      <patternFill patternType="solid">
        <fgColor rgb="FF008377"/>
        <bgColor indexed="64"/>
      </patternFill>
    </fill>
    <fill>
      <patternFill patternType="solid">
        <fgColor rgb="FFCE2C35"/>
        <bgColor indexed="64"/>
      </patternFill>
    </fill>
    <fill>
      <patternFill patternType="solid">
        <fgColor rgb="FFFA7E31"/>
        <bgColor indexed="64"/>
      </patternFill>
    </fill>
    <fill>
      <patternFill patternType="solid">
        <fgColor rgb="FF099699"/>
        <bgColor indexed="64"/>
      </patternFill>
    </fill>
    <fill>
      <patternFill patternType="solid">
        <fgColor rgb="FF9482D7"/>
        <bgColor indexed="64"/>
      </patternFill>
    </fill>
    <fill>
      <patternFill patternType="solid">
        <fgColor rgb="FFF181F2"/>
        <bgColor indexed="64"/>
      </patternFill>
    </fill>
    <fill>
      <patternFill patternType="solid">
        <fgColor rgb="FF297F73"/>
        <bgColor indexed="64"/>
      </patternFill>
    </fill>
    <fill>
      <patternFill patternType="solid">
        <fgColor rgb="FF00C9AD"/>
        <bgColor indexed="64"/>
      </patternFill>
    </fill>
  </fills>
  <borders count="1">
    <border>
      <left/>
      <right/>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cellStyleXfs>
  <cellXfs count="40">
    <xf numFmtId="0" fontId="0" fillId="0" borderId="0" xfId="0"/>
    <xf numFmtId="0" fontId="0" fillId="2" borderId="0" xfId="0" applyFill="1"/>
    <xf numFmtId="164" fontId="0" fillId="0" borderId="0" xfId="1" applyNumberFormat="1" applyFont="1"/>
    <xf numFmtId="9" fontId="0" fillId="0" borderId="0" xfId="0" applyNumberFormat="1"/>
    <xf numFmtId="165" fontId="0" fillId="0" borderId="0" xfId="0" applyNumberFormat="1"/>
    <xf numFmtId="166" fontId="0" fillId="0" borderId="0" xfId="0" applyNumberFormat="1"/>
    <xf numFmtId="0" fontId="3" fillId="0" borderId="0" xfId="0" applyFont="1"/>
    <xf numFmtId="0" fontId="0" fillId="0" borderId="0" xfId="0" applyAlignment="1">
      <alignment horizontal="center"/>
    </xf>
    <xf numFmtId="0" fontId="3" fillId="0" borderId="0" xfId="0" applyFont="1" applyAlignment="1">
      <alignment horizontal="center"/>
    </xf>
    <xf numFmtId="0" fontId="0" fillId="0" borderId="0" xfId="0" applyAlignment="1">
      <alignment horizontal="left"/>
    </xf>
    <xf numFmtId="9" fontId="0" fillId="0" borderId="0" xfId="2" applyFont="1" applyAlignment="1">
      <alignment horizontal="center"/>
    </xf>
    <xf numFmtId="0" fontId="0" fillId="0" borderId="0" xfId="0" pivotButton="1"/>
    <xf numFmtId="167" fontId="0" fillId="0" borderId="0" xfId="1" applyNumberFormat="1" applyFont="1"/>
    <xf numFmtId="164" fontId="3" fillId="0" borderId="0" xfId="1" applyNumberFormat="1" applyFont="1"/>
    <xf numFmtId="9" fontId="0" fillId="0" borderId="0" xfId="0" applyNumberFormat="1" applyAlignment="1">
      <alignment horizontal="center"/>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0" fillId="21" borderId="0" xfId="0" applyFill="1"/>
    <xf numFmtId="0" fontId="4" fillId="22" borderId="0" xfId="0" applyFont="1" applyFill="1"/>
    <xf numFmtId="0" fontId="0" fillId="23" borderId="0" xfId="0" applyFill="1"/>
    <xf numFmtId="0" fontId="0" fillId="0" borderId="0" xfId="0" applyAlignment="1">
      <alignment horizontal="center"/>
    </xf>
    <xf numFmtId="0" fontId="7" fillId="2" borderId="0" xfId="3" applyFont="1" applyFill="1" applyAlignment="1">
      <alignment vertical="center"/>
    </xf>
    <xf numFmtId="0" fontId="6" fillId="2" borderId="0" xfId="0" applyFont="1" applyFill="1" applyAlignment="1">
      <alignment vertical="center"/>
    </xf>
    <xf numFmtId="0" fontId="0" fillId="0" borderId="0" xfId="0" applyNumberFormat="1"/>
  </cellXfs>
  <cellStyles count="4">
    <cellStyle name="Currency" xfId="1" builtinId="4"/>
    <cellStyle name="Hyperlink" xfId="3" builtinId="8"/>
    <cellStyle name="Normal" xfId="0" builtinId="0"/>
    <cellStyle name="Percent" xfId="2" builtinId="5"/>
  </cellStyles>
  <dxfs count="30">
    <dxf>
      <alignment horizontal="center" vertical="bottom" textRotation="0" wrapText="0" indent="0" justifyLastLine="0" shrinkToFit="0" readingOrder="0"/>
    </dxf>
    <dxf>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E22B1725-9675-4F2E-8ED0-53B55A7CF8AF}">
      <tableStyleElement type="wholeTable" dxfId="29"/>
      <tableStyleElement type="headerRow" dxfId="28"/>
    </tableStyle>
    <tableStyle name="SlicerStyleLight1 3" pivot="0" table="0" count="10" xr9:uid="{74224462-A24F-48C8-9F32-051E84CD8855}">
      <tableStyleElement type="wholeTable" dxfId="27"/>
      <tableStyleElement type="headerRow" dxfId="26"/>
    </tableStyle>
  </tableStyles>
  <colors>
    <mruColors>
      <color rgb="FF099699"/>
      <color rgb="FF297F73"/>
      <color rgb="FF00C9AD"/>
      <color rgb="FFF181F2"/>
      <color rgb="FF9482D7"/>
      <color rgb="FFFA7E31"/>
      <color rgb="FFCE2C35"/>
      <color rgb="FF008377"/>
      <color rgb="FF2C78A7"/>
      <color rgb="FF156082"/>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297F73"/>
              </stop>
              <stop position="1">
                <color rgb="FF9FE1D8"/>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2.xml"/><Relationship Id="rId1" Type="http://schemas.microsoft.com/office/2011/relationships/chartStyle" Target="style2.xml"/><Relationship Id="rId5" Type="http://schemas.openxmlformats.org/officeDocument/2006/relationships/image" Target="../media/image5.png"/><Relationship Id="rId4" Type="http://schemas.openxmlformats.org/officeDocument/2006/relationships/image" Target="../media/image4.png"/></Relationships>
</file>

<file path=xl/charts/_rels/chart3.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microsoft.com/office/2011/relationships/chartColorStyle" Target="colors3.xml"/><Relationship Id="rId1" Type="http://schemas.microsoft.com/office/2011/relationships/chartStyle" Target="style3.xml"/><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9.xml"/><Relationship Id="rId1" Type="http://schemas.microsoft.com/office/2011/relationships/chartStyle" Target="style9.xml"/><Relationship Id="rId5" Type="http://schemas.openxmlformats.org/officeDocument/2006/relationships/image" Target="../media/image5.png"/><Relationship Id="rId4" Type="http://schemas.openxmlformats.org/officeDocument/2006/relationships/image" Target="../media/image4.png"/></Relationships>
</file>

<file path=xl/charts/_rels/chart12.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microsoft.com/office/2011/relationships/chartColorStyle" Target="colors10.xml"/><Relationship Id="rId1" Type="http://schemas.microsoft.com/office/2011/relationships/chartStyle" Target="style10.xml"/><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14.xml"/><Relationship Id="rId1" Type="http://schemas.microsoft.com/office/2011/relationships/chartStyle" Target="style14.xml"/><Relationship Id="rId5" Type="http://schemas.openxmlformats.org/officeDocument/2006/relationships/image" Target="../media/image5.png"/><Relationship Id="rId4" Type="http://schemas.openxmlformats.org/officeDocument/2006/relationships/image" Target="../media/image4.png"/></Relationships>
</file>

<file path=xl/charts/_rels/chart17.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microsoft.com/office/2011/relationships/chartColorStyle" Target="colors15.xml"/><Relationship Id="rId1" Type="http://schemas.microsoft.com/office/2011/relationships/chartStyle" Target="style15.xml"/><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18.xml"/><Relationship Id="rId1" Type="http://schemas.microsoft.com/office/2011/relationships/chartStyle" Target="style18.xml"/><Relationship Id="rId5" Type="http://schemas.openxmlformats.org/officeDocument/2006/relationships/image" Target="../media/image5.png"/><Relationship Id="rId4" Type="http://schemas.openxmlformats.org/officeDocument/2006/relationships/image" Target="../media/image4.png"/></Relationships>
</file>

<file path=xl/charts/_rels/chart22.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microsoft.com/office/2011/relationships/chartColorStyle" Target="colors19.xml"/><Relationship Id="rId1" Type="http://schemas.microsoft.com/office/2011/relationships/chartStyle" Target="style19.xml"/><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charts/_rels/chart2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6.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22.xml"/><Relationship Id="rId1" Type="http://schemas.microsoft.com/office/2011/relationships/chartStyle" Target="style22.xml"/><Relationship Id="rId5" Type="http://schemas.openxmlformats.org/officeDocument/2006/relationships/image" Target="../media/image5.png"/><Relationship Id="rId4" Type="http://schemas.openxmlformats.org/officeDocument/2006/relationships/image" Target="../media/image4.png"/></Relationships>
</file>

<file path=xl/charts/_rels/chart27.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microsoft.com/office/2011/relationships/chartColorStyle" Target="colors23.xml"/><Relationship Id="rId1" Type="http://schemas.microsoft.com/office/2011/relationships/chartStyle" Target="style23.xml"/><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charts/_rels/chart30.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c:spPr>
          <c:dPt>
            <c:idx val="0"/>
            <c:bubble3D val="0"/>
            <c:spPr>
              <a:solidFill>
                <a:srgbClr val="006966"/>
              </a:solidFill>
              <a:ln w="25400">
                <a:solidFill>
                  <a:schemeClr val="lt1"/>
                </a:solidFill>
              </a:ln>
              <a:effectLst/>
            </c:spPr>
            <c:extLst>
              <c:ext xmlns:c16="http://schemas.microsoft.com/office/drawing/2014/chart" uri="{C3380CC4-5D6E-409C-BE32-E72D297353CC}">
                <c16:uniqueId val="{00000001-AC5C-4720-A125-0D37CD94F98E}"/>
              </c:ext>
            </c:extLst>
          </c:dPt>
          <c:dPt>
            <c:idx val="1"/>
            <c:bubble3D val="0"/>
            <c:spPr>
              <a:solidFill>
                <a:srgbClr val="068275"/>
              </a:solidFill>
              <a:ln w="25400">
                <a:solidFill>
                  <a:schemeClr val="lt1"/>
                </a:solidFill>
              </a:ln>
              <a:effectLst/>
            </c:spPr>
            <c:extLst>
              <c:ext xmlns:c16="http://schemas.microsoft.com/office/drawing/2014/chart" uri="{C3380CC4-5D6E-409C-BE32-E72D297353CC}">
                <c16:uniqueId val="{00000003-AC5C-4720-A125-0D37CD94F98E}"/>
              </c:ext>
            </c:extLst>
          </c:dPt>
          <c:val>
            <c:numRef>
              <c:f>Processing!$B$3:$C$3</c:f>
              <c:numCache>
                <c:formatCode>0%</c:formatCode>
                <c:ptCount val="2"/>
                <c:pt idx="0">
                  <c:v>0.16</c:v>
                </c:pt>
                <c:pt idx="1">
                  <c:v>0.84</c:v>
                </c:pt>
              </c:numCache>
            </c:numRef>
          </c:val>
          <c:extLst>
            <c:ext xmlns:c16="http://schemas.microsoft.com/office/drawing/2014/chart" uri="{C3380CC4-5D6E-409C-BE32-E72D297353CC}">
              <c16:uniqueId val="{00000004-AC5C-4720-A125-0D37CD94F98E}"/>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06966"/>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3-4C4A-4F7F-9DB3-BF0FB475638D}"/>
              </c:ext>
            </c:extLst>
          </c:dPt>
          <c:val>
            <c:numRef>
              <c:f>Processing!$B$5</c:f>
              <c:numCache>
                <c:formatCode>0%</c:formatCode>
                <c:ptCount val="1"/>
                <c:pt idx="0">
                  <c:v>0.13200000000000001</c:v>
                </c:pt>
              </c:numCache>
            </c:numRef>
          </c:val>
          <c:extLst>
            <c:ext xmlns:c16="http://schemas.microsoft.com/office/drawing/2014/chart" uri="{C3380CC4-5D6E-409C-BE32-E72D297353CC}">
              <c16:uniqueId val="{00000000-4C4A-4F7F-9DB3-BF0FB475638D}"/>
            </c:ext>
          </c:extLst>
        </c:ser>
        <c:ser>
          <c:idx val="1"/>
          <c:order val="1"/>
          <c:spPr>
            <a:blipFill>
              <a:blip xmlns:r="http://schemas.openxmlformats.org/officeDocument/2006/relationships" r:embed="rId4"/>
              <a:stretch>
                <a:fillRect/>
              </a:stretch>
            </a:blipFill>
            <a:ln>
              <a:noFill/>
            </a:ln>
            <a:effectLst/>
          </c:spPr>
          <c:invertIfNegative val="0"/>
          <c:val>
            <c:numRef>
              <c:f>Processing!$C$5</c:f>
              <c:numCache>
                <c:formatCode>0%</c:formatCode>
                <c:ptCount val="1"/>
                <c:pt idx="0">
                  <c:v>0.05</c:v>
                </c:pt>
              </c:numCache>
            </c:numRef>
          </c:val>
          <c:extLst>
            <c:ext xmlns:c16="http://schemas.microsoft.com/office/drawing/2014/chart" uri="{C3380CC4-5D6E-409C-BE32-E72D297353CC}">
              <c16:uniqueId val="{00000001-4C4A-4F7F-9DB3-BF0FB475638D}"/>
            </c:ext>
          </c:extLst>
        </c:ser>
        <c:ser>
          <c:idx val="2"/>
          <c:order val="2"/>
          <c:spPr>
            <a:blipFill>
              <a:blip xmlns:r="http://schemas.openxmlformats.org/officeDocument/2006/relationships" r:embed="rId5"/>
              <a:stretch>
                <a:fillRect/>
              </a:stretch>
            </a:blipFill>
            <a:ln>
              <a:noFill/>
            </a:ln>
            <a:effectLst/>
          </c:spPr>
          <c:invertIfNegative val="0"/>
          <c:val>
            <c:numRef>
              <c:f>Processing!$D$5</c:f>
              <c:numCache>
                <c:formatCode>0%</c:formatCode>
                <c:ptCount val="1"/>
                <c:pt idx="0">
                  <c:v>0.86799999999999999</c:v>
                </c:pt>
              </c:numCache>
            </c:numRef>
          </c:val>
          <c:extLst>
            <c:ext xmlns:c16="http://schemas.microsoft.com/office/drawing/2014/chart" uri="{C3380CC4-5D6E-409C-BE32-E72D297353CC}">
              <c16:uniqueId val="{00000002-4C4A-4F7F-9DB3-BF0FB475638D}"/>
            </c:ext>
          </c:extLst>
        </c:ser>
        <c:dLbls>
          <c:showLegendKey val="0"/>
          <c:showVal val="0"/>
          <c:showCatName val="0"/>
          <c:showSerName val="0"/>
          <c:showPercent val="0"/>
          <c:showBubbleSize val="0"/>
        </c:dLbls>
        <c:gapWidth val="50"/>
        <c:overlap val="100"/>
        <c:axId val="1383535728"/>
        <c:axId val="1383551568"/>
      </c:barChart>
      <c:catAx>
        <c:axId val="1383535728"/>
        <c:scaling>
          <c:orientation val="minMax"/>
        </c:scaling>
        <c:delete val="1"/>
        <c:axPos val="l"/>
        <c:majorTickMark val="out"/>
        <c:minorTickMark val="none"/>
        <c:tickLblPos val="nextTo"/>
        <c:crossAx val="1383551568"/>
        <c:crosses val="autoZero"/>
        <c:auto val="1"/>
        <c:lblAlgn val="ctr"/>
        <c:lblOffset val="100"/>
        <c:noMultiLvlLbl val="0"/>
      </c:catAx>
      <c:valAx>
        <c:axId val="1383551568"/>
        <c:scaling>
          <c:orientation val="minMax"/>
          <c:max val="1.05"/>
          <c:min val="0"/>
        </c:scaling>
        <c:delete val="1"/>
        <c:axPos val="b"/>
        <c:numFmt formatCode="0%" sourceLinked="1"/>
        <c:majorTickMark val="out"/>
        <c:minorTickMark val="none"/>
        <c:tickLblPos val="nextTo"/>
        <c:crossAx val="138353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Processing!$A$7</c:f>
          <c:strCache>
            <c:ptCount val="1"/>
            <c:pt idx="0">
              <c:v>Task Manager</c:v>
            </c:pt>
          </c:strCache>
        </c:strRef>
      </c:tx>
      <c:layout>
        <c:manualLayout>
          <c:xMode val="edge"/>
          <c:yMode val="edge"/>
          <c:x val="0.37065075083925625"/>
          <c:y val="2.157361088736904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bar"/>
        <c:grouping val="percentStacked"/>
        <c:varyColors val="0"/>
        <c:ser>
          <c:idx val="2"/>
          <c:order val="0"/>
          <c:tx>
            <c:strRef>
              <c:f>Processing!$D$7</c:f>
              <c:strCache>
                <c:ptCount val="1"/>
                <c:pt idx="0">
                  <c:v>Indent</c:v>
                </c:pt>
              </c:strCache>
            </c:strRef>
          </c:tx>
          <c:spPr>
            <a:blipFill>
              <a:blip xmlns:r="http://schemas.openxmlformats.org/officeDocument/2006/relationships" r:embed="rId3"/>
              <a:stretch>
                <a:fillRect/>
              </a:stretch>
            </a:blipFill>
            <a:ln>
              <a:noFill/>
            </a:ln>
            <a:effectLst/>
          </c:spPr>
          <c:invertIfNegative val="0"/>
          <c:dPt>
            <c:idx val="0"/>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20-4AD6-4CA6-ACDF-715A8DC1AE48}"/>
              </c:ext>
            </c:extLst>
          </c:dPt>
          <c:dPt>
            <c:idx val="1"/>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1-4AD6-4CA6-ACDF-715A8DC1AE48}"/>
              </c:ext>
            </c:extLst>
          </c:dPt>
          <c:dPt>
            <c:idx val="2"/>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3-4AD6-4CA6-ACDF-715A8DC1AE48}"/>
              </c:ext>
            </c:extLst>
          </c:dPt>
          <c:dPt>
            <c:idx val="3"/>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5-4AD6-4CA6-ACDF-715A8DC1AE48}"/>
              </c:ext>
            </c:extLst>
          </c:dPt>
          <c:dPt>
            <c:idx val="4"/>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07-4AD6-4CA6-ACDF-715A8DC1AE48}"/>
              </c:ext>
            </c:extLst>
          </c:dPt>
          <c:cat>
            <c:strRef>
              <c:f>Processing!$A$8:$A$12</c:f>
              <c:strCache>
                <c:ptCount val="5"/>
                <c:pt idx="0">
                  <c:v>Task 1</c:v>
                </c:pt>
                <c:pt idx="1">
                  <c:v>Task 2</c:v>
                </c:pt>
                <c:pt idx="2">
                  <c:v>Task 3</c:v>
                </c:pt>
                <c:pt idx="3">
                  <c:v>Task 4</c:v>
                </c:pt>
                <c:pt idx="4">
                  <c:v>Task 5</c:v>
                </c:pt>
              </c:strCache>
            </c:strRef>
          </c:cat>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08-4AD6-4CA6-ACDF-715A8DC1AE48}"/>
            </c:ext>
          </c:extLst>
        </c:ser>
        <c:ser>
          <c:idx val="0"/>
          <c:order val="1"/>
          <c:spPr>
            <a:solidFill>
              <a:schemeClr val="bg1"/>
            </a:solidFill>
            <a:ln>
              <a:noFill/>
            </a:ln>
            <a:effectLst/>
          </c:spPr>
          <c:invertIfNegative val="0"/>
          <c:dPt>
            <c:idx val="0"/>
            <c:invertIfNegative val="0"/>
            <c:bubble3D val="0"/>
            <c:spPr>
              <a:solidFill>
                <a:srgbClr val="2C78A7"/>
              </a:solidFill>
              <a:ln>
                <a:noFill/>
              </a:ln>
              <a:effectLst/>
            </c:spPr>
            <c:extLst>
              <c:ext xmlns:c16="http://schemas.microsoft.com/office/drawing/2014/chart" uri="{C3380CC4-5D6E-409C-BE32-E72D297353CC}">
                <c16:uniqueId val="{0000000A-4AD6-4CA6-ACDF-715A8DC1AE48}"/>
              </c:ext>
            </c:extLst>
          </c:dPt>
          <c:dPt>
            <c:idx val="1"/>
            <c:invertIfNegative val="0"/>
            <c:bubble3D val="0"/>
            <c:spPr>
              <a:solidFill>
                <a:srgbClr val="008377"/>
              </a:solidFill>
              <a:ln>
                <a:noFill/>
              </a:ln>
              <a:effectLst/>
            </c:spPr>
            <c:extLst>
              <c:ext xmlns:c16="http://schemas.microsoft.com/office/drawing/2014/chart" uri="{C3380CC4-5D6E-409C-BE32-E72D297353CC}">
                <c16:uniqueId val="{0000000C-4AD6-4CA6-ACDF-715A8DC1AE48}"/>
              </c:ext>
            </c:extLst>
          </c:dPt>
          <c:dPt>
            <c:idx val="2"/>
            <c:invertIfNegative val="0"/>
            <c:bubble3D val="0"/>
            <c:spPr>
              <a:solidFill>
                <a:srgbClr val="CE2C35"/>
              </a:solidFill>
              <a:ln>
                <a:noFill/>
              </a:ln>
              <a:effectLst/>
            </c:spPr>
            <c:extLst>
              <c:ext xmlns:c16="http://schemas.microsoft.com/office/drawing/2014/chart" uri="{C3380CC4-5D6E-409C-BE32-E72D297353CC}">
                <c16:uniqueId val="{0000000E-4AD6-4CA6-ACDF-715A8DC1AE48}"/>
              </c:ext>
            </c:extLst>
          </c:dPt>
          <c:dPt>
            <c:idx val="3"/>
            <c:invertIfNegative val="0"/>
            <c:bubble3D val="0"/>
            <c:spPr>
              <a:solidFill>
                <a:srgbClr val="FA7E31"/>
              </a:solidFill>
              <a:ln>
                <a:noFill/>
              </a:ln>
              <a:effectLst/>
            </c:spPr>
            <c:extLst>
              <c:ext xmlns:c16="http://schemas.microsoft.com/office/drawing/2014/chart" uri="{C3380CC4-5D6E-409C-BE32-E72D297353CC}">
                <c16:uniqueId val="{00000010-4AD6-4CA6-ACDF-715A8DC1AE48}"/>
              </c:ext>
            </c:extLst>
          </c:dPt>
          <c:dPt>
            <c:idx val="4"/>
            <c:invertIfNegative val="0"/>
            <c:bubble3D val="0"/>
            <c:spPr>
              <a:solidFill>
                <a:srgbClr val="099699"/>
              </a:solidFill>
              <a:ln>
                <a:noFill/>
              </a:ln>
              <a:effectLst/>
            </c:spPr>
            <c:extLst>
              <c:ext xmlns:c16="http://schemas.microsoft.com/office/drawing/2014/chart" uri="{C3380CC4-5D6E-409C-BE32-E72D297353CC}">
                <c16:uniqueId val="{00000012-4AD6-4CA6-ACDF-715A8DC1AE48}"/>
              </c:ext>
            </c:extLst>
          </c:dPt>
          <c:cat>
            <c:strRef>
              <c:f>Processing!$A$8:$A$12</c:f>
              <c:strCache>
                <c:ptCount val="5"/>
                <c:pt idx="0">
                  <c:v>Task 1</c:v>
                </c:pt>
                <c:pt idx="1">
                  <c:v>Task 2</c:v>
                </c:pt>
                <c:pt idx="2">
                  <c:v>Task 3</c:v>
                </c:pt>
                <c:pt idx="3">
                  <c:v>Task 4</c:v>
                </c:pt>
                <c:pt idx="4">
                  <c:v>Task 5</c:v>
                </c:pt>
              </c:strCache>
            </c:strRef>
          </c:cat>
          <c:val>
            <c:numRef>
              <c:f>Processing!$B$8:$B$12</c:f>
              <c:numCache>
                <c:formatCode>0%</c:formatCode>
                <c:ptCount val="5"/>
                <c:pt idx="0">
                  <c:v>0.05</c:v>
                </c:pt>
                <c:pt idx="1">
                  <c:v>0.21</c:v>
                </c:pt>
                <c:pt idx="2">
                  <c:v>0.13</c:v>
                </c:pt>
                <c:pt idx="3">
                  <c:v>0.15999999999999998</c:v>
                </c:pt>
                <c:pt idx="4">
                  <c:v>0.10999999999999999</c:v>
                </c:pt>
              </c:numCache>
            </c:numRef>
          </c:val>
          <c:extLst>
            <c:ext xmlns:c16="http://schemas.microsoft.com/office/drawing/2014/chart" uri="{C3380CC4-5D6E-409C-BE32-E72D297353CC}">
              <c16:uniqueId val="{00000013-4AD6-4CA6-ACDF-715A8DC1AE48}"/>
            </c:ext>
          </c:extLst>
        </c:ser>
        <c:ser>
          <c:idx val="3"/>
          <c:order val="2"/>
          <c:tx>
            <c:strRef>
              <c:f>Processing!$D$7</c:f>
              <c:strCache>
                <c:ptCount val="1"/>
                <c:pt idx="0">
                  <c:v>Indent</c:v>
                </c:pt>
              </c:strCache>
            </c:strRef>
          </c:tx>
          <c:spPr>
            <a:blipFill>
              <a:blip xmlns:r="http://schemas.openxmlformats.org/officeDocument/2006/relationships" r:embed="rId9"/>
              <a:stretch>
                <a:fillRect/>
              </a:stretch>
            </a:blipFill>
            <a:ln>
              <a:noFill/>
            </a:ln>
            <a:effectLst/>
          </c:spPr>
          <c:invertIfNegative val="0"/>
          <c:dPt>
            <c:idx val="0"/>
            <c:invertIfNegative val="0"/>
            <c:bubble3D val="0"/>
            <c:spPr>
              <a:blipFill>
                <a:blip xmlns:r="http://schemas.openxmlformats.org/officeDocument/2006/relationships" r:embed="rId10"/>
                <a:stretch>
                  <a:fillRect/>
                </a:stretch>
              </a:blipFill>
              <a:ln>
                <a:noFill/>
              </a:ln>
              <a:effectLst/>
            </c:spPr>
            <c:extLst>
              <c:ext xmlns:c16="http://schemas.microsoft.com/office/drawing/2014/chart" uri="{C3380CC4-5D6E-409C-BE32-E72D297353CC}">
                <c16:uniqueId val="{0000001F-4AD6-4CA6-ACDF-715A8DC1AE48}"/>
              </c:ext>
            </c:extLst>
          </c:dPt>
          <c:dPt>
            <c:idx val="1"/>
            <c:invertIfNegative val="0"/>
            <c:bubble3D val="0"/>
            <c:spPr>
              <a:blipFill>
                <a:blip xmlns:r="http://schemas.openxmlformats.org/officeDocument/2006/relationships" r:embed="rId11"/>
                <a:stretch>
                  <a:fillRect/>
                </a:stretch>
              </a:blipFill>
              <a:ln>
                <a:noFill/>
              </a:ln>
              <a:effectLst/>
            </c:spPr>
            <c:extLst>
              <c:ext xmlns:c16="http://schemas.microsoft.com/office/drawing/2014/chart" uri="{C3380CC4-5D6E-409C-BE32-E72D297353CC}">
                <c16:uniqueId val="{00000015-4AD6-4CA6-ACDF-715A8DC1AE48}"/>
              </c:ext>
            </c:extLst>
          </c:dPt>
          <c:dPt>
            <c:idx val="2"/>
            <c:invertIfNegative val="0"/>
            <c:bubble3D val="0"/>
            <c:spPr>
              <a:blipFill>
                <a:blip xmlns:r="http://schemas.openxmlformats.org/officeDocument/2006/relationships" r:embed="rId12"/>
                <a:stretch>
                  <a:fillRect/>
                </a:stretch>
              </a:blipFill>
              <a:ln>
                <a:noFill/>
              </a:ln>
              <a:effectLst/>
            </c:spPr>
            <c:extLst>
              <c:ext xmlns:c16="http://schemas.microsoft.com/office/drawing/2014/chart" uri="{C3380CC4-5D6E-409C-BE32-E72D297353CC}">
                <c16:uniqueId val="{00000017-4AD6-4CA6-ACDF-715A8DC1AE48}"/>
              </c:ext>
            </c:extLst>
          </c:dPt>
          <c:dPt>
            <c:idx val="3"/>
            <c:invertIfNegative val="0"/>
            <c:bubble3D val="0"/>
            <c:spPr>
              <a:blipFill>
                <a:blip xmlns:r="http://schemas.openxmlformats.org/officeDocument/2006/relationships" r:embed="rId13"/>
                <a:stretch>
                  <a:fillRect/>
                </a:stretch>
              </a:blipFill>
              <a:ln>
                <a:noFill/>
              </a:ln>
              <a:effectLst/>
            </c:spPr>
            <c:extLst>
              <c:ext xmlns:c16="http://schemas.microsoft.com/office/drawing/2014/chart" uri="{C3380CC4-5D6E-409C-BE32-E72D297353CC}">
                <c16:uniqueId val="{00000019-4AD6-4CA6-ACDF-715A8DC1AE48}"/>
              </c:ext>
            </c:extLst>
          </c:dPt>
          <c:dPt>
            <c:idx val="4"/>
            <c:invertIfNegative val="0"/>
            <c:bubble3D val="0"/>
            <c:spPr>
              <a:blipFill>
                <a:blip xmlns:r="http://schemas.openxmlformats.org/officeDocument/2006/relationships" r:embed="rId14"/>
                <a:stretch>
                  <a:fillRect/>
                </a:stretch>
              </a:blipFill>
              <a:ln>
                <a:noFill/>
              </a:ln>
              <a:effectLst/>
            </c:spPr>
            <c:extLst>
              <c:ext xmlns:c16="http://schemas.microsoft.com/office/drawing/2014/chart" uri="{C3380CC4-5D6E-409C-BE32-E72D297353CC}">
                <c16:uniqueId val="{0000001B-4AD6-4CA6-ACDF-715A8DC1AE48}"/>
              </c:ext>
            </c:extLst>
          </c:dPt>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1C-4AD6-4CA6-ACDF-715A8DC1AE48}"/>
            </c:ext>
          </c:extLst>
        </c:ser>
        <c:ser>
          <c:idx val="1"/>
          <c:order val="3"/>
          <c:spPr>
            <a:solidFill>
              <a:srgbClr val="E7F3EE"/>
            </a:solidFill>
            <a:ln>
              <a:noFill/>
            </a:ln>
            <a:effectLst/>
          </c:spPr>
          <c:invertIfNegative val="0"/>
          <c:cat>
            <c:strRef>
              <c:f>Processing!$A$8:$A$12</c:f>
              <c:strCache>
                <c:ptCount val="5"/>
                <c:pt idx="0">
                  <c:v>Task 1</c:v>
                </c:pt>
                <c:pt idx="1">
                  <c:v>Task 2</c:v>
                </c:pt>
                <c:pt idx="2">
                  <c:v>Task 3</c:v>
                </c:pt>
                <c:pt idx="3">
                  <c:v>Task 4</c:v>
                </c:pt>
                <c:pt idx="4">
                  <c:v>Task 5</c:v>
                </c:pt>
              </c:strCache>
            </c:strRef>
          </c:cat>
          <c:val>
            <c:numRef>
              <c:f>Processing!$C$8:$C$12</c:f>
              <c:numCache>
                <c:formatCode>0%</c:formatCode>
                <c:ptCount val="5"/>
                <c:pt idx="0">
                  <c:v>0.95</c:v>
                </c:pt>
                <c:pt idx="1">
                  <c:v>0.79</c:v>
                </c:pt>
                <c:pt idx="2">
                  <c:v>0.87</c:v>
                </c:pt>
                <c:pt idx="3">
                  <c:v>0.84000000000000008</c:v>
                </c:pt>
                <c:pt idx="4">
                  <c:v>0.89</c:v>
                </c:pt>
              </c:numCache>
            </c:numRef>
          </c:val>
          <c:extLst>
            <c:ext xmlns:c16="http://schemas.microsoft.com/office/drawing/2014/chart" uri="{C3380CC4-5D6E-409C-BE32-E72D297353CC}">
              <c16:uniqueId val="{0000001D-4AD6-4CA6-ACDF-715A8DC1AE48}"/>
            </c:ext>
          </c:extLst>
        </c:ser>
        <c:ser>
          <c:idx val="4"/>
          <c:order val="4"/>
          <c:tx>
            <c:strRef>
              <c:f>Processing!$D$7</c:f>
              <c:strCache>
                <c:ptCount val="1"/>
                <c:pt idx="0">
                  <c:v>Indent</c:v>
                </c:pt>
              </c:strCache>
            </c:strRef>
          </c:tx>
          <c:spPr>
            <a:blipFill>
              <a:blip xmlns:r="http://schemas.openxmlformats.org/officeDocument/2006/relationships" r:embed="rId15"/>
              <a:stretch>
                <a:fillRect/>
              </a:stretch>
            </a:blipFill>
            <a:ln>
              <a:noFill/>
            </a:ln>
            <a:effectLst/>
          </c:spPr>
          <c:invertIfNegative val="0"/>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1E-4AD6-4CA6-ACDF-715A8DC1AE48}"/>
            </c:ext>
          </c:extLst>
        </c:ser>
        <c:dLbls>
          <c:showLegendKey val="0"/>
          <c:showVal val="0"/>
          <c:showCatName val="0"/>
          <c:showSerName val="0"/>
          <c:showPercent val="0"/>
          <c:showBubbleSize val="0"/>
        </c:dLbls>
        <c:gapWidth val="80"/>
        <c:overlap val="100"/>
        <c:axId val="1079036944"/>
        <c:axId val="1079033584"/>
      </c:barChart>
      <c:catAx>
        <c:axId val="107903694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079033584"/>
        <c:crosses val="autoZero"/>
        <c:auto val="1"/>
        <c:lblAlgn val="ctr"/>
        <c:lblOffset val="100"/>
        <c:noMultiLvlLbl val="0"/>
      </c:catAx>
      <c:valAx>
        <c:axId val="1079033584"/>
        <c:scaling>
          <c:orientation val="minMax"/>
        </c:scaling>
        <c:delete val="1"/>
        <c:axPos val="t"/>
        <c:numFmt formatCode="0%" sourceLinked="1"/>
        <c:majorTickMark val="none"/>
        <c:minorTickMark val="none"/>
        <c:tickLblPos val="nextTo"/>
        <c:crossAx val="107903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19050"/>
          </c:spPr>
          <c:dPt>
            <c:idx val="0"/>
            <c:bubble3D val="0"/>
            <c:spPr>
              <a:solidFill>
                <a:srgbClr val="006966"/>
              </a:solidFill>
              <a:ln w="19050">
                <a:solidFill>
                  <a:schemeClr val="lt1"/>
                </a:solidFill>
              </a:ln>
              <a:effectLst/>
            </c:spPr>
            <c:extLst>
              <c:ext xmlns:c16="http://schemas.microsoft.com/office/drawing/2014/chart" uri="{C3380CC4-5D6E-409C-BE32-E72D297353CC}">
                <c16:uniqueId val="{00000001-8BAE-487D-A47F-A1ADDCF86559}"/>
              </c:ext>
            </c:extLst>
          </c:dPt>
          <c:dPt>
            <c:idx val="1"/>
            <c:bubble3D val="0"/>
            <c:spPr>
              <a:solidFill>
                <a:srgbClr val="068275"/>
              </a:solidFill>
              <a:ln w="19050">
                <a:solidFill>
                  <a:schemeClr val="lt1"/>
                </a:solidFill>
              </a:ln>
              <a:effectLst/>
            </c:spPr>
            <c:extLst>
              <c:ext xmlns:c16="http://schemas.microsoft.com/office/drawing/2014/chart" uri="{C3380CC4-5D6E-409C-BE32-E72D297353CC}">
                <c16:uniqueId val="{00000003-8BAE-487D-A47F-A1ADDCF86559}"/>
              </c:ext>
            </c:extLst>
          </c:dPt>
          <c:val>
            <c:numRef>
              <c:f>Processing!$B$3:$C$3</c:f>
              <c:numCache>
                <c:formatCode>0%</c:formatCode>
                <c:ptCount val="2"/>
                <c:pt idx="0">
                  <c:v>0.16</c:v>
                </c:pt>
                <c:pt idx="1">
                  <c:v>0.84</c:v>
                </c:pt>
              </c:numCache>
            </c:numRef>
          </c:val>
          <c:extLst>
            <c:ext xmlns:c16="http://schemas.microsoft.com/office/drawing/2014/chart" uri="{C3380CC4-5D6E-409C-BE32-E72D297353CC}">
              <c16:uniqueId val="{00000004-8BAE-487D-A47F-A1ADDCF86559}"/>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Processing!$B$15</c:f>
          <c:strCache>
            <c:ptCount val="1"/>
            <c:pt idx="0">
              <c:v>Visitors &amp; Buyers</c:v>
            </c:pt>
          </c:strCache>
        </c:strRef>
      </c:tx>
      <c:overlay val="0"/>
      <c:spPr>
        <a:noFill/>
        <a:ln>
          <a:noFill/>
        </a:ln>
        <a:effectLst/>
      </c:spPr>
      <c:txPr>
        <a:bodyPr rot="0" spcFirstLastPara="1" vertOverflow="ellipsis" vert="horz" wrap="square" anchor="ctr" anchorCtr="1"/>
        <a:lstStyle/>
        <a:p>
          <a:pPr>
            <a:defRPr sz="1800" b="0" i="0" u="none" strike="noStrike" kern="1200" spc="0" baseline="0">
              <a:solidFill>
                <a:srgbClr val="297F73"/>
              </a:solidFill>
              <a:latin typeface="+mn-lt"/>
              <a:ea typeface="+mn-ea"/>
              <a:cs typeface="+mn-cs"/>
            </a:defRPr>
          </a:pPr>
          <a:endParaRPr lang="ru-RU"/>
        </a:p>
      </c:txPr>
    </c:title>
    <c:autoTitleDeleted val="0"/>
    <c:plotArea>
      <c:layout/>
      <c:areaChart>
        <c:grouping val="standard"/>
        <c:varyColors val="0"/>
        <c:ser>
          <c:idx val="2"/>
          <c:order val="2"/>
          <c:tx>
            <c:v>fill</c:v>
          </c:tx>
          <c:spPr>
            <a:gradFill>
              <a:gsLst>
                <a:gs pos="0">
                  <a:srgbClr val="006966">
                    <a:alpha val="5000"/>
                  </a:srgbClr>
                </a:gs>
                <a:gs pos="100000">
                  <a:schemeClr val="bg1">
                    <a:alpha val="64000"/>
                  </a:schemeClr>
                </a:gs>
              </a:gsLst>
              <a:lin ang="5400000" scaled="0"/>
            </a:gradFill>
            <a:ln>
              <a:noFill/>
            </a:ln>
            <a:effectLst/>
          </c:spPr>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Processing!$B$17:$B$28</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extLst>
            <c:ext xmlns:c16="http://schemas.microsoft.com/office/drawing/2014/chart" uri="{C3380CC4-5D6E-409C-BE32-E72D297353CC}">
              <c16:uniqueId val="{00000000-E78C-4CCA-B1D3-BDBEAB526921}"/>
            </c:ext>
          </c:extLst>
        </c:ser>
        <c:dLbls>
          <c:showLegendKey val="0"/>
          <c:showVal val="0"/>
          <c:showCatName val="0"/>
          <c:showSerName val="0"/>
          <c:showPercent val="0"/>
          <c:showBubbleSize val="0"/>
        </c:dLbls>
        <c:axId val="1985018368"/>
        <c:axId val="1985017888"/>
      </c:areaChart>
      <c:barChart>
        <c:barDir val="col"/>
        <c:grouping val="clustered"/>
        <c:varyColors val="0"/>
        <c:ser>
          <c:idx val="1"/>
          <c:order val="1"/>
          <c:tx>
            <c:strRef>
              <c:f>Processing!$C$16</c:f>
              <c:strCache>
                <c:ptCount val="1"/>
                <c:pt idx="0">
                  <c:v>Buyers</c:v>
                </c:pt>
              </c:strCache>
            </c:strRef>
          </c:tx>
          <c:spPr>
            <a:solidFill>
              <a:srgbClr val="95B1AF"/>
            </a:solidFill>
            <a:ln w="127000">
              <a:solidFill>
                <a:srgbClr val="95B1AF"/>
              </a:solidFill>
            </a:ln>
            <a:effectLst/>
          </c:spPr>
          <c:invertIfNegative val="0"/>
          <c:val>
            <c:numRef>
              <c:f>Processing!$C$17:$C$28</c:f>
              <c:numCache>
                <c:formatCode>General</c:formatCode>
                <c:ptCount val="12"/>
                <c:pt idx="0">
                  <c:v>4500</c:v>
                </c:pt>
                <c:pt idx="1">
                  <c:v>5311</c:v>
                </c:pt>
                <c:pt idx="2">
                  <c:v>6147</c:v>
                </c:pt>
                <c:pt idx="3">
                  <c:v>5256</c:v>
                </c:pt>
                <c:pt idx="4">
                  <c:v>4921</c:v>
                </c:pt>
                <c:pt idx="5">
                  <c:v>5070</c:v>
                </c:pt>
                <c:pt idx="6">
                  <c:v>4022</c:v>
                </c:pt>
                <c:pt idx="7">
                  <c:v>3462</c:v>
                </c:pt>
                <c:pt idx="8">
                  <c:v>2987</c:v>
                </c:pt>
                <c:pt idx="9">
                  <c:v>3020</c:v>
                </c:pt>
                <c:pt idx="10">
                  <c:v>3722</c:v>
                </c:pt>
                <c:pt idx="11">
                  <c:v>3750</c:v>
                </c:pt>
              </c:numCache>
            </c:numRef>
          </c:val>
          <c:extLst>
            <c:ext xmlns:c16="http://schemas.microsoft.com/office/drawing/2014/chart" uri="{C3380CC4-5D6E-409C-BE32-E72D297353CC}">
              <c16:uniqueId val="{00000001-E78C-4CCA-B1D3-BDBEAB526921}"/>
            </c:ext>
          </c:extLst>
        </c:ser>
        <c:ser>
          <c:idx val="4"/>
          <c:order val="4"/>
          <c:tx>
            <c:strRef>
              <c:f>Processing!$E$16</c:f>
              <c:strCache>
                <c:ptCount val="1"/>
                <c:pt idx="0">
                  <c:v>Cursor B</c:v>
                </c:pt>
              </c:strCache>
            </c:strRef>
          </c:tx>
          <c:spPr>
            <a:solidFill>
              <a:srgbClr val="297F73"/>
            </a:solidFill>
            <a:ln w="127000">
              <a:solidFill>
                <a:srgbClr val="297F73"/>
              </a:solidFill>
            </a:ln>
            <a:effectLst/>
          </c:spPr>
          <c:invertIfNegative val="0"/>
          <c:val>
            <c:numRef>
              <c:f>Processing!$E$17:$E$28</c:f>
              <c:numCache>
                <c:formatCode>General</c:formatCode>
                <c:ptCount val="12"/>
                <c:pt idx="0">
                  <c:v>4500</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2-E78C-4CCA-B1D3-BDBEAB526921}"/>
            </c:ext>
          </c:extLst>
        </c:ser>
        <c:dLbls>
          <c:showLegendKey val="0"/>
          <c:showVal val="0"/>
          <c:showCatName val="0"/>
          <c:showSerName val="0"/>
          <c:showPercent val="0"/>
          <c:showBubbleSize val="0"/>
        </c:dLbls>
        <c:gapWidth val="150"/>
        <c:overlap val="100"/>
        <c:axId val="1985018368"/>
        <c:axId val="1985017888"/>
      </c:barChart>
      <c:lineChart>
        <c:grouping val="standard"/>
        <c:varyColors val="0"/>
        <c:ser>
          <c:idx val="0"/>
          <c:order val="0"/>
          <c:tx>
            <c:strRef>
              <c:f>Processing!$B$16</c:f>
              <c:strCache>
                <c:ptCount val="1"/>
                <c:pt idx="0">
                  <c:v>Visitors</c:v>
                </c:pt>
              </c:strCache>
            </c:strRef>
          </c:tx>
          <c:spPr>
            <a:ln w="28575" cap="rnd">
              <a:solidFill>
                <a:schemeClr val="accent1"/>
              </a:solidFill>
              <a:round/>
            </a:ln>
            <a:effectLst>
              <a:outerShdw blurRad="50800" dist="38100" dir="5400000" algn="t" rotWithShape="0">
                <a:prstClr val="black">
                  <a:alpha val="40000"/>
                </a:prstClr>
              </a:outerShdw>
            </a:effectLst>
          </c:spPr>
          <c:marker>
            <c:symbol val="none"/>
          </c:marker>
          <c:val>
            <c:numRef>
              <c:f>Processing!$B$17:$B$28</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smooth val="1"/>
          <c:extLst>
            <c:ext xmlns:c16="http://schemas.microsoft.com/office/drawing/2014/chart" uri="{C3380CC4-5D6E-409C-BE32-E72D297353CC}">
              <c16:uniqueId val="{00000003-E78C-4CCA-B1D3-BDBEAB526921}"/>
            </c:ext>
          </c:extLst>
        </c:ser>
        <c:dLbls>
          <c:showLegendKey val="0"/>
          <c:showVal val="0"/>
          <c:showCatName val="0"/>
          <c:showSerName val="0"/>
          <c:showPercent val="0"/>
          <c:showBubbleSize val="0"/>
        </c:dLbls>
        <c:marker val="1"/>
        <c:smooth val="0"/>
        <c:axId val="1985018368"/>
        <c:axId val="1985017888"/>
      </c:lineChart>
      <c:scatterChart>
        <c:scatterStyle val="lineMarker"/>
        <c:varyColors val="0"/>
        <c:ser>
          <c:idx val="3"/>
          <c:order val="3"/>
          <c:tx>
            <c:strRef>
              <c:f>Processing!$D$16</c:f>
              <c:strCache>
                <c:ptCount val="1"/>
                <c:pt idx="0">
                  <c:v>Cursor V</c:v>
                </c:pt>
              </c:strCache>
            </c:strRef>
          </c:tx>
          <c:spPr>
            <a:ln w="25400" cap="rnd">
              <a:noFill/>
              <a:round/>
            </a:ln>
            <a:effectLst/>
          </c:spPr>
          <c:marker>
            <c:symbol val="circle"/>
            <c:size val="13"/>
            <c:spPr>
              <a:solidFill>
                <a:schemeClr val="bg1"/>
              </a:solidFill>
              <a:ln w="25400">
                <a:solidFill>
                  <a:srgbClr val="297F73"/>
                </a:solidFill>
              </a:ln>
              <a:effectLst/>
            </c:spPr>
          </c:marker>
          <c:errBars>
            <c:errDir val="y"/>
            <c:errBarType val="minus"/>
            <c:errValType val="cust"/>
            <c:noEndCap val="0"/>
            <c:plus>
              <c:numLit>
                <c:formatCode>General</c:formatCode>
                <c:ptCount val="1"/>
                <c:pt idx="0">
                  <c:v>1</c:v>
                </c:pt>
              </c:numLit>
            </c:plus>
            <c:minus>
              <c:numRef>
                <c:f>Processing!$D$17:$D$28</c:f>
                <c:numCache>
                  <c:formatCode>General</c:formatCode>
                  <c:ptCount val="12"/>
                  <c:pt idx="0">
                    <c:v>8333</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rgbClr val="297F73"/>
                </a:solidFill>
                <a:round/>
              </a:ln>
              <a:effectLst/>
            </c:spPr>
          </c:errBars>
          <c:yVal>
            <c:numRef>
              <c:f>Processing!$D$17:$D$28</c:f>
              <c:numCache>
                <c:formatCode>General</c:formatCode>
                <c:ptCount val="12"/>
                <c:pt idx="0">
                  <c:v>8333</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4-E78C-4CCA-B1D3-BDBEAB526921}"/>
            </c:ext>
          </c:extLst>
        </c:ser>
        <c:dLbls>
          <c:showLegendKey val="0"/>
          <c:showVal val="0"/>
          <c:showCatName val="0"/>
          <c:showSerName val="0"/>
          <c:showPercent val="0"/>
          <c:showBubbleSize val="0"/>
        </c:dLbls>
        <c:axId val="1985018368"/>
        <c:axId val="1985017888"/>
      </c:scatterChart>
      <c:catAx>
        <c:axId val="1985018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985017888"/>
        <c:crosses val="autoZero"/>
        <c:auto val="1"/>
        <c:lblAlgn val="ctr"/>
        <c:lblOffset val="100"/>
        <c:noMultiLvlLbl val="0"/>
      </c:catAx>
      <c:valAx>
        <c:axId val="1985017888"/>
        <c:scaling>
          <c:orientation val="minMax"/>
        </c:scaling>
        <c:delete val="0"/>
        <c:axPos val="l"/>
        <c:majorGridlines>
          <c:spPr>
            <a:ln w="9525" cap="flat" cmpd="sng" algn="ctr">
              <a:solidFill>
                <a:schemeClr val="tx1">
                  <a:lumMod val="15000"/>
                  <a:lumOff val="85000"/>
                </a:schemeClr>
              </a:solidFill>
              <a:round/>
            </a:ln>
            <a:effectLst/>
          </c:spPr>
        </c:majorGridlines>
        <c:numFmt formatCode="#\ ###\ ###"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crossAx val="198501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Processing!$H$15</c:f>
          <c:strCache>
            <c:ptCount val="1"/>
            <c:pt idx="0">
              <c:v>Profit Performance</c:v>
            </c:pt>
          </c:strCache>
        </c:strRef>
      </c:tx>
      <c:layout>
        <c:manualLayout>
          <c:xMode val="edge"/>
          <c:yMode val="edge"/>
          <c:x val="0.33081607411147623"/>
          <c:y val="1.543192917633833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297F73"/>
              </a:solidFill>
              <a:latin typeface="+mn-lt"/>
              <a:ea typeface="+mn-ea"/>
              <a:cs typeface="+mn-cs"/>
            </a:defRPr>
          </a:pPr>
          <a:endParaRPr lang="ru-RU"/>
        </a:p>
      </c:txPr>
    </c:title>
    <c:autoTitleDeleted val="0"/>
    <c:plotArea>
      <c:layout/>
      <c:barChart>
        <c:barDir val="col"/>
        <c:grouping val="stacked"/>
        <c:varyColors val="0"/>
        <c:ser>
          <c:idx val="1"/>
          <c:order val="1"/>
          <c:tx>
            <c:strRef>
              <c:f>Processing!$I$16</c:f>
              <c:strCache>
                <c:ptCount val="1"/>
                <c:pt idx="0">
                  <c:v>Plan</c:v>
                </c:pt>
              </c:strCache>
            </c:strRef>
          </c:tx>
          <c:spPr>
            <a:solidFill>
              <a:srgbClr val="329E8F"/>
            </a:solidFill>
            <a:ln>
              <a:noFill/>
            </a:ln>
            <a:effectLst/>
          </c:spPr>
          <c:invertIfNegative val="0"/>
          <c:cat>
            <c:strRef>
              <c:f>Processing!$G$17:$G$28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Processing!$I$17:$I$28</c:f>
              <c:numCache>
                <c:formatCode>General</c:formatCode>
                <c:ptCount val="12"/>
                <c:pt idx="0">
                  <c:v>8200</c:v>
                </c:pt>
                <c:pt idx="1">
                  <c:v>6700</c:v>
                </c:pt>
                <c:pt idx="2">
                  <c:v>6000</c:v>
                </c:pt>
                <c:pt idx="3">
                  <c:v>6200</c:v>
                </c:pt>
                <c:pt idx="4">
                  <c:v>7400</c:v>
                </c:pt>
                <c:pt idx="5">
                  <c:v>7900</c:v>
                </c:pt>
                <c:pt idx="6">
                  <c:v>7100</c:v>
                </c:pt>
                <c:pt idx="7">
                  <c:v>6500</c:v>
                </c:pt>
                <c:pt idx="8">
                  <c:v>7000</c:v>
                </c:pt>
                <c:pt idx="9">
                  <c:v>8100</c:v>
                </c:pt>
                <c:pt idx="10">
                  <c:v>8800</c:v>
                </c:pt>
                <c:pt idx="11">
                  <c:v>6969</c:v>
                </c:pt>
              </c:numCache>
            </c:numRef>
          </c:val>
          <c:extLst>
            <c:ext xmlns:c16="http://schemas.microsoft.com/office/drawing/2014/chart" uri="{C3380CC4-5D6E-409C-BE32-E72D297353CC}">
              <c16:uniqueId val="{00000000-2288-4973-9389-3103C9A4AC6E}"/>
            </c:ext>
          </c:extLst>
        </c:ser>
        <c:ser>
          <c:idx val="2"/>
          <c:order val="2"/>
          <c:tx>
            <c:strRef>
              <c:f>Processing!$J$16</c:f>
              <c:strCache>
                <c:ptCount val="1"/>
                <c:pt idx="0">
                  <c:v>Break-Even Point</c:v>
                </c:pt>
              </c:strCache>
            </c:strRef>
          </c:tx>
          <c:spPr>
            <a:solidFill>
              <a:srgbClr val="70D2C3"/>
            </a:solidFill>
            <a:ln>
              <a:noFill/>
            </a:ln>
            <a:effectLst/>
          </c:spPr>
          <c:invertIfNegative val="0"/>
          <c:cat>
            <c:strRef>
              <c:f>Processing!$G$17:$G$28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Processing!$J$17:$J$28</c:f>
              <c:numCache>
                <c:formatCode>General</c:formatCode>
                <c:ptCount val="12"/>
                <c:pt idx="0">
                  <c:v>5350</c:v>
                </c:pt>
                <c:pt idx="1">
                  <c:v>4100</c:v>
                </c:pt>
                <c:pt idx="2">
                  <c:v>4700</c:v>
                </c:pt>
                <c:pt idx="3">
                  <c:v>5200</c:v>
                </c:pt>
                <c:pt idx="4">
                  <c:v>5700</c:v>
                </c:pt>
                <c:pt idx="5">
                  <c:v>5250</c:v>
                </c:pt>
                <c:pt idx="6">
                  <c:v>5750</c:v>
                </c:pt>
                <c:pt idx="7">
                  <c:v>4800</c:v>
                </c:pt>
                <c:pt idx="8">
                  <c:v>5300</c:v>
                </c:pt>
                <c:pt idx="9">
                  <c:v>5000</c:v>
                </c:pt>
                <c:pt idx="10">
                  <c:v>5300</c:v>
                </c:pt>
                <c:pt idx="11">
                  <c:v>5151</c:v>
                </c:pt>
              </c:numCache>
            </c:numRef>
          </c:val>
          <c:extLst>
            <c:ext xmlns:c16="http://schemas.microsoft.com/office/drawing/2014/chart" uri="{C3380CC4-5D6E-409C-BE32-E72D297353CC}">
              <c16:uniqueId val="{00000001-2288-4973-9389-3103C9A4AC6E}"/>
            </c:ext>
          </c:extLst>
        </c:ser>
        <c:dLbls>
          <c:showLegendKey val="0"/>
          <c:showVal val="0"/>
          <c:showCatName val="0"/>
          <c:showSerName val="0"/>
          <c:showPercent val="0"/>
          <c:showBubbleSize val="0"/>
        </c:dLbls>
        <c:gapWidth val="50"/>
        <c:overlap val="100"/>
        <c:axId val="1866149120"/>
        <c:axId val="1866168800"/>
      </c:barChart>
      <c:barChart>
        <c:barDir val="col"/>
        <c:grouping val="clustered"/>
        <c:varyColors val="0"/>
        <c:ser>
          <c:idx val="0"/>
          <c:order val="0"/>
          <c:tx>
            <c:strRef>
              <c:f>Processing!$H$16</c:f>
              <c:strCache>
                <c:ptCount val="1"/>
                <c:pt idx="0">
                  <c:v>Profit</c:v>
                </c:pt>
              </c:strCache>
            </c:strRef>
          </c:tx>
          <c:spPr>
            <a:solidFill>
              <a:schemeClr val="accent3">
                <a:lumMod val="20000"/>
                <a:lumOff val="80000"/>
              </a:schemeClr>
            </a:solidFill>
            <a:ln>
              <a:noFill/>
            </a:ln>
            <a:effectLst>
              <a:outerShdw blurRad="50800" dist="38100" dir="2700000" algn="tl" rotWithShape="0">
                <a:prstClr val="black">
                  <a:alpha val="40000"/>
                </a:prstClr>
              </a:outerShdw>
            </a:effectLst>
          </c:spPr>
          <c:invertIfNegative val="0"/>
          <c:cat>
            <c:strRef>
              <c:f>Processing!$G$17:$G$28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Processing!$H$17:$H$28</c:f>
              <c:numCache>
                <c:formatCode>General</c:formatCode>
                <c:ptCount val="12"/>
                <c:pt idx="0">
                  <c:v>5000</c:v>
                </c:pt>
                <c:pt idx="1">
                  <c:v>5900</c:v>
                </c:pt>
                <c:pt idx="2">
                  <c:v>7300</c:v>
                </c:pt>
                <c:pt idx="3">
                  <c:v>9000</c:v>
                </c:pt>
                <c:pt idx="4">
                  <c:v>10100</c:v>
                </c:pt>
                <c:pt idx="5">
                  <c:v>11100</c:v>
                </c:pt>
                <c:pt idx="6">
                  <c:v>10900</c:v>
                </c:pt>
                <c:pt idx="7">
                  <c:v>9800</c:v>
                </c:pt>
                <c:pt idx="8">
                  <c:v>8200</c:v>
                </c:pt>
                <c:pt idx="9">
                  <c:v>6700</c:v>
                </c:pt>
                <c:pt idx="10">
                  <c:v>5450</c:v>
                </c:pt>
                <c:pt idx="11">
                  <c:v>8181</c:v>
                </c:pt>
              </c:numCache>
            </c:numRef>
          </c:val>
          <c:extLst>
            <c:ext xmlns:c16="http://schemas.microsoft.com/office/drawing/2014/chart" uri="{C3380CC4-5D6E-409C-BE32-E72D297353CC}">
              <c16:uniqueId val="{00000002-2288-4973-9389-3103C9A4AC6E}"/>
            </c:ext>
          </c:extLst>
        </c:ser>
        <c:ser>
          <c:idx val="4"/>
          <c:order val="4"/>
          <c:tx>
            <c:strRef>
              <c:f>Processing!$L$16</c:f>
              <c:strCache>
                <c:ptCount val="1"/>
                <c:pt idx="0">
                  <c:v>Cursor</c:v>
                </c:pt>
              </c:strCache>
            </c:strRef>
          </c:tx>
          <c:spPr>
            <a:solidFill>
              <a:srgbClr val="9FE1D8"/>
            </a:solidFill>
            <a:ln w="9525">
              <a:solidFill>
                <a:srgbClr val="297F73"/>
              </a:solidFill>
            </a:ln>
            <a:effectLst/>
          </c:spPr>
          <c:invertIfNegative val="0"/>
          <c:val>
            <c:numRef>
              <c:f>Processing!$L$17:$L$28</c:f>
              <c:numCache>
                <c:formatCode>General</c:formatCode>
                <c:ptCount val="12"/>
                <c:pt idx="0">
                  <c:v>5000</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2288-4973-9389-3103C9A4AC6E}"/>
            </c:ext>
          </c:extLst>
        </c:ser>
        <c:dLbls>
          <c:showLegendKey val="0"/>
          <c:showVal val="0"/>
          <c:showCatName val="0"/>
          <c:showSerName val="0"/>
          <c:showPercent val="0"/>
          <c:showBubbleSize val="0"/>
        </c:dLbls>
        <c:gapWidth val="250"/>
        <c:overlap val="100"/>
        <c:axId val="1916971680"/>
        <c:axId val="1916965440"/>
      </c:barChart>
      <c:lineChart>
        <c:grouping val="standard"/>
        <c:varyColors val="0"/>
        <c:dLbls>
          <c:showLegendKey val="0"/>
          <c:showVal val="0"/>
          <c:showCatName val="0"/>
          <c:showSerName val="0"/>
          <c:showPercent val="0"/>
          <c:showBubbleSize val="0"/>
        </c:dLbls>
        <c:marker val="1"/>
        <c:smooth val="0"/>
        <c:axId val="1866149120"/>
        <c:axId val="1866168800"/>
        <c:extLst>
          <c:ext xmlns:c15="http://schemas.microsoft.com/office/drawing/2012/chart" uri="{02D57815-91ED-43cb-92C2-25804820EDAC}">
            <c15:filteredLineSeries>
              <c15:ser>
                <c:idx val="3"/>
                <c:order val="3"/>
                <c:tx>
                  <c:strRef>
                    <c:extLst>
                      <c:ext uri="{02D57815-91ED-43cb-92C2-25804820EDAC}">
                        <c15:formulaRef>
                          <c15:sqref>Processing!$K$16</c15:sqref>
                        </c15:formulaRef>
                      </c:ext>
                    </c:extLst>
                    <c:strCache>
                      <c:ptCount val="1"/>
                      <c:pt idx="0">
                        <c:v>Debt</c:v>
                      </c:pt>
                    </c:strCache>
                  </c:strRef>
                </c:tx>
                <c:spPr>
                  <a:ln w="28575" cap="rnd">
                    <a:noFill/>
                    <a:round/>
                  </a:ln>
                  <a:effectLst/>
                </c:spPr>
                <c:marker>
                  <c:symbol val="dash"/>
                  <c:size val="37"/>
                  <c:spPr>
                    <a:solidFill>
                      <a:srgbClr val="00C9AD"/>
                    </a:solidFill>
                    <a:ln w="9525">
                      <a:noFill/>
                    </a:ln>
                    <a:effectLst/>
                  </c:spPr>
                </c:marker>
                <c:cat>
                  <c:strRef>
                    <c:extLst>
                      <c:ext uri="{02D57815-91ED-43cb-92C2-25804820EDAC}">
                        <c15:formulaRef>
                          <c15:sqref>Processing!$G$17:$G$28</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Processing!$K$17:$K$28</c15:sqref>
                        </c15:formulaRef>
                      </c:ext>
                    </c:extLst>
                    <c:numCache>
                      <c:formatCode>General</c:formatCode>
                      <c:ptCount val="12"/>
                      <c:pt idx="0">
                        <c:v>7600</c:v>
                      </c:pt>
                      <c:pt idx="1">
                        <c:v>6900</c:v>
                      </c:pt>
                      <c:pt idx="2">
                        <c:v>6100</c:v>
                      </c:pt>
                      <c:pt idx="3">
                        <c:v>6400</c:v>
                      </c:pt>
                      <c:pt idx="4">
                        <c:v>7300</c:v>
                      </c:pt>
                      <c:pt idx="5">
                        <c:v>7800</c:v>
                      </c:pt>
                      <c:pt idx="6">
                        <c:v>7400</c:v>
                      </c:pt>
                      <c:pt idx="7">
                        <c:v>6800</c:v>
                      </c:pt>
                      <c:pt idx="8">
                        <c:v>7200</c:v>
                      </c:pt>
                      <c:pt idx="9">
                        <c:v>8000</c:v>
                      </c:pt>
                      <c:pt idx="10">
                        <c:v>7700</c:v>
                      </c:pt>
                      <c:pt idx="11">
                        <c:v>7171</c:v>
                      </c:pt>
                    </c:numCache>
                  </c:numRef>
                </c:val>
                <c:smooth val="0"/>
                <c:extLst>
                  <c:ext xmlns:c16="http://schemas.microsoft.com/office/drawing/2014/chart" uri="{C3380CC4-5D6E-409C-BE32-E72D297353CC}">
                    <c16:uniqueId val="{00000004-2288-4973-9389-3103C9A4AC6E}"/>
                  </c:ext>
                </c:extLst>
              </c15:ser>
            </c15:filteredLineSeries>
          </c:ext>
        </c:extLst>
      </c:lineChart>
      <c:catAx>
        <c:axId val="18661491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66168800"/>
        <c:crosses val="autoZero"/>
        <c:auto val="1"/>
        <c:lblAlgn val="ctr"/>
        <c:lblOffset val="100"/>
        <c:noMultiLvlLbl val="0"/>
      </c:catAx>
      <c:valAx>
        <c:axId val="1866168800"/>
        <c:scaling>
          <c:orientation val="minMax"/>
        </c:scaling>
        <c:delete val="1"/>
        <c:axPos val="l"/>
        <c:numFmt formatCode="General" sourceLinked="1"/>
        <c:majorTickMark val="none"/>
        <c:minorTickMark val="none"/>
        <c:tickLblPos val="nextTo"/>
        <c:crossAx val="1866149120"/>
        <c:crosses val="autoZero"/>
        <c:crossBetween val="between"/>
      </c:valAx>
      <c:valAx>
        <c:axId val="1916965440"/>
        <c:scaling>
          <c:orientation val="minMax"/>
        </c:scaling>
        <c:delete val="1"/>
        <c:axPos val="r"/>
        <c:numFmt formatCode="General" sourceLinked="1"/>
        <c:majorTickMark val="out"/>
        <c:minorTickMark val="none"/>
        <c:tickLblPos val="nextTo"/>
        <c:crossAx val="1916971680"/>
        <c:crosses val="max"/>
        <c:crossBetween val="between"/>
      </c:valAx>
      <c:catAx>
        <c:axId val="1916971680"/>
        <c:scaling>
          <c:orientation val="minMax"/>
        </c:scaling>
        <c:delete val="1"/>
        <c:axPos val="b"/>
        <c:numFmt formatCode="General" sourceLinked="1"/>
        <c:majorTickMark val="out"/>
        <c:minorTickMark val="none"/>
        <c:tickLblPos val="nextTo"/>
        <c:crossAx val="19169654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Processing!$A$3</c:f>
          <c:strCache>
            <c:ptCount val="1"/>
            <c:pt idx="0">
              <c:v>Conversion</c:v>
            </c:pt>
          </c:strCache>
        </c:strRef>
      </c:tx>
      <c:overlay val="0"/>
      <c:spPr>
        <a:noFill/>
        <a:ln>
          <a:noFill/>
        </a:ln>
        <a:effectLst/>
      </c:spPr>
      <c:txPr>
        <a:bodyPr rot="0" spcFirstLastPara="1" vertOverflow="ellipsis" vert="horz" wrap="square" anchor="ctr" anchorCtr="1"/>
        <a:lstStyle/>
        <a:p>
          <a:pPr>
            <a:defRPr sz="1800" b="0" i="0" u="none" strike="noStrike" kern="1200" spc="0" baseline="0">
              <a:solidFill>
                <a:srgbClr val="297F73"/>
              </a:solidFill>
              <a:latin typeface="+mn-lt"/>
              <a:ea typeface="+mn-ea"/>
              <a:cs typeface="+mn-cs"/>
            </a:defRPr>
          </a:pPr>
          <a:endParaRPr lang="ru-RU"/>
        </a:p>
      </c:txPr>
    </c:title>
    <c:autoTitleDeleted val="0"/>
    <c:plotArea>
      <c:layout/>
      <c:doughnutChart>
        <c:varyColors val="1"/>
        <c:ser>
          <c:idx val="0"/>
          <c:order val="0"/>
          <c:spPr>
            <a:solidFill>
              <a:srgbClr val="006966"/>
            </a:solidFill>
            <a:effectLst>
              <a:outerShdw blurRad="50800" dist="88900" dir="8100000" algn="tr" rotWithShape="0">
                <a:prstClr val="black">
                  <a:alpha val="40000"/>
                </a:prstClr>
              </a:outerShdw>
            </a:effectLst>
          </c:spPr>
          <c:dPt>
            <c:idx val="0"/>
            <c:bubble3D val="0"/>
            <c:spPr>
              <a:solidFill>
                <a:srgbClr val="006966"/>
              </a:solidFill>
              <a:ln w="19050">
                <a:solidFill>
                  <a:schemeClr val="lt1"/>
                </a:solidFill>
              </a:ln>
              <a:effectLst>
                <a:outerShdw blurRad="50800" dist="88900" dir="8100000" algn="tr" rotWithShape="0">
                  <a:prstClr val="black">
                    <a:alpha val="40000"/>
                  </a:prstClr>
                </a:outerShdw>
              </a:effectLst>
            </c:spPr>
            <c:extLst>
              <c:ext xmlns:c16="http://schemas.microsoft.com/office/drawing/2014/chart" uri="{C3380CC4-5D6E-409C-BE32-E72D297353CC}">
                <c16:uniqueId val="{00000001-7B10-4DB8-8558-C65079086E4B}"/>
              </c:ext>
            </c:extLst>
          </c:dPt>
          <c:dPt>
            <c:idx val="1"/>
            <c:bubble3D val="0"/>
            <c:spPr>
              <a:solidFill>
                <a:srgbClr val="70D2C3"/>
              </a:solidFill>
              <a:ln w="19050">
                <a:solidFill>
                  <a:schemeClr val="lt1"/>
                </a:solidFill>
              </a:ln>
              <a:effectLst>
                <a:outerShdw blurRad="50800" dist="88900" dir="8100000" algn="tr" rotWithShape="0">
                  <a:prstClr val="black">
                    <a:alpha val="40000"/>
                  </a:prstClr>
                </a:outerShdw>
              </a:effectLst>
            </c:spPr>
            <c:extLst>
              <c:ext xmlns:c16="http://schemas.microsoft.com/office/drawing/2014/chart" uri="{C3380CC4-5D6E-409C-BE32-E72D297353CC}">
                <c16:uniqueId val="{00000003-7B10-4DB8-8558-C65079086E4B}"/>
              </c:ext>
            </c:extLst>
          </c:dPt>
          <c:val>
            <c:numRef>
              <c:f>Processing!$B$3:$C$3</c:f>
              <c:numCache>
                <c:formatCode>0%</c:formatCode>
                <c:ptCount val="2"/>
                <c:pt idx="0">
                  <c:v>0.16</c:v>
                </c:pt>
                <c:pt idx="1">
                  <c:v>0.84</c:v>
                </c:pt>
              </c:numCache>
            </c:numRef>
          </c:val>
          <c:extLst>
            <c:ext xmlns:c16="http://schemas.microsoft.com/office/drawing/2014/chart" uri="{C3380CC4-5D6E-409C-BE32-E72D297353CC}">
              <c16:uniqueId val="{00000004-7B10-4DB8-8558-C65079086E4B}"/>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9FE1D8"/>
              </a:solidFill>
            </a:ln>
          </c:spPr>
          <c:dPt>
            <c:idx val="0"/>
            <c:bubble3D val="0"/>
            <c:spPr>
              <a:noFill/>
              <a:ln w="9525">
                <a:solidFill>
                  <a:srgbClr val="9FE1D8"/>
                </a:solidFill>
              </a:ln>
              <a:effectLst/>
            </c:spPr>
            <c:extLst>
              <c:ext xmlns:c16="http://schemas.microsoft.com/office/drawing/2014/chart" uri="{C3380CC4-5D6E-409C-BE32-E72D297353CC}">
                <c16:uniqueId val="{00000001-7AC5-4B6E-8296-7A4BDCA83AC7}"/>
              </c:ext>
            </c:extLst>
          </c:dPt>
          <c:dPt>
            <c:idx val="1"/>
            <c:bubble3D val="0"/>
            <c:spPr>
              <a:noFill/>
              <a:ln w="9525">
                <a:solidFill>
                  <a:srgbClr val="9FE1D8"/>
                </a:solidFill>
              </a:ln>
              <a:effectLst/>
            </c:spPr>
            <c:extLst>
              <c:ext xmlns:c16="http://schemas.microsoft.com/office/drawing/2014/chart" uri="{C3380CC4-5D6E-409C-BE32-E72D297353CC}">
                <c16:uniqueId val="{00000003-7AC5-4B6E-8296-7A4BDCA83AC7}"/>
              </c:ext>
            </c:extLst>
          </c:dPt>
          <c:dPt>
            <c:idx val="2"/>
            <c:bubble3D val="0"/>
            <c:spPr>
              <a:noFill/>
              <a:ln w="9525">
                <a:solidFill>
                  <a:srgbClr val="9FE1D8"/>
                </a:solidFill>
              </a:ln>
              <a:effectLst/>
            </c:spPr>
            <c:extLst>
              <c:ext xmlns:c16="http://schemas.microsoft.com/office/drawing/2014/chart" uri="{C3380CC4-5D6E-409C-BE32-E72D297353CC}">
                <c16:uniqueId val="{00000005-7AC5-4B6E-8296-7A4BDCA83AC7}"/>
              </c:ext>
            </c:extLst>
          </c:dPt>
          <c:dPt>
            <c:idx val="3"/>
            <c:bubble3D val="0"/>
            <c:spPr>
              <a:noFill/>
              <a:ln w="9525">
                <a:solidFill>
                  <a:srgbClr val="9FE1D8"/>
                </a:solidFill>
              </a:ln>
              <a:effectLst/>
            </c:spPr>
            <c:extLst>
              <c:ext xmlns:c16="http://schemas.microsoft.com/office/drawing/2014/chart" uri="{C3380CC4-5D6E-409C-BE32-E72D297353CC}">
                <c16:uniqueId val="{00000007-7AC5-4B6E-8296-7A4BDCA83AC7}"/>
              </c:ext>
            </c:extLst>
          </c:dPt>
          <c:dPt>
            <c:idx val="4"/>
            <c:bubble3D val="0"/>
            <c:spPr>
              <a:noFill/>
              <a:ln w="9525">
                <a:solidFill>
                  <a:srgbClr val="9FE1D8"/>
                </a:solidFill>
              </a:ln>
              <a:effectLst/>
            </c:spPr>
            <c:extLst>
              <c:ext xmlns:c16="http://schemas.microsoft.com/office/drawing/2014/chart" uri="{C3380CC4-5D6E-409C-BE32-E72D297353CC}">
                <c16:uniqueId val="{00000009-7AC5-4B6E-8296-7A4BDCA83AC7}"/>
              </c:ext>
            </c:extLst>
          </c:dPt>
          <c:val>
            <c:numRef>
              <c:f>Processing!$F$1:$J$1</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7AC5-4B6E-8296-7A4BDCA83AC7}"/>
            </c:ext>
          </c:extLst>
        </c:ser>
        <c:ser>
          <c:idx val="1"/>
          <c:order val="1"/>
          <c:spPr>
            <a:noFill/>
            <a:ln w="9525">
              <a:solidFill>
                <a:srgbClr val="9FE1D8"/>
              </a:solidFill>
            </a:ln>
          </c:spPr>
          <c:dPt>
            <c:idx val="0"/>
            <c:bubble3D val="0"/>
            <c:spPr>
              <a:noFill/>
              <a:ln w="9525">
                <a:solidFill>
                  <a:srgbClr val="9FE1D8"/>
                </a:solidFill>
              </a:ln>
              <a:effectLst/>
            </c:spPr>
            <c:extLst>
              <c:ext xmlns:c16="http://schemas.microsoft.com/office/drawing/2014/chart" uri="{C3380CC4-5D6E-409C-BE32-E72D297353CC}">
                <c16:uniqueId val="{0000000C-7AC5-4B6E-8296-7A4BDCA83AC7}"/>
              </c:ext>
            </c:extLst>
          </c:dPt>
          <c:dPt>
            <c:idx val="1"/>
            <c:bubble3D val="0"/>
            <c:spPr>
              <a:noFill/>
              <a:ln w="9525">
                <a:solidFill>
                  <a:srgbClr val="9FE1D8"/>
                </a:solidFill>
              </a:ln>
              <a:effectLst/>
            </c:spPr>
            <c:extLst>
              <c:ext xmlns:c16="http://schemas.microsoft.com/office/drawing/2014/chart" uri="{C3380CC4-5D6E-409C-BE32-E72D297353CC}">
                <c16:uniqueId val="{0000000E-7AC5-4B6E-8296-7A4BDCA83AC7}"/>
              </c:ext>
            </c:extLst>
          </c:dPt>
          <c:dPt>
            <c:idx val="2"/>
            <c:bubble3D val="0"/>
            <c:spPr>
              <a:noFill/>
              <a:ln w="9525">
                <a:solidFill>
                  <a:srgbClr val="9FE1D8"/>
                </a:solidFill>
              </a:ln>
              <a:effectLst/>
            </c:spPr>
            <c:extLst>
              <c:ext xmlns:c16="http://schemas.microsoft.com/office/drawing/2014/chart" uri="{C3380CC4-5D6E-409C-BE32-E72D297353CC}">
                <c16:uniqueId val="{00000010-7AC5-4B6E-8296-7A4BDCA83AC7}"/>
              </c:ext>
            </c:extLst>
          </c:dPt>
          <c:dPt>
            <c:idx val="3"/>
            <c:bubble3D val="0"/>
            <c:spPr>
              <a:noFill/>
              <a:ln w="9525">
                <a:solidFill>
                  <a:srgbClr val="9FE1D8"/>
                </a:solidFill>
              </a:ln>
              <a:effectLst/>
            </c:spPr>
            <c:extLst>
              <c:ext xmlns:c16="http://schemas.microsoft.com/office/drawing/2014/chart" uri="{C3380CC4-5D6E-409C-BE32-E72D297353CC}">
                <c16:uniqueId val="{00000012-7AC5-4B6E-8296-7A4BDCA83AC7}"/>
              </c:ext>
            </c:extLst>
          </c:dPt>
          <c:dPt>
            <c:idx val="4"/>
            <c:bubble3D val="0"/>
            <c:spPr>
              <a:noFill/>
              <a:ln w="9525">
                <a:solidFill>
                  <a:srgbClr val="9FE1D8"/>
                </a:solidFill>
              </a:ln>
              <a:effectLst/>
            </c:spPr>
            <c:extLst>
              <c:ext xmlns:c16="http://schemas.microsoft.com/office/drawing/2014/chart" uri="{C3380CC4-5D6E-409C-BE32-E72D297353CC}">
                <c16:uniqueId val="{00000014-7AC5-4B6E-8296-7A4BDCA83AC7}"/>
              </c:ext>
            </c:extLst>
          </c:dPt>
          <c:val>
            <c:numRef>
              <c:f>Processing!$F$2:$J$2</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7AC5-4B6E-8296-7A4BDCA83AC7}"/>
            </c:ext>
          </c:extLst>
        </c:ser>
        <c:ser>
          <c:idx val="2"/>
          <c:order val="2"/>
          <c:spPr>
            <a:noFill/>
            <a:ln w="9525">
              <a:solidFill>
                <a:srgbClr val="9FE1D8"/>
              </a:solidFill>
            </a:ln>
          </c:spPr>
          <c:dPt>
            <c:idx val="0"/>
            <c:bubble3D val="0"/>
            <c:spPr>
              <a:noFill/>
              <a:ln w="9525">
                <a:solidFill>
                  <a:srgbClr val="9FE1D8"/>
                </a:solidFill>
              </a:ln>
              <a:effectLst/>
            </c:spPr>
            <c:extLst>
              <c:ext xmlns:c16="http://schemas.microsoft.com/office/drawing/2014/chart" uri="{C3380CC4-5D6E-409C-BE32-E72D297353CC}">
                <c16:uniqueId val="{00000017-7AC5-4B6E-8296-7A4BDCA83AC7}"/>
              </c:ext>
            </c:extLst>
          </c:dPt>
          <c:dPt>
            <c:idx val="1"/>
            <c:bubble3D val="0"/>
            <c:spPr>
              <a:noFill/>
              <a:ln w="9525">
                <a:solidFill>
                  <a:srgbClr val="9FE1D8"/>
                </a:solidFill>
              </a:ln>
              <a:effectLst/>
            </c:spPr>
            <c:extLst>
              <c:ext xmlns:c16="http://schemas.microsoft.com/office/drawing/2014/chart" uri="{C3380CC4-5D6E-409C-BE32-E72D297353CC}">
                <c16:uniqueId val="{00000019-7AC5-4B6E-8296-7A4BDCA83AC7}"/>
              </c:ext>
            </c:extLst>
          </c:dPt>
          <c:dPt>
            <c:idx val="2"/>
            <c:bubble3D val="0"/>
            <c:spPr>
              <a:noFill/>
              <a:ln w="9525">
                <a:solidFill>
                  <a:srgbClr val="9FE1D8"/>
                </a:solidFill>
              </a:ln>
              <a:effectLst/>
            </c:spPr>
            <c:extLst>
              <c:ext xmlns:c16="http://schemas.microsoft.com/office/drawing/2014/chart" uri="{C3380CC4-5D6E-409C-BE32-E72D297353CC}">
                <c16:uniqueId val="{0000001B-7AC5-4B6E-8296-7A4BDCA83AC7}"/>
              </c:ext>
            </c:extLst>
          </c:dPt>
          <c:dPt>
            <c:idx val="3"/>
            <c:bubble3D val="0"/>
            <c:spPr>
              <a:noFill/>
              <a:ln w="9525">
                <a:solidFill>
                  <a:srgbClr val="9FE1D8"/>
                </a:solidFill>
              </a:ln>
              <a:effectLst/>
            </c:spPr>
            <c:extLst>
              <c:ext xmlns:c16="http://schemas.microsoft.com/office/drawing/2014/chart" uri="{C3380CC4-5D6E-409C-BE32-E72D297353CC}">
                <c16:uniqueId val="{0000001D-7AC5-4B6E-8296-7A4BDCA83AC7}"/>
              </c:ext>
            </c:extLst>
          </c:dPt>
          <c:dPt>
            <c:idx val="4"/>
            <c:bubble3D val="0"/>
            <c:spPr>
              <a:noFill/>
              <a:ln w="9525">
                <a:solidFill>
                  <a:srgbClr val="9FE1D8"/>
                </a:solidFill>
              </a:ln>
              <a:effectLst/>
            </c:spPr>
            <c:extLst>
              <c:ext xmlns:c16="http://schemas.microsoft.com/office/drawing/2014/chart" uri="{C3380CC4-5D6E-409C-BE32-E72D297353CC}">
                <c16:uniqueId val="{0000001F-7AC5-4B6E-8296-7A4BDCA83AC7}"/>
              </c:ext>
            </c:extLst>
          </c:dPt>
          <c:val>
            <c:numRef>
              <c:f>Processing!$F$3:$J$3</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7AC5-4B6E-8296-7A4BDCA83AC7}"/>
            </c:ext>
          </c:extLst>
        </c:ser>
        <c:dLbls>
          <c:showLegendKey val="0"/>
          <c:showVal val="0"/>
          <c:showCatName val="0"/>
          <c:showSerName val="0"/>
          <c:showPercent val="0"/>
          <c:showBubbleSize val="0"/>
          <c:showLeaderLines val="1"/>
        </c:dLbls>
        <c:firstSliceAng val="0"/>
        <c:holeSize val="2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Processing!$F$6</c:f>
          <c:strCache>
            <c:ptCount val="1"/>
            <c:pt idx="0">
              <c:v>Funding Sources by Tasks</c:v>
            </c:pt>
          </c:strCache>
        </c:strRef>
      </c:tx>
      <c:overlay val="0"/>
      <c:txPr>
        <a:bodyPr/>
        <a:lstStyle/>
        <a:p>
          <a:pPr>
            <a:defRPr b="0">
              <a:solidFill>
                <a:srgbClr val="297F73"/>
              </a:solidFill>
            </a:defRPr>
          </a:pPr>
          <a:endParaRPr lang="ru-RU"/>
        </a:p>
      </c:txPr>
    </c:title>
    <c:autoTitleDeleted val="0"/>
    <c:plotArea>
      <c:layout/>
      <c:radarChart>
        <c:radarStyle val="filled"/>
        <c:varyColors val="0"/>
        <c:ser>
          <c:idx val="0"/>
          <c:order val="0"/>
          <c:spPr>
            <a:gradFill>
              <a:gsLst>
                <a:gs pos="14000">
                  <a:srgbClr val="9FE1D8">
                    <a:alpha val="12000"/>
                  </a:srgbClr>
                </a:gs>
                <a:gs pos="100000">
                  <a:srgbClr val="70D2C3">
                    <a:alpha val="85000"/>
                  </a:srgbClr>
                </a:gs>
              </a:gsLst>
              <a:lin ang="12000000" scaled="0"/>
            </a:gradFill>
            <a:ln w="9525">
              <a:solidFill>
                <a:srgbClr val="297F73"/>
              </a:solidFill>
            </a:ln>
            <a:effectLst/>
          </c:spPr>
          <c:cat>
            <c:strRef>
              <c:f>Processing!$F$8:$F$12</c:f>
              <c:strCache>
                <c:ptCount val="5"/>
                <c:pt idx="0">
                  <c:v>Task 1</c:v>
                </c:pt>
                <c:pt idx="1">
                  <c:v>Task 2</c:v>
                </c:pt>
                <c:pt idx="2">
                  <c:v>Task 3</c:v>
                </c:pt>
                <c:pt idx="3">
                  <c:v>Task 4</c:v>
                </c:pt>
                <c:pt idx="4">
                  <c:v>Task 5</c:v>
                </c:pt>
              </c:strCache>
            </c:strRef>
          </c:cat>
          <c:val>
            <c:numRef>
              <c:f>Processing!$G$8:$G$12</c:f>
              <c:numCache>
                <c:formatCode>General</c:formatCode>
                <c:ptCount val="5"/>
                <c:pt idx="0">
                  <c:v>36741</c:v>
                </c:pt>
                <c:pt idx="1">
                  <c:v>24078</c:v>
                </c:pt>
                <c:pt idx="2">
                  <c:v>15139</c:v>
                </c:pt>
                <c:pt idx="3">
                  <c:v>29492</c:v>
                </c:pt>
                <c:pt idx="4">
                  <c:v>45372</c:v>
                </c:pt>
              </c:numCache>
            </c:numRef>
          </c:val>
          <c:extLst>
            <c:ext xmlns:c16="http://schemas.microsoft.com/office/drawing/2014/chart" uri="{C3380CC4-5D6E-409C-BE32-E72D297353CC}">
              <c16:uniqueId val="{00000000-59C1-4419-ABF2-D0F0891B66E0}"/>
            </c:ext>
          </c:extLst>
        </c:ser>
        <c:ser>
          <c:idx val="1"/>
          <c:order val="1"/>
          <c:spPr>
            <a:gradFill>
              <a:gsLst>
                <a:gs pos="20000">
                  <a:srgbClr val="F181F2">
                    <a:alpha val="50000"/>
                  </a:srgbClr>
                </a:gs>
                <a:gs pos="100000">
                  <a:srgbClr val="F181F2">
                    <a:alpha val="50000"/>
                  </a:srgbClr>
                </a:gs>
              </a:gsLst>
              <a:lin ang="12000000" scaled="0"/>
            </a:gradFill>
            <a:ln w="9525">
              <a:solidFill>
                <a:srgbClr val="9482D7"/>
              </a:solidFill>
            </a:ln>
            <a:effectLst/>
          </c:spPr>
          <c:cat>
            <c:strRef>
              <c:f>Processing!$F$8:$F$12</c:f>
              <c:strCache>
                <c:ptCount val="5"/>
                <c:pt idx="0">
                  <c:v>Task 1</c:v>
                </c:pt>
                <c:pt idx="1">
                  <c:v>Task 2</c:v>
                </c:pt>
                <c:pt idx="2">
                  <c:v>Task 3</c:v>
                </c:pt>
                <c:pt idx="3">
                  <c:v>Task 4</c:v>
                </c:pt>
                <c:pt idx="4">
                  <c:v>Task 5</c:v>
                </c:pt>
              </c:strCache>
            </c:strRef>
          </c:cat>
          <c:val>
            <c:numRef>
              <c:f>Processing!$H$8:$H$12</c:f>
              <c:numCache>
                <c:formatCode>General</c:formatCode>
                <c:ptCount val="5"/>
                <c:pt idx="0">
                  <c:v>23004</c:v>
                </c:pt>
                <c:pt idx="1">
                  <c:v>21742</c:v>
                </c:pt>
                <c:pt idx="2">
                  <c:v>26701</c:v>
                </c:pt>
                <c:pt idx="3">
                  <c:v>34641</c:v>
                </c:pt>
                <c:pt idx="4">
                  <c:v>36988</c:v>
                </c:pt>
              </c:numCache>
            </c:numRef>
          </c:val>
          <c:extLst>
            <c:ext xmlns:c16="http://schemas.microsoft.com/office/drawing/2014/chart" uri="{C3380CC4-5D6E-409C-BE32-E72D297353CC}">
              <c16:uniqueId val="{00000001-59C1-4419-ABF2-D0F0891B66E0}"/>
            </c:ext>
          </c:extLst>
        </c:ser>
        <c:dLbls>
          <c:showLegendKey val="0"/>
          <c:showVal val="0"/>
          <c:showCatName val="0"/>
          <c:showSerName val="0"/>
          <c:showPercent val="0"/>
          <c:showBubbleSize val="0"/>
        </c:dLbls>
        <c:axId val="1656786479"/>
        <c:axId val="1656821999"/>
      </c:radarChart>
      <c:radarChart>
        <c:radarStyle val="marker"/>
        <c:varyColors val="0"/>
        <c:ser>
          <c:idx val="2"/>
          <c:order val="2"/>
          <c:spPr>
            <a:ln>
              <a:noFill/>
            </a:ln>
            <a:effectLst>
              <a:outerShdw blurRad="50800" dist="38100" dir="5400000" algn="t" rotWithShape="0">
                <a:prstClr val="black">
                  <a:alpha val="40000"/>
                </a:prstClr>
              </a:outerShdw>
            </a:effectLst>
          </c:spPr>
          <c:marker>
            <c:symbol val="circle"/>
            <c:size val="12"/>
            <c:spPr>
              <a:gradFill>
                <a:gsLst>
                  <a:gs pos="15000">
                    <a:srgbClr val="F181F2"/>
                  </a:gs>
                  <a:gs pos="100000">
                    <a:srgbClr val="FDE9FD"/>
                  </a:gs>
                </a:gsLst>
                <a:lin ang="12000000" scaled="0"/>
              </a:gradFill>
              <a:ln>
                <a:noFill/>
              </a:ln>
              <a:effectLst>
                <a:outerShdw blurRad="50800" dist="38100" dir="5400000" algn="t" rotWithShape="0">
                  <a:prstClr val="black">
                    <a:alpha val="40000"/>
                  </a:prstClr>
                </a:outerShdw>
              </a:effectLst>
            </c:spPr>
          </c:marker>
          <c:val>
            <c:numRef>
              <c:f>Processing!$H$8:$H$12</c:f>
              <c:numCache>
                <c:formatCode>General</c:formatCode>
                <c:ptCount val="5"/>
                <c:pt idx="0">
                  <c:v>23004</c:v>
                </c:pt>
                <c:pt idx="1">
                  <c:v>21742</c:v>
                </c:pt>
                <c:pt idx="2">
                  <c:v>26701</c:v>
                </c:pt>
                <c:pt idx="3">
                  <c:v>34641</c:v>
                </c:pt>
                <c:pt idx="4">
                  <c:v>36988</c:v>
                </c:pt>
              </c:numCache>
            </c:numRef>
          </c:val>
          <c:extLst>
            <c:ext xmlns:c16="http://schemas.microsoft.com/office/drawing/2014/chart" uri="{C3380CC4-5D6E-409C-BE32-E72D297353CC}">
              <c16:uniqueId val="{00000002-59C1-4419-ABF2-D0F0891B66E0}"/>
            </c:ext>
          </c:extLst>
        </c:ser>
        <c:ser>
          <c:idx val="3"/>
          <c:order val="3"/>
          <c:spPr>
            <a:ln w="38100">
              <a:noFill/>
            </a:ln>
            <a:effectLst>
              <a:outerShdw blurRad="50800" dist="38100" dir="5400000" algn="t" rotWithShape="0">
                <a:prstClr val="black">
                  <a:alpha val="40000"/>
                </a:prstClr>
              </a:outerShdw>
            </a:effectLst>
          </c:spPr>
          <c:marker>
            <c:symbol val="circle"/>
            <c:size val="12"/>
            <c:spPr>
              <a:gradFill>
                <a:gsLst>
                  <a:gs pos="15000">
                    <a:srgbClr val="9FE1D8"/>
                  </a:gs>
                  <a:gs pos="100000">
                    <a:srgbClr val="E7F3EE"/>
                  </a:gs>
                </a:gsLst>
                <a:lin ang="12000000" scaled="0"/>
              </a:gradFill>
              <a:ln>
                <a:noFill/>
              </a:ln>
              <a:effectLst>
                <a:outerShdw blurRad="50800" dist="38100" dir="5400000" algn="t" rotWithShape="0">
                  <a:prstClr val="black">
                    <a:alpha val="40000"/>
                  </a:prstClr>
                </a:outerShdw>
              </a:effectLst>
            </c:spPr>
          </c:marker>
          <c:val>
            <c:numRef>
              <c:f>Processing!$G$8:$G$12</c:f>
              <c:numCache>
                <c:formatCode>General</c:formatCode>
                <c:ptCount val="5"/>
                <c:pt idx="0">
                  <c:v>36741</c:v>
                </c:pt>
                <c:pt idx="1">
                  <c:v>24078</c:v>
                </c:pt>
                <c:pt idx="2">
                  <c:v>15139</c:v>
                </c:pt>
                <c:pt idx="3">
                  <c:v>29492</c:v>
                </c:pt>
                <c:pt idx="4">
                  <c:v>45372</c:v>
                </c:pt>
              </c:numCache>
            </c:numRef>
          </c:val>
          <c:extLst>
            <c:ext xmlns:c16="http://schemas.microsoft.com/office/drawing/2014/chart" uri="{C3380CC4-5D6E-409C-BE32-E72D297353CC}">
              <c16:uniqueId val="{00000003-59C1-4419-ABF2-D0F0891B66E0}"/>
            </c:ext>
          </c:extLst>
        </c:ser>
        <c:dLbls>
          <c:showLegendKey val="0"/>
          <c:showVal val="0"/>
          <c:showCatName val="0"/>
          <c:showSerName val="0"/>
          <c:showPercent val="0"/>
          <c:showBubbleSize val="0"/>
        </c:dLbls>
        <c:axId val="1656786479"/>
        <c:axId val="1656821999"/>
      </c:radarChart>
      <c:catAx>
        <c:axId val="1656786479"/>
        <c:scaling>
          <c:orientation val="minMax"/>
        </c:scaling>
        <c:delete val="0"/>
        <c:axPos val="b"/>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lumMod val="50000"/>
                  </a:schemeClr>
                </a:solidFill>
                <a:latin typeface="+mn-lt"/>
                <a:ea typeface="+mn-ea"/>
                <a:cs typeface="+mn-cs"/>
              </a:defRPr>
            </a:pPr>
            <a:endParaRPr lang="ru-RU"/>
          </a:p>
        </c:txPr>
        <c:crossAx val="1656821999"/>
        <c:crosses val="autoZero"/>
        <c:auto val="1"/>
        <c:lblAlgn val="ctr"/>
        <c:lblOffset val="100"/>
        <c:noMultiLvlLbl val="0"/>
      </c:catAx>
      <c:valAx>
        <c:axId val="1656821999"/>
        <c:scaling>
          <c:orientation val="minMax"/>
        </c:scaling>
        <c:delete val="1"/>
        <c:axPos val="l"/>
        <c:numFmt formatCode="General" sourceLinked="1"/>
        <c:majorTickMark val="none"/>
        <c:minorTickMark val="none"/>
        <c:tickLblPos val="nextTo"/>
        <c:crossAx val="165678647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c:spPr>
          <c:dPt>
            <c:idx val="0"/>
            <c:bubble3D val="0"/>
            <c:spPr>
              <a:solidFill>
                <a:srgbClr val="006966"/>
              </a:solidFill>
              <a:ln w="25400">
                <a:solidFill>
                  <a:schemeClr val="lt1"/>
                </a:solidFill>
              </a:ln>
              <a:effectLst/>
            </c:spPr>
            <c:extLst>
              <c:ext xmlns:c16="http://schemas.microsoft.com/office/drawing/2014/chart" uri="{C3380CC4-5D6E-409C-BE32-E72D297353CC}">
                <c16:uniqueId val="{00000001-E515-495C-973C-00AD12BAECC3}"/>
              </c:ext>
            </c:extLst>
          </c:dPt>
          <c:dPt>
            <c:idx val="1"/>
            <c:bubble3D val="0"/>
            <c:spPr>
              <a:solidFill>
                <a:srgbClr val="068275"/>
              </a:solidFill>
              <a:ln w="25400">
                <a:solidFill>
                  <a:schemeClr val="lt1"/>
                </a:solidFill>
              </a:ln>
              <a:effectLst/>
            </c:spPr>
            <c:extLst>
              <c:ext xmlns:c16="http://schemas.microsoft.com/office/drawing/2014/chart" uri="{C3380CC4-5D6E-409C-BE32-E72D297353CC}">
                <c16:uniqueId val="{00000003-E515-495C-973C-00AD12BAECC3}"/>
              </c:ext>
            </c:extLst>
          </c:dPt>
          <c:val>
            <c:numRef>
              <c:f>Processing!$B$3:$C$3</c:f>
              <c:numCache>
                <c:formatCode>0%</c:formatCode>
                <c:ptCount val="2"/>
                <c:pt idx="0">
                  <c:v>0.16</c:v>
                </c:pt>
                <c:pt idx="1">
                  <c:v>0.84</c:v>
                </c:pt>
              </c:numCache>
            </c:numRef>
          </c:val>
          <c:extLst>
            <c:ext xmlns:c16="http://schemas.microsoft.com/office/drawing/2014/chart" uri="{C3380CC4-5D6E-409C-BE32-E72D297353CC}">
              <c16:uniqueId val="{00000004-E515-495C-973C-00AD12BAECC3}"/>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06966"/>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11BF-497C-ACF8-E994307AECB6}"/>
              </c:ext>
            </c:extLst>
          </c:dPt>
          <c:val>
            <c:numRef>
              <c:f>Processing!$B$5</c:f>
              <c:numCache>
                <c:formatCode>0%</c:formatCode>
                <c:ptCount val="1"/>
                <c:pt idx="0">
                  <c:v>0.13200000000000001</c:v>
                </c:pt>
              </c:numCache>
            </c:numRef>
          </c:val>
          <c:extLst>
            <c:ext xmlns:c16="http://schemas.microsoft.com/office/drawing/2014/chart" uri="{C3380CC4-5D6E-409C-BE32-E72D297353CC}">
              <c16:uniqueId val="{00000002-11BF-497C-ACF8-E994307AECB6}"/>
            </c:ext>
          </c:extLst>
        </c:ser>
        <c:ser>
          <c:idx val="1"/>
          <c:order val="1"/>
          <c:spPr>
            <a:blipFill>
              <a:blip xmlns:r="http://schemas.openxmlformats.org/officeDocument/2006/relationships" r:embed="rId4"/>
              <a:stretch>
                <a:fillRect/>
              </a:stretch>
            </a:blipFill>
            <a:ln>
              <a:noFill/>
            </a:ln>
            <a:effectLst/>
          </c:spPr>
          <c:invertIfNegative val="0"/>
          <c:val>
            <c:numRef>
              <c:f>Processing!$C$5</c:f>
              <c:numCache>
                <c:formatCode>0%</c:formatCode>
                <c:ptCount val="1"/>
                <c:pt idx="0">
                  <c:v>0.05</c:v>
                </c:pt>
              </c:numCache>
            </c:numRef>
          </c:val>
          <c:extLst>
            <c:ext xmlns:c16="http://schemas.microsoft.com/office/drawing/2014/chart" uri="{C3380CC4-5D6E-409C-BE32-E72D297353CC}">
              <c16:uniqueId val="{00000003-11BF-497C-ACF8-E994307AECB6}"/>
            </c:ext>
          </c:extLst>
        </c:ser>
        <c:ser>
          <c:idx val="2"/>
          <c:order val="2"/>
          <c:spPr>
            <a:blipFill>
              <a:blip xmlns:r="http://schemas.openxmlformats.org/officeDocument/2006/relationships" r:embed="rId5"/>
              <a:stretch>
                <a:fillRect/>
              </a:stretch>
            </a:blipFill>
            <a:ln>
              <a:noFill/>
            </a:ln>
            <a:effectLst/>
          </c:spPr>
          <c:invertIfNegative val="0"/>
          <c:val>
            <c:numRef>
              <c:f>Processing!$D$5</c:f>
              <c:numCache>
                <c:formatCode>0%</c:formatCode>
                <c:ptCount val="1"/>
                <c:pt idx="0">
                  <c:v>0.86799999999999999</c:v>
                </c:pt>
              </c:numCache>
            </c:numRef>
          </c:val>
          <c:extLst>
            <c:ext xmlns:c16="http://schemas.microsoft.com/office/drawing/2014/chart" uri="{C3380CC4-5D6E-409C-BE32-E72D297353CC}">
              <c16:uniqueId val="{00000004-11BF-497C-ACF8-E994307AECB6}"/>
            </c:ext>
          </c:extLst>
        </c:ser>
        <c:dLbls>
          <c:showLegendKey val="0"/>
          <c:showVal val="0"/>
          <c:showCatName val="0"/>
          <c:showSerName val="0"/>
          <c:showPercent val="0"/>
          <c:showBubbleSize val="0"/>
        </c:dLbls>
        <c:gapWidth val="50"/>
        <c:overlap val="100"/>
        <c:axId val="1383535728"/>
        <c:axId val="1383551568"/>
      </c:barChart>
      <c:catAx>
        <c:axId val="1383535728"/>
        <c:scaling>
          <c:orientation val="minMax"/>
        </c:scaling>
        <c:delete val="1"/>
        <c:axPos val="l"/>
        <c:majorTickMark val="out"/>
        <c:minorTickMark val="none"/>
        <c:tickLblPos val="nextTo"/>
        <c:crossAx val="1383551568"/>
        <c:crosses val="autoZero"/>
        <c:auto val="1"/>
        <c:lblAlgn val="ctr"/>
        <c:lblOffset val="100"/>
        <c:noMultiLvlLbl val="0"/>
      </c:catAx>
      <c:valAx>
        <c:axId val="1383551568"/>
        <c:scaling>
          <c:orientation val="minMax"/>
          <c:max val="1.05"/>
          <c:min val="0"/>
        </c:scaling>
        <c:delete val="1"/>
        <c:axPos val="b"/>
        <c:numFmt formatCode="0%" sourceLinked="1"/>
        <c:majorTickMark val="out"/>
        <c:minorTickMark val="none"/>
        <c:tickLblPos val="nextTo"/>
        <c:crossAx val="138353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Processing!$A$7</c:f>
          <c:strCache>
            <c:ptCount val="1"/>
            <c:pt idx="0">
              <c:v>Task Manager</c:v>
            </c:pt>
          </c:strCache>
        </c:strRef>
      </c:tx>
      <c:layout>
        <c:manualLayout>
          <c:xMode val="edge"/>
          <c:yMode val="edge"/>
          <c:x val="0.37065075083925625"/>
          <c:y val="2.157361088736904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bar"/>
        <c:grouping val="percentStacked"/>
        <c:varyColors val="0"/>
        <c:ser>
          <c:idx val="2"/>
          <c:order val="0"/>
          <c:tx>
            <c:strRef>
              <c:f>Processing!$D$7</c:f>
              <c:strCache>
                <c:ptCount val="1"/>
                <c:pt idx="0">
                  <c:v>Indent</c:v>
                </c:pt>
              </c:strCache>
            </c:strRef>
          </c:tx>
          <c:spPr>
            <a:blipFill>
              <a:blip xmlns:r="http://schemas.openxmlformats.org/officeDocument/2006/relationships" r:embed="rId3"/>
              <a:stretch>
                <a:fillRect/>
              </a:stretch>
            </a:blipFill>
            <a:ln>
              <a:noFill/>
            </a:ln>
            <a:effectLst/>
          </c:spPr>
          <c:invertIfNegative val="0"/>
          <c:dPt>
            <c:idx val="0"/>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1-C7B7-410D-AFA8-533E7B6BED43}"/>
              </c:ext>
            </c:extLst>
          </c:dPt>
          <c:dPt>
            <c:idx val="1"/>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3-C7B7-410D-AFA8-533E7B6BED43}"/>
              </c:ext>
            </c:extLst>
          </c:dPt>
          <c:dPt>
            <c:idx val="2"/>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5-C7B7-410D-AFA8-533E7B6BED43}"/>
              </c:ext>
            </c:extLst>
          </c:dPt>
          <c:dPt>
            <c:idx val="3"/>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7-C7B7-410D-AFA8-533E7B6BED43}"/>
              </c:ext>
            </c:extLst>
          </c:dPt>
          <c:dPt>
            <c:idx val="4"/>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09-C7B7-410D-AFA8-533E7B6BED43}"/>
              </c:ext>
            </c:extLst>
          </c:dPt>
          <c:cat>
            <c:strRef>
              <c:f>Processing!$A$8:$A$12</c:f>
              <c:strCache>
                <c:ptCount val="5"/>
                <c:pt idx="0">
                  <c:v>Task 1</c:v>
                </c:pt>
                <c:pt idx="1">
                  <c:v>Task 2</c:v>
                </c:pt>
                <c:pt idx="2">
                  <c:v>Task 3</c:v>
                </c:pt>
                <c:pt idx="3">
                  <c:v>Task 4</c:v>
                </c:pt>
                <c:pt idx="4">
                  <c:v>Task 5</c:v>
                </c:pt>
              </c:strCache>
            </c:strRef>
          </c:cat>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0A-C7B7-410D-AFA8-533E7B6BED43}"/>
            </c:ext>
          </c:extLst>
        </c:ser>
        <c:ser>
          <c:idx val="0"/>
          <c:order val="1"/>
          <c:spPr>
            <a:solidFill>
              <a:schemeClr val="bg1"/>
            </a:solidFill>
            <a:ln>
              <a:noFill/>
            </a:ln>
            <a:effectLst/>
          </c:spPr>
          <c:invertIfNegative val="0"/>
          <c:dPt>
            <c:idx val="0"/>
            <c:invertIfNegative val="0"/>
            <c:bubble3D val="0"/>
            <c:spPr>
              <a:solidFill>
                <a:srgbClr val="2C78A7"/>
              </a:solidFill>
              <a:ln>
                <a:noFill/>
              </a:ln>
              <a:effectLst/>
            </c:spPr>
            <c:extLst>
              <c:ext xmlns:c16="http://schemas.microsoft.com/office/drawing/2014/chart" uri="{C3380CC4-5D6E-409C-BE32-E72D297353CC}">
                <c16:uniqueId val="{0000000C-C7B7-410D-AFA8-533E7B6BED43}"/>
              </c:ext>
            </c:extLst>
          </c:dPt>
          <c:dPt>
            <c:idx val="1"/>
            <c:invertIfNegative val="0"/>
            <c:bubble3D val="0"/>
            <c:spPr>
              <a:solidFill>
                <a:srgbClr val="008377"/>
              </a:solidFill>
              <a:ln>
                <a:noFill/>
              </a:ln>
              <a:effectLst/>
            </c:spPr>
            <c:extLst>
              <c:ext xmlns:c16="http://schemas.microsoft.com/office/drawing/2014/chart" uri="{C3380CC4-5D6E-409C-BE32-E72D297353CC}">
                <c16:uniqueId val="{0000000E-C7B7-410D-AFA8-533E7B6BED43}"/>
              </c:ext>
            </c:extLst>
          </c:dPt>
          <c:dPt>
            <c:idx val="2"/>
            <c:invertIfNegative val="0"/>
            <c:bubble3D val="0"/>
            <c:spPr>
              <a:solidFill>
                <a:srgbClr val="CE2C35"/>
              </a:solidFill>
              <a:ln>
                <a:noFill/>
              </a:ln>
              <a:effectLst/>
            </c:spPr>
            <c:extLst>
              <c:ext xmlns:c16="http://schemas.microsoft.com/office/drawing/2014/chart" uri="{C3380CC4-5D6E-409C-BE32-E72D297353CC}">
                <c16:uniqueId val="{00000010-C7B7-410D-AFA8-533E7B6BED43}"/>
              </c:ext>
            </c:extLst>
          </c:dPt>
          <c:dPt>
            <c:idx val="3"/>
            <c:invertIfNegative val="0"/>
            <c:bubble3D val="0"/>
            <c:spPr>
              <a:solidFill>
                <a:srgbClr val="FA7E31"/>
              </a:solidFill>
              <a:ln>
                <a:noFill/>
              </a:ln>
              <a:effectLst/>
            </c:spPr>
            <c:extLst>
              <c:ext xmlns:c16="http://schemas.microsoft.com/office/drawing/2014/chart" uri="{C3380CC4-5D6E-409C-BE32-E72D297353CC}">
                <c16:uniqueId val="{00000012-C7B7-410D-AFA8-533E7B6BED43}"/>
              </c:ext>
            </c:extLst>
          </c:dPt>
          <c:dPt>
            <c:idx val="4"/>
            <c:invertIfNegative val="0"/>
            <c:bubble3D val="0"/>
            <c:spPr>
              <a:solidFill>
                <a:srgbClr val="099699"/>
              </a:solidFill>
              <a:ln>
                <a:noFill/>
              </a:ln>
              <a:effectLst/>
            </c:spPr>
            <c:extLst>
              <c:ext xmlns:c16="http://schemas.microsoft.com/office/drawing/2014/chart" uri="{C3380CC4-5D6E-409C-BE32-E72D297353CC}">
                <c16:uniqueId val="{00000014-C7B7-410D-AFA8-533E7B6BED43}"/>
              </c:ext>
            </c:extLst>
          </c:dPt>
          <c:cat>
            <c:strRef>
              <c:f>Processing!$A$8:$A$12</c:f>
              <c:strCache>
                <c:ptCount val="5"/>
                <c:pt idx="0">
                  <c:v>Task 1</c:v>
                </c:pt>
                <c:pt idx="1">
                  <c:v>Task 2</c:v>
                </c:pt>
                <c:pt idx="2">
                  <c:v>Task 3</c:v>
                </c:pt>
                <c:pt idx="3">
                  <c:v>Task 4</c:v>
                </c:pt>
                <c:pt idx="4">
                  <c:v>Task 5</c:v>
                </c:pt>
              </c:strCache>
            </c:strRef>
          </c:cat>
          <c:val>
            <c:numRef>
              <c:f>Processing!$B$8:$B$12</c:f>
              <c:numCache>
                <c:formatCode>0%</c:formatCode>
                <c:ptCount val="5"/>
                <c:pt idx="0">
                  <c:v>0.05</c:v>
                </c:pt>
                <c:pt idx="1">
                  <c:v>0.21</c:v>
                </c:pt>
                <c:pt idx="2">
                  <c:v>0.13</c:v>
                </c:pt>
                <c:pt idx="3">
                  <c:v>0.15999999999999998</c:v>
                </c:pt>
                <c:pt idx="4">
                  <c:v>0.10999999999999999</c:v>
                </c:pt>
              </c:numCache>
            </c:numRef>
          </c:val>
          <c:extLst>
            <c:ext xmlns:c16="http://schemas.microsoft.com/office/drawing/2014/chart" uri="{C3380CC4-5D6E-409C-BE32-E72D297353CC}">
              <c16:uniqueId val="{00000015-C7B7-410D-AFA8-533E7B6BED43}"/>
            </c:ext>
          </c:extLst>
        </c:ser>
        <c:ser>
          <c:idx val="3"/>
          <c:order val="2"/>
          <c:tx>
            <c:strRef>
              <c:f>Processing!$D$7</c:f>
              <c:strCache>
                <c:ptCount val="1"/>
                <c:pt idx="0">
                  <c:v>Indent</c:v>
                </c:pt>
              </c:strCache>
            </c:strRef>
          </c:tx>
          <c:spPr>
            <a:blipFill>
              <a:blip xmlns:r="http://schemas.openxmlformats.org/officeDocument/2006/relationships" r:embed="rId9"/>
              <a:stretch>
                <a:fillRect/>
              </a:stretch>
            </a:blipFill>
            <a:ln>
              <a:noFill/>
            </a:ln>
            <a:effectLst/>
          </c:spPr>
          <c:invertIfNegative val="0"/>
          <c:dPt>
            <c:idx val="0"/>
            <c:invertIfNegative val="0"/>
            <c:bubble3D val="0"/>
            <c:spPr>
              <a:blipFill>
                <a:blip xmlns:r="http://schemas.openxmlformats.org/officeDocument/2006/relationships" r:embed="rId10"/>
                <a:stretch>
                  <a:fillRect/>
                </a:stretch>
              </a:blipFill>
              <a:ln>
                <a:noFill/>
              </a:ln>
              <a:effectLst/>
            </c:spPr>
            <c:extLst>
              <c:ext xmlns:c16="http://schemas.microsoft.com/office/drawing/2014/chart" uri="{C3380CC4-5D6E-409C-BE32-E72D297353CC}">
                <c16:uniqueId val="{00000017-C7B7-410D-AFA8-533E7B6BED43}"/>
              </c:ext>
            </c:extLst>
          </c:dPt>
          <c:dPt>
            <c:idx val="1"/>
            <c:invertIfNegative val="0"/>
            <c:bubble3D val="0"/>
            <c:spPr>
              <a:blipFill>
                <a:blip xmlns:r="http://schemas.openxmlformats.org/officeDocument/2006/relationships" r:embed="rId11"/>
                <a:stretch>
                  <a:fillRect/>
                </a:stretch>
              </a:blipFill>
              <a:ln>
                <a:noFill/>
              </a:ln>
              <a:effectLst/>
            </c:spPr>
            <c:extLst>
              <c:ext xmlns:c16="http://schemas.microsoft.com/office/drawing/2014/chart" uri="{C3380CC4-5D6E-409C-BE32-E72D297353CC}">
                <c16:uniqueId val="{00000019-C7B7-410D-AFA8-533E7B6BED43}"/>
              </c:ext>
            </c:extLst>
          </c:dPt>
          <c:dPt>
            <c:idx val="2"/>
            <c:invertIfNegative val="0"/>
            <c:bubble3D val="0"/>
            <c:spPr>
              <a:blipFill>
                <a:blip xmlns:r="http://schemas.openxmlformats.org/officeDocument/2006/relationships" r:embed="rId12"/>
                <a:stretch>
                  <a:fillRect/>
                </a:stretch>
              </a:blipFill>
              <a:ln>
                <a:noFill/>
              </a:ln>
              <a:effectLst/>
            </c:spPr>
            <c:extLst>
              <c:ext xmlns:c16="http://schemas.microsoft.com/office/drawing/2014/chart" uri="{C3380CC4-5D6E-409C-BE32-E72D297353CC}">
                <c16:uniqueId val="{0000001B-C7B7-410D-AFA8-533E7B6BED43}"/>
              </c:ext>
            </c:extLst>
          </c:dPt>
          <c:dPt>
            <c:idx val="3"/>
            <c:invertIfNegative val="0"/>
            <c:bubble3D val="0"/>
            <c:spPr>
              <a:blipFill>
                <a:blip xmlns:r="http://schemas.openxmlformats.org/officeDocument/2006/relationships" r:embed="rId13"/>
                <a:stretch>
                  <a:fillRect/>
                </a:stretch>
              </a:blipFill>
              <a:ln>
                <a:noFill/>
              </a:ln>
              <a:effectLst/>
            </c:spPr>
            <c:extLst>
              <c:ext xmlns:c16="http://schemas.microsoft.com/office/drawing/2014/chart" uri="{C3380CC4-5D6E-409C-BE32-E72D297353CC}">
                <c16:uniqueId val="{0000001D-C7B7-410D-AFA8-533E7B6BED43}"/>
              </c:ext>
            </c:extLst>
          </c:dPt>
          <c:dPt>
            <c:idx val="4"/>
            <c:invertIfNegative val="0"/>
            <c:bubble3D val="0"/>
            <c:spPr>
              <a:blipFill>
                <a:blip xmlns:r="http://schemas.openxmlformats.org/officeDocument/2006/relationships" r:embed="rId14"/>
                <a:stretch>
                  <a:fillRect/>
                </a:stretch>
              </a:blipFill>
              <a:ln>
                <a:noFill/>
              </a:ln>
              <a:effectLst/>
            </c:spPr>
            <c:extLst>
              <c:ext xmlns:c16="http://schemas.microsoft.com/office/drawing/2014/chart" uri="{C3380CC4-5D6E-409C-BE32-E72D297353CC}">
                <c16:uniqueId val="{0000001F-C7B7-410D-AFA8-533E7B6BED43}"/>
              </c:ext>
            </c:extLst>
          </c:dPt>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20-C7B7-410D-AFA8-533E7B6BED43}"/>
            </c:ext>
          </c:extLst>
        </c:ser>
        <c:ser>
          <c:idx val="1"/>
          <c:order val="3"/>
          <c:spPr>
            <a:solidFill>
              <a:srgbClr val="E7F3EE"/>
            </a:solidFill>
            <a:ln>
              <a:noFill/>
            </a:ln>
            <a:effectLst/>
          </c:spPr>
          <c:invertIfNegative val="0"/>
          <c:cat>
            <c:strRef>
              <c:f>Processing!$A$8:$A$12</c:f>
              <c:strCache>
                <c:ptCount val="5"/>
                <c:pt idx="0">
                  <c:v>Task 1</c:v>
                </c:pt>
                <c:pt idx="1">
                  <c:v>Task 2</c:v>
                </c:pt>
                <c:pt idx="2">
                  <c:v>Task 3</c:v>
                </c:pt>
                <c:pt idx="3">
                  <c:v>Task 4</c:v>
                </c:pt>
                <c:pt idx="4">
                  <c:v>Task 5</c:v>
                </c:pt>
              </c:strCache>
            </c:strRef>
          </c:cat>
          <c:val>
            <c:numRef>
              <c:f>Processing!$C$8:$C$12</c:f>
              <c:numCache>
                <c:formatCode>0%</c:formatCode>
                <c:ptCount val="5"/>
                <c:pt idx="0">
                  <c:v>0.95</c:v>
                </c:pt>
                <c:pt idx="1">
                  <c:v>0.79</c:v>
                </c:pt>
                <c:pt idx="2">
                  <c:v>0.87</c:v>
                </c:pt>
                <c:pt idx="3">
                  <c:v>0.84000000000000008</c:v>
                </c:pt>
                <c:pt idx="4">
                  <c:v>0.89</c:v>
                </c:pt>
              </c:numCache>
            </c:numRef>
          </c:val>
          <c:extLst>
            <c:ext xmlns:c16="http://schemas.microsoft.com/office/drawing/2014/chart" uri="{C3380CC4-5D6E-409C-BE32-E72D297353CC}">
              <c16:uniqueId val="{00000021-C7B7-410D-AFA8-533E7B6BED43}"/>
            </c:ext>
          </c:extLst>
        </c:ser>
        <c:ser>
          <c:idx val="4"/>
          <c:order val="4"/>
          <c:tx>
            <c:strRef>
              <c:f>Processing!$D$7</c:f>
              <c:strCache>
                <c:ptCount val="1"/>
                <c:pt idx="0">
                  <c:v>Indent</c:v>
                </c:pt>
              </c:strCache>
            </c:strRef>
          </c:tx>
          <c:spPr>
            <a:blipFill>
              <a:blip xmlns:r="http://schemas.openxmlformats.org/officeDocument/2006/relationships" r:embed="rId15"/>
              <a:stretch>
                <a:fillRect/>
              </a:stretch>
            </a:blipFill>
            <a:ln>
              <a:noFill/>
            </a:ln>
            <a:effectLst/>
          </c:spPr>
          <c:invertIfNegative val="0"/>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22-C7B7-410D-AFA8-533E7B6BED43}"/>
            </c:ext>
          </c:extLst>
        </c:ser>
        <c:dLbls>
          <c:showLegendKey val="0"/>
          <c:showVal val="0"/>
          <c:showCatName val="0"/>
          <c:showSerName val="0"/>
          <c:showPercent val="0"/>
          <c:showBubbleSize val="0"/>
        </c:dLbls>
        <c:gapWidth val="80"/>
        <c:overlap val="100"/>
        <c:axId val="1079036944"/>
        <c:axId val="1079033584"/>
      </c:barChart>
      <c:catAx>
        <c:axId val="107903694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079033584"/>
        <c:crosses val="autoZero"/>
        <c:auto val="1"/>
        <c:lblAlgn val="ctr"/>
        <c:lblOffset val="100"/>
        <c:noMultiLvlLbl val="0"/>
      </c:catAx>
      <c:valAx>
        <c:axId val="1079033584"/>
        <c:scaling>
          <c:orientation val="minMax"/>
        </c:scaling>
        <c:delete val="1"/>
        <c:axPos val="t"/>
        <c:numFmt formatCode="0%" sourceLinked="1"/>
        <c:majorTickMark val="none"/>
        <c:minorTickMark val="none"/>
        <c:tickLblPos val="nextTo"/>
        <c:crossAx val="107903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Processing!$B$15</c:f>
          <c:strCache>
            <c:ptCount val="1"/>
            <c:pt idx="0">
              <c:v>Visitors &amp; Buyers</c:v>
            </c:pt>
          </c:strCache>
        </c:strRef>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areaChart>
        <c:grouping val="standard"/>
        <c:varyColors val="0"/>
        <c:ser>
          <c:idx val="2"/>
          <c:order val="2"/>
          <c:tx>
            <c:v>fill</c:v>
          </c:tx>
          <c:spPr>
            <a:gradFill>
              <a:gsLst>
                <a:gs pos="0">
                  <a:srgbClr val="006966">
                    <a:alpha val="5000"/>
                  </a:srgbClr>
                </a:gs>
                <a:gs pos="100000">
                  <a:schemeClr val="bg1">
                    <a:alpha val="64000"/>
                  </a:schemeClr>
                </a:gs>
              </a:gsLst>
              <a:lin ang="5400000" scaled="0"/>
            </a:gradFill>
            <a:ln>
              <a:noFill/>
            </a:ln>
            <a:effectLst/>
          </c:spPr>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Processing!$B$17:$B$28</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extLst>
            <c:ext xmlns:c16="http://schemas.microsoft.com/office/drawing/2014/chart" uri="{C3380CC4-5D6E-409C-BE32-E72D297353CC}">
              <c16:uniqueId val="{00000000-1529-4202-B58B-76A7DB5A20C4}"/>
            </c:ext>
          </c:extLst>
        </c:ser>
        <c:dLbls>
          <c:showLegendKey val="0"/>
          <c:showVal val="0"/>
          <c:showCatName val="0"/>
          <c:showSerName val="0"/>
          <c:showPercent val="0"/>
          <c:showBubbleSize val="0"/>
        </c:dLbls>
        <c:axId val="1985018368"/>
        <c:axId val="1985017888"/>
      </c:areaChart>
      <c:barChart>
        <c:barDir val="col"/>
        <c:grouping val="clustered"/>
        <c:varyColors val="0"/>
        <c:ser>
          <c:idx val="1"/>
          <c:order val="1"/>
          <c:tx>
            <c:strRef>
              <c:f>Processing!$C$16</c:f>
              <c:strCache>
                <c:ptCount val="1"/>
                <c:pt idx="0">
                  <c:v>Buyers</c:v>
                </c:pt>
              </c:strCache>
            </c:strRef>
          </c:tx>
          <c:spPr>
            <a:solidFill>
              <a:srgbClr val="95B1AF"/>
            </a:solidFill>
            <a:ln w="127000">
              <a:solidFill>
                <a:srgbClr val="95B1AF"/>
              </a:solidFill>
            </a:ln>
            <a:effectLst/>
          </c:spPr>
          <c:invertIfNegative val="0"/>
          <c:val>
            <c:numRef>
              <c:f>Processing!$C$17:$C$28</c:f>
              <c:numCache>
                <c:formatCode>General</c:formatCode>
                <c:ptCount val="12"/>
                <c:pt idx="0">
                  <c:v>4500</c:v>
                </c:pt>
                <c:pt idx="1">
                  <c:v>5311</c:v>
                </c:pt>
                <c:pt idx="2">
                  <c:v>6147</c:v>
                </c:pt>
                <c:pt idx="3">
                  <c:v>5256</c:v>
                </c:pt>
                <c:pt idx="4">
                  <c:v>4921</c:v>
                </c:pt>
                <c:pt idx="5">
                  <c:v>5070</c:v>
                </c:pt>
                <c:pt idx="6">
                  <c:v>4022</c:v>
                </c:pt>
                <c:pt idx="7">
                  <c:v>3462</c:v>
                </c:pt>
                <c:pt idx="8">
                  <c:v>2987</c:v>
                </c:pt>
                <c:pt idx="9">
                  <c:v>3020</c:v>
                </c:pt>
                <c:pt idx="10">
                  <c:v>3722</c:v>
                </c:pt>
                <c:pt idx="11">
                  <c:v>3750</c:v>
                </c:pt>
              </c:numCache>
            </c:numRef>
          </c:val>
          <c:extLst>
            <c:ext xmlns:c16="http://schemas.microsoft.com/office/drawing/2014/chart" uri="{C3380CC4-5D6E-409C-BE32-E72D297353CC}">
              <c16:uniqueId val="{00000001-1529-4202-B58B-76A7DB5A20C4}"/>
            </c:ext>
          </c:extLst>
        </c:ser>
        <c:ser>
          <c:idx val="4"/>
          <c:order val="4"/>
          <c:tx>
            <c:strRef>
              <c:f>Processing!$E$16</c:f>
              <c:strCache>
                <c:ptCount val="1"/>
                <c:pt idx="0">
                  <c:v>Cursor B</c:v>
                </c:pt>
              </c:strCache>
            </c:strRef>
          </c:tx>
          <c:spPr>
            <a:solidFill>
              <a:srgbClr val="297F73"/>
            </a:solidFill>
            <a:ln w="127000">
              <a:solidFill>
                <a:srgbClr val="297F73"/>
              </a:solidFill>
            </a:ln>
            <a:effectLst/>
          </c:spPr>
          <c:invertIfNegative val="0"/>
          <c:val>
            <c:numRef>
              <c:f>Processing!$E$17:$E$28</c:f>
              <c:numCache>
                <c:formatCode>General</c:formatCode>
                <c:ptCount val="12"/>
                <c:pt idx="0">
                  <c:v>4500</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1-ACF0-4F10-9E3E-24885263E61A}"/>
            </c:ext>
          </c:extLst>
        </c:ser>
        <c:dLbls>
          <c:showLegendKey val="0"/>
          <c:showVal val="0"/>
          <c:showCatName val="0"/>
          <c:showSerName val="0"/>
          <c:showPercent val="0"/>
          <c:showBubbleSize val="0"/>
        </c:dLbls>
        <c:gapWidth val="150"/>
        <c:overlap val="100"/>
        <c:axId val="1985018368"/>
        <c:axId val="1985017888"/>
      </c:barChart>
      <c:lineChart>
        <c:grouping val="standard"/>
        <c:varyColors val="0"/>
        <c:ser>
          <c:idx val="0"/>
          <c:order val="0"/>
          <c:tx>
            <c:strRef>
              <c:f>Processing!$B$16</c:f>
              <c:strCache>
                <c:ptCount val="1"/>
                <c:pt idx="0">
                  <c:v>Visitors</c:v>
                </c:pt>
              </c:strCache>
            </c:strRef>
          </c:tx>
          <c:spPr>
            <a:ln w="28575" cap="rnd">
              <a:solidFill>
                <a:schemeClr val="accent1"/>
              </a:solidFill>
              <a:round/>
            </a:ln>
            <a:effectLst>
              <a:outerShdw blurRad="50800" dist="38100" dir="5400000" algn="t" rotWithShape="0">
                <a:prstClr val="black">
                  <a:alpha val="40000"/>
                </a:prstClr>
              </a:outerShdw>
            </a:effectLst>
          </c:spPr>
          <c:marker>
            <c:symbol val="none"/>
          </c:marker>
          <c:val>
            <c:numRef>
              <c:f>Processing!$B$17:$B$28</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smooth val="1"/>
          <c:extLst>
            <c:ext xmlns:c16="http://schemas.microsoft.com/office/drawing/2014/chart" uri="{C3380CC4-5D6E-409C-BE32-E72D297353CC}">
              <c16:uniqueId val="{00000002-1529-4202-B58B-76A7DB5A20C4}"/>
            </c:ext>
          </c:extLst>
        </c:ser>
        <c:dLbls>
          <c:showLegendKey val="0"/>
          <c:showVal val="0"/>
          <c:showCatName val="0"/>
          <c:showSerName val="0"/>
          <c:showPercent val="0"/>
          <c:showBubbleSize val="0"/>
        </c:dLbls>
        <c:marker val="1"/>
        <c:smooth val="0"/>
        <c:axId val="1985018368"/>
        <c:axId val="1985017888"/>
      </c:lineChart>
      <c:scatterChart>
        <c:scatterStyle val="lineMarker"/>
        <c:varyColors val="0"/>
        <c:ser>
          <c:idx val="3"/>
          <c:order val="3"/>
          <c:tx>
            <c:strRef>
              <c:f>Processing!$D$16</c:f>
              <c:strCache>
                <c:ptCount val="1"/>
                <c:pt idx="0">
                  <c:v>Cursor V</c:v>
                </c:pt>
              </c:strCache>
            </c:strRef>
          </c:tx>
          <c:spPr>
            <a:ln w="25400" cap="rnd">
              <a:noFill/>
              <a:round/>
            </a:ln>
            <a:effectLst/>
          </c:spPr>
          <c:marker>
            <c:symbol val="circle"/>
            <c:size val="13"/>
            <c:spPr>
              <a:solidFill>
                <a:schemeClr val="bg1"/>
              </a:solidFill>
              <a:ln w="25400">
                <a:solidFill>
                  <a:srgbClr val="297F73"/>
                </a:solidFill>
              </a:ln>
              <a:effectLst/>
            </c:spPr>
          </c:marker>
          <c:errBars>
            <c:errDir val="y"/>
            <c:errBarType val="minus"/>
            <c:errValType val="cust"/>
            <c:noEndCap val="0"/>
            <c:plus>
              <c:numLit>
                <c:formatCode>General</c:formatCode>
                <c:ptCount val="1"/>
                <c:pt idx="0">
                  <c:v>1</c:v>
                </c:pt>
              </c:numLit>
            </c:plus>
            <c:minus>
              <c:numRef>
                <c:f>Processing!$D$17:$D$28</c:f>
                <c:numCache>
                  <c:formatCode>General</c:formatCode>
                  <c:ptCount val="12"/>
                  <c:pt idx="0">
                    <c:v>8333</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rgbClr val="297F73"/>
                </a:solidFill>
                <a:round/>
              </a:ln>
              <a:effectLst/>
            </c:spPr>
          </c:errBars>
          <c:yVal>
            <c:numRef>
              <c:f>Processing!$D$17:$D$28</c:f>
              <c:numCache>
                <c:formatCode>General</c:formatCode>
                <c:ptCount val="12"/>
                <c:pt idx="0">
                  <c:v>8333</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0-ACF0-4F10-9E3E-24885263E61A}"/>
            </c:ext>
          </c:extLst>
        </c:ser>
        <c:dLbls>
          <c:showLegendKey val="0"/>
          <c:showVal val="0"/>
          <c:showCatName val="0"/>
          <c:showSerName val="0"/>
          <c:showPercent val="0"/>
          <c:showBubbleSize val="0"/>
        </c:dLbls>
        <c:axId val="1985018368"/>
        <c:axId val="1985017888"/>
      </c:scatterChart>
      <c:catAx>
        <c:axId val="1985018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985017888"/>
        <c:crosses val="autoZero"/>
        <c:auto val="1"/>
        <c:lblAlgn val="ctr"/>
        <c:lblOffset val="100"/>
        <c:noMultiLvlLbl val="0"/>
      </c:catAx>
      <c:valAx>
        <c:axId val="1985017888"/>
        <c:scaling>
          <c:orientation val="minMax"/>
        </c:scaling>
        <c:delete val="0"/>
        <c:axPos val="l"/>
        <c:majorGridlines>
          <c:spPr>
            <a:ln w="9525" cap="flat" cmpd="sng" algn="ctr">
              <a:solidFill>
                <a:schemeClr val="tx1">
                  <a:lumMod val="15000"/>
                  <a:lumOff val="85000"/>
                </a:schemeClr>
              </a:solidFill>
              <a:round/>
            </a:ln>
            <a:effectLst/>
          </c:spPr>
        </c:majorGridlines>
        <c:numFmt formatCode="#\ ###\ ###"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crossAx val="198501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19050"/>
          </c:spPr>
          <c:dPt>
            <c:idx val="0"/>
            <c:bubble3D val="0"/>
            <c:spPr>
              <a:solidFill>
                <a:srgbClr val="006966"/>
              </a:solidFill>
              <a:ln w="19050">
                <a:solidFill>
                  <a:schemeClr val="lt1"/>
                </a:solidFill>
              </a:ln>
              <a:effectLst/>
            </c:spPr>
            <c:extLst>
              <c:ext xmlns:c16="http://schemas.microsoft.com/office/drawing/2014/chart" uri="{C3380CC4-5D6E-409C-BE32-E72D297353CC}">
                <c16:uniqueId val="{00000001-F5B5-4BD9-81BA-8C80C605BC97}"/>
              </c:ext>
            </c:extLst>
          </c:dPt>
          <c:dPt>
            <c:idx val="1"/>
            <c:bubble3D val="0"/>
            <c:spPr>
              <a:solidFill>
                <a:srgbClr val="068275"/>
              </a:solidFill>
              <a:ln w="19050">
                <a:solidFill>
                  <a:schemeClr val="lt1"/>
                </a:solidFill>
              </a:ln>
              <a:effectLst/>
            </c:spPr>
            <c:extLst>
              <c:ext xmlns:c16="http://schemas.microsoft.com/office/drawing/2014/chart" uri="{C3380CC4-5D6E-409C-BE32-E72D297353CC}">
                <c16:uniqueId val="{00000003-F5B5-4BD9-81BA-8C80C605BC97}"/>
              </c:ext>
            </c:extLst>
          </c:dPt>
          <c:val>
            <c:numRef>
              <c:f>Processing!$B$3:$C$3</c:f>
              <c:numCache>
                <c:formatCode>0%</c:formatCode>
                <c:ptCount val="2"/>
                <c:pt idx="0">
                  <c:v>0.16</c:v>
                </c:pt>
                <c:pt idx="1">
                  <c:v>0.84</c:v>
                </c:pt>
              </c:numCache>
            </c:numRef>
          </c:val>
          <c:extLst>
            <c:ext xmlns:c16="http://schemas.microsoft.com/office/drawing/2014/chart" uri="{C3380CC4-5D6E-409C-BE32-E72D297353CC}">
              <c16:uniqueId val="{00000004-F5B5-4BD9-81BA-8C80C605BC97}"/>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a:noFill/>
            </a:ln>
            <a:effectLst>
              <a:outerShdw blurRad="50800" dist="38100" dir="8100000" algn="tr" rotWithShape="0">
                <a:prstClr val="black">
                  <a:alpha val="40000"/>
                </a:prstClr>
              </a:outerShdw>
            </a:effectLst>
          </c:spPr>
          <c:dPt>
            <c:idx val="0"/>
            <c:bubble3D val="0"/>
            <c:spPr>
              <a:solidFill>
                <a:schemeClr val="bg1"/>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771E-4EBC-9E21-09863CFBFAA4}"/>
              </c:ext>
            </c:extLst>
          </c:dPt>
          <c:dPt>
            <c:idx val="1"/>
            <c:bubble3D val="0"/>
            <c:spPr>
              <a:solidFill>
                <a:srgbClr val="70D2C3"/>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771E-4EBC-9E21-09863CFBFAA4}"/>
              </c:ext>
            </c:extLst>
          </c:dPt>
          <c:val>
            <c:numRef>
              <c:f>Processing!$B$3:$C$3</c:f>
              <c:numCache>
                <c:formatCode>0%</c:formatCode>
                <c:ptCount val="2"/>
                <c:pt idx="0">
                  <c:v>0.16</c:v>
                </c:pt>
                <c:pt idx="1">
                  <c:v>0.84</c:v>
                </c:pt>
              </c:numCache>
            </c:numRef>
          </c:val>
          <c:extLst>
            <c:ext xmlns:c16="http://schemas.microsoft.com/office/drawing/2014/chart" uri="{C3380CC4-5D6E-409C-BE32-E72D297353CC}">
              <c16:uniqueId val="{00000004-771E-4EBC-9E21-09863CFBFAA4}"/>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06966"/>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A091-49E5-A3EA-9E540683BCF4}"/>
              </c:ext>
            </c:extLst>
          </c:dPt>
          <c:val>
            <c:numRef>
              <c:f>Processing!$B$5</c:f>
              <c:numCache>
                <c:formatCode>0%</c:formatCode>
                <c:ptCount val="1"/>
                <c:pt idx="0">
                  <c:v>0.13200000000000001</c:v>
                </c:pt>
              </c:numCache>
            </c:numRef>
          </c:val>
          <c:extLst>
            <c:ext xmlns:c16="http://schemas.microsoft.com/office/drawing/2014/chart" uri="{C3380CC4-5D6E-409C-BE32-E72D297353CC}">
              <c16:uniqueId val="{00000002-A091-49E5-A3EA-9E540683BCF4}"/>
            </c:ext>
          </c:extLst>
        </c:ser>
        <c:ser>
          <c:idx val="1"/>
          <c:order val="1"/>
          <c:spPr>
            <a:blipFill>
              <a:blip xmlns:r="http://schemas.openxmlformats.org/officeDocument/2006/relationships" r:embed="rId4"/>
              <a:stretch>
                <a:fillRect/>
              </a:stretch>
            </a:blipFill>
            <a:ln>
              <a:noFill/>
            </a:ln>
            <a:effectLst/>
          </c:spPr>
          <c:invertIfNegative val="0"/>
          <c:val>
            <c:numRef>
              <c:f>Processing!$C$5</c:f>
              <c:numCache>
                <c:formatCode>0%</c:formatCode>
                <c:ptCount val="1"/>
                <c:pt idx="0">
                  <c:v>0.05</c:v>
                </c:pt>
              </c:numCache>
            </c:numRef>
          </c:val>
          <c:extLst>
            <c:ext xmlns:c16="http://schemas.microsoft.com/office/drawing/2014/chart" uri="{C3380CC4-5D6E-409C-BE32-E72D297353CC}">
              <c16:uniqueId val="{00000003-A091-49E5-A3EA-9E540683BCF4}"/>
            </c:ext>
          </c:extLst>
        </c:ser>
        <c:ser>
          <c:idx val="2"/>
          <c:order val="2"/>
          <c:spPr>
            <a:blipFill>
              <a:blip xmlns:r="http://schemas.openxmlformats.org/officeDocument/2006/relationships" r:embed="rId5"/>
              <a:stretch>
                <a:fillRect/>
              </a:stretch>
            </a:blipFill>
            <a:ln>
              <a:noFill/>
            </a:ln>
            <a:effectLst/>
          </c:spPr>
          <c:invertIfNegative val="0"/>
          <c:val>
            <c:numRef>
              <c:f>Processing!$D$5</c:f>
              <c:numCache>
                <c:formatCode>0%</c:formatCode>
                <c:ptCount val="1"/>
                <c:pt idx="0">
                  <c:v>0.86799999999999999</c:v>
                </c:pt>
              </c:numCache>
            </c:numRef>
          </c:val>
          <c:extLst>
            <c:ext xmlns:c16="http://schemas.microsoft.com/office/drawing/2014/chart" uri="{C3380CC4-5D6E-409C-BE32-E72D297353CC}">
              <c16:uniqueId val="{00000004-A091-49E5-A3EA-9E540683BCF4}"/>
            </c:ext>
          </c:extLst>
        </c:ser>
        <c:dLbls>
          <c:showLegendKey val="0"/>
          <c:showVal val="0"/>
          <c:showCatName val="0"/>
          <c:showSerName val="0"/>
          <c:showPercent val="0"/>
          <c:showBubbleSize val="0"/>
        </c:dLbls>
        <c:gapWidth val="50"/>
        <c:overlap val="100"/>
        <c:axId val="1383535728"/>
        <c:axId val="1383551568"/>
      </c:barChart>
      <c:catAx>
        <c:axId val="1383535728"/>
        <c:scaling>
          <c:orientation val="minMax"/>
        </c:scaling>
        <c:delete val="1"/>
        <c:axPos val="l"/>
        <c:majorTickMark val="out"/>
        <c:minorTickMark val="none"/>
        <c:tickLblPos val="nextTo"/>
        <c:crossAx val="1383551568"/>
        <c:crosses val="autoZero"/>
        <c:auto val="1"/>
        <c:lblAlgn val="ctr"/>
        <c:lblOffset val="100"/>
        <c:noMultiLvlLbl val="0"/>
      </c:catAx>
      <c:valAx>
        <c:axId val="1383551568"/>
        <c:scaling>
          <c:orientation val="minMax"/>
          <c:max val="1.05"/>
          <c:min val="0"/>
        </c:scaling>
        <c:delete val="1"/>
        <c:axPos val="b"/>
        <c:numFmt formatCode="0%" sourceLinked="1"/>
        <c:majorTickMark val="out"/>
        <c:minorTickMark val="none"/>
        <c:tickLblPos val="nextTo"/>
        <c:crossAx val="138353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Processing!$A$7</c:f>
          <c:strCache>
            <c:ptCount val="1"/>
            <c:pt idx="0">
              <c:v>Task Manager</c:v>
            </c:pt>
          </c:strCache>
        </c:strRef>
      </c:tx>
      <c:layout>
        <c:manualLayout>
          <c:xMode val="edge"/>
          <c:yMode val="edge"/>
          <c:x val="0.37065075083925625"/>
          <c:y val="2.157361088736904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bar"/>
        <c:grouping val="percentStacked"/>
        <c:varyColors val="0"/>
        <c:ser>
          <c:idx val="2"/>
          <c:order val="0"/>
          <c:tx>
            <c:strRef>
              <c:f>Processing!$D$7</c:f>
              <c:strCache>
                <c:ptCount val="1"/>
                <c:pt idx="0">
                  <c:v>Indent</c:v>
                </c:pt>
              </c:strCache>
            </c:strRef>
          </c:tx>
          <c:spPr>
            <a:blipFill>
              <a:blip xmlns:r="http://schemas.openxmlformats.org/officeDocument/2006/relationships" r:embed="rId3"/>
              <a:stretch>
                <a:fillRect/>
              </a:stretch>
            </a:blipFill>
            <a:ln>
              <a:noFill/>
            </a:ln>
            <a:effectLst/>
          </c:spPr>
          <c:invertIfNegative val="0"/>
          <c:dPt>
            <c:idx val="0"/>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1-CDA6-4194-B1C9-DFA253BB39E5}"/>
              </c:ext>
            </c:extLst>
          </c:dPt>
          <c:dPt>
            <c:idx val="1"/>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3-CDA6-4194-B1C9-DFA253BB39E5}"/>
              </c:ext>
            </c:extLst>
          </c:dPt>
          <c:dPt>
            <c:idx val="2"/>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5-CDA6-4194-B1C9-DFA253BB39E5}"/>
              </c:ext>
            </c:extLst>
          </c:dPt>
          <c:dPt>
            <c:idx val="3"/>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7-CDA6-4194-B1C9-DFA253BB39E5}"/>
              </c:ext>
            </c:extLst>
          </c:dPt>
          <c:dPt>
            <c:idx val="4"/>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09-CDA6-4194-B1C9-DFA253BB39E5}"/>
              </c:ext>
            </c:extLst>
          </c:dPt>
          <c:cat>
            <c:strRef>
              <c:f>Processing!$A$8:$A$12</c:f>
              <c:strCache>
                <c:ptCount val="5"/>
                <c:pt idx="0">
                  <c:v>Task 1</c:v>
                </c:pt>
                <c:pt idx="1">
                  <c:v>Task 2</c:v>
                </c:pt>
                <c:pt idx="2">
                  <c:v>Task 3</c:v>
                </c:pt>
                <c:pt idx="3">
                  <c:v>Task 4</c:v>
                </c:pt>
                <c:pt idx="4">
                  <c:v>Task 5</c:v>
                </c:pt>
              </c:strCache>
            </c:strRef>
          </c:cat>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0A-CDA6-4194-B1C9-DFA253BB39E5}"/>
            </c:ext>
          </c:extLst>
        </c:ser>
        <c:ser>
          <c:idx val="0"/>
          <c:order val="1"/>
          <c:spPr>
            <a:solidFill>
              <a:schemeClr val="bg1"/>
            </a:solidFill>
            <a:ln>
              <a:noFill/>
            </a:ln>
            <a:effectLst/>
          </c:spPr>
          <c:invertIfNegative val="0"/>
          <c:dPt>
            <c:idx val="0"/>
            <c:invertIfNegative val="0"/>
            <c:bubble3D val="0"/>
            <c:spPr>
              <a:solidFill>
                <a:srgbClr val="2C78A7"/>
              </a:solidFill>
              <a:ln>
                <a:noFill/>
              </a:ln>
              <a:effectLst/>
            </c:spPr>
            <c:extLst>
              <c:ext xmlns:c16="http://schemas.microsoft.com/office/drawing/2014/chart" uri="{C3380CC4-5D6E-409C-BE32-E72D297353CC}">
                <c16:uniqueId val="{0000000C-CDA6-4194-B1C9-DFA253BB39E5}"/>
              </c:ext>
            </c:extLst>
          </c:dPt>
          <c:dPt>
            <c:idx val="1"/>
            <c:invertIfNegative val="0"/>
            <c:bubble3D val="0"/>
            <c:spPr>
              <a:solidFill>
                <a:srgbClr val="008377"/>
              </a:solidFill>
              <a:ln>
                <a:noFill/>
              </a:ln>
              <a:effectLst/>
            </c:spPr>
            <c:extLst>
              <c:ext xmlns:c16="http://schemas.microsoft.com/office/drawing/2014/chart" uri="{C3380CC4-5D6E-409C-BE32-E72D297353CC}">
                <c16:uniqueId val="{0000000E-CDA6-4194-B1C9-DFA253BB39E5}"/>
              </c:ext>
            </c:extLst>
          </c:dPt>
          <c:dPt>
            <c:idx val="2"/>
            <c:invertIfNegative val="0"/>
            <c:bubble3D val="0"/>
            <c:spPr>
              <a:solidFill>
                <a:srgbClr val="CE2C35"/>
              </a:solidFill>
              <a:ln>
                <a:noFill/>
              </a:ln>
              <a:effectLst/>
            </c:spPr>
            <c:extLst>
              <c:ext xmlns:c16="http://schemas.microsoft.com/office/drawing/2014/chart" uri="{C3380CC4-5D6E-409C-BE32-E72D297353CC}">
                <c16:uniqueId val="{00000010-CDA6-4194-B1C9-DFA253BB39E5}"/>
              </c:ext>
            </c:extLst>
          </c:dPt>
          <c:dPt>
            <c:idx val="3"/>
            <c:invertIfNegative val="0"/>
            <c:bubble3D val="0"/>
            <c:spPr>
              <a:solidFill>
                <a:srgbClr val="FA7E31"/>
              </a:solidFill>
              <a:ln>
                <a:noFill/>
              </a:ln>
              <a:effectLst/>
            </c:spPr>
            <c:extLst>
              <c:ext xmlns:c16="http://schemas.microsoft.com/office/drawing/2014/chart" uri="{C3380CC4-5D6E-409C-BE32-E72D297353CC}">
                <c16:uniqueId val="{00000012-CDA6-4194-B1C9-DFA253BB39E5}"/>
              </c:ext>
            </c:extLst>
          </c:dPt>
          <c:dPt>
            <c:idx val="4"/>
            <c:invertIfNegative val="0"/>
            <c:bubble3D val="0"/>
            <c:spPr>
              <a:solidFill>
                <a:srgbClr val="099699"/>
              </a:solidFill>
              <a:ln>
                <a:noFill/>
              </a:ln>
              <a:effectLst/>
            </c:spPr>
            <c:extLst>
              <c:ext xmlns:c16="http://schemas.microsoft.com/office/drawing/2014/chart" uri="{C3380CC4-5D6E-409C-BE32-E72D297353CC}">
                <c16:uniqueId val="{00000014-CDA6-4194-B1C9-DFA253BB39E5}"/>
              </c:ext>
            </c:extLst>
          </c:dPt>
          <c:cat>
            <c:strRef>
              <c:f>Processing!$A$8:$A$12</c:f>
              <c:strCache>
                <c:ptCount val="5"/>
                <c:pt idx="0">
                  <c:v>Task 1</c:v>
                </c:pt>
                <c:pt idx="1">
                  <c:v>Task 2</c:v>
                </c:pt>
                <c:pt idx="2">
                  <c:v>Task 3</c:v>
                </c:pt>
                <c:pt idx="3">
                  <c:v>Task 4</c:v>
                </c:pt>
                <c:pt idx="4">
                  <c:v>Task 5</c:v>
                </c:pt>
              </c:strCache>
            </c:strRef>
          </c:cat>
          <c:val>
            <c:numRef>
              <c:f>Processing!$B$8:$B$12</c:f>
              <c:numCache>
                <c:formatCode>0%</c:formatCode>
                <c:ptCount val="5"/>
                <c:pt idx="0">
                  <c:v>0.05</c:v>
                </c:pt>
                <c:pt idx="1">
                  <c:v>0.21</c:v>
                </c:pt>
                <c:pt idx="2">
                  <c:v>0.13</c:v>
                </c:pt>
                <c:pt idx="3">
                  <c:v>0.15999999999999998</c:v>
                </c:pt>
                <c:pt idx="4">
                  <c:v>0.10999999999999999</c:v>
                </c:pt>
              </c:numCache>
            </c:numRef>
          </c:val>
          <c:extLst>
            <c:ext xmlns:c16="http://schemas.microsoft.com/office/drawing/2014/chart" uri="{C3380CC4-5D6E-409C-BE32-E72D297353CC}">
              <c16:uniqueId val="{00000015-CDA6-4194-B1C9-DFA253BB39E5}"/>
            </c:ext>
          </c:extLst>
        </c:ser>
        <c:ser>
          <c:idx val="3"/>
          <c:order val="2"/>
          <c:tx>
            <c:strRef>
              <c:f>Processing!$D$7</c:f>
              <c:strCache>
                <c:ptCount val="1"/>
                <c:pt idx="0">
                  <c:v>Indent</c:v>
                </c:pt>
              </c:strCache>
            </c:strRef>
          </c:tx>
          <c:spPr>
            <a:blipFill>
              <a:blip xmlns:r="http://schemas.openxmlformats.org/officeDocument/2006/relationships" r:embed="rId9"/>
              <a:stretch>
                <a:fillRect/>
              </a:stretch>
            </a:blipFill>
            <a:ln>
              <a:noFill/>
            </a:ln>
            <a:effectLst/>
          </c:spPr>
          <c:invertIfNegative val="0"/>
          <c:dPt>
            <c:idx val="0"/>
            <c:invertIfNegative val="0"/>
            <c:bubble3D val="0"/>
            <c:spPr>
              <a:blipFill>
                <a:blip xmlns:r="http://schemas.openxmlformats.org/officeDocument/2006/relationships" r:embed="rId10"/>
                <a:stretch>
                  <a:fillRect/>
                </a:stretch>
              </a:blipFill>
              <a:ln>
                <a:noFill/>
              </a:ln>
              <a:effectLst/>
            </c:spPr>
            <c:extLst>
              <c:ext xmlns:c16="http://schemas.microsoft.com/office/drawing/2014/chart" uri="{C3380CC4-5D6E-409C-BE32-E72D297353CC}">
                <c16:uniqueId val="{00000017-CDA6-4194-B1C9-DFA253BB39E5}"/>
              </c:ext>
            </c:extLst>
          </c:dPt>
          <c:dPt>
            <c:idx val="1"/>
            <c:invertIfNegative val="0"/>
            <c:bubble3D val="0"/>
            <c:spPr>
              <a:blipFill>
                <a:blip xmlns:r="http://schemas.openxmlformats.org/officeDocument/2006/relationships" r:embed="rId11"/>
                <a:stretch>
                  <a:fillRect/>
                </a:stretch>
              </a:blipFill>
              <a:ln>
                <a:noFill/>
              </a:ln>
              <a:effectLst/>
            </c:spPr>
            <c:extLst>
              <c:ext xmlns:c16="http://schemas.microsoft.com/office/drawing/2014/chart" uri="{C3380CC4-5D6E-409C-BE32-E72D297353CC}">
                <c16:uniqueId val="{00000019-CDA6-4194-B1C9-DFA253BB39E5}"/>
              </c:ext>
            </c:extLst>
          </c:dPt>
          <c:dPt>
            <c:idx val="2"/>
            <c:invertIfNegative val="0"/>
            <c:bubble3D val="0"/>
            <c:spPr>
              <a:blipFill>
                <a:blip xmlns:r="http://schemas.openxmlformats.org/officeDocument/2006/relationships" r:embed="rId12"/>
                <a:stretch>
                  <a:fillRect/>
                </a:stretch>
              </a:blipFill>
              <a:ln>
                <a:noFill/>
              </a:ln>
              <a:effectLst/>
            </c:spPr>
            <c:extLst>
              <c:ext xmlns:c16="http://schemas.microsoft.com/office/drawing/2014/chart" uri="{C3380CC4-5D6E-409C-BE32-E72D297353CC}">
                <c16:uniqueId val="{0000001B-CDA6-4194-B1C9-DFA253BB39E5}"/>
              </c:ext>
            </c:extLst>
          </c:dPt>
          <c:dPt>
            <c:idx val="3"/>
            <c:invertIfNegative val="0"/>
            <c:bubble3D val="0"/>
            <c:spPr>
              <a:blipFill>
                <a:blip xmlns:r="http://schemas.openxmlformats.org/officeDocument/2006/relationships" r:embed="rId13"/>
                <a:stretch>
                  <a:fillRect/>
                </a:stretch>
              </a:blipFill>
              <a:ln>
                <a:noFill/>
              </a:ln>
              <a:effectLst/>
            </c:spPr>
            <c:extLst>
              <c:ext xmlns:c16="http://schemas.microsoft.com/office/drawing/2014/chart" uri="{C3380CC4-5D6E-409C-BE32-E72D297353CC}">
                <c16:uniqueId val="{0000001D-CDA6-4194-B1C9-DFA253BB39E5}"/>
              </c:ext>
            </c:extLst>
          </c:dPt>
          <c:dPt>
            <c:idx val="4"/>
            <c:invertIfNegative val="0"/>
            <c:bubble3D val="0"/>
            <c:spPr>
              <a:blipFill>
                <a:blip xmlns:r="http://schemas.openxmlformats.org/officeDocument/2006/relationships" r:embed="rId14"/>
                <a:stretch>
                  <a:fillRect/>
                </a:stretch>
              </a:blipFill>
              <a:ln>
                <a:noFill/>
              </a:ln>
              <a:effectLst/>
            </c:spPr>
            <c:extLst>
              <c:ext xmlns:c16="http://schemas.microsoft.com/office/drawing/2014/chart" uri="{C3380CC4-5D6E-409C-BE32-E72D297353CC}">
                <c16:uniqueId val="{0000001F-CDA6-4194-B1C9-DFA253BB39E5}"/>
              </c:ext>
            </c:extLst>
          </c:dPt>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20-CDA6-4194-B1C9-DFA253BB39E5}"/>
            </c:ext>
          </c:extLst>
        </c:ser>
        <c:ser>
          <c:idx val="1"/>
          <c:order val="3"/>
          <c:spPr>
            <a:solidFill>
              <a:srgbClr val="E7F3EE"/>
            </a:solidFill>
            <a:ln>
              <a:noFill/>
            </a:ln>
            <a:effectLst/>
          </c:spPr>
          <c:invertIfNegative val="0"/>
          <c:cat>
            <c:strRef>
              <c:f>Processing!$A$8:$A$12</c:f>
              <c:strCache>
                <c:ptCount val="5"/>
                <c:pt idx="0">
                  <c:v>Task 1</c:v>
                </c:pt>
                <c:pt idx="1">
                  <c:v>Task 2</c:v>
                </c:pt>
                <c:pt idx="2">
                  <c:v>Task 3</c:v>
                </c:pt>
                <c:pt idx="3">
                  <c:v>Task 4</c:v>
                </c:pt>
                <c:pt idx="4">
                  <c:v>Task 5</c:v>
                </c:pt>
              </c:strCache>
            </c:strRef>
          </c:cat>
          <c:val>
            <c:numRef>
              <c:f>Processing!$C$8:$C$12</c:f>
              <c:numCache>
                <c:formatCode>0%</c:formatCode>
                <c:ptCount val="5"/>
                <c:pt idx="0">
                  <c:v>0.95</c:v>
                </c:pt>
                <c:pt idx="1">
                  <c:v>0.79</c:v>
                </c:pt>
                <c:pt idx="2">
                  <c:v>0.87</c:v>
                </c:pt>
                <c:pt idx="3">
                  <c:v>0.84000000000000008</c:v>
                </c:pt>
                <c:pt idx="4">
                  <c:v>0.89</c:v>
                </c:pt>
              </c:numCache>
            </c:numRef>
          </c:val>
          <c:extLst>
            <c:ext xmlns:c16="http://schemas.microsoft.com/office/drawing/2014/chart" uri="{C3380CC4-5D6E-409C-BE32-E72D297353CC}">
              <c16:uniqueId val="{00000021-CDA6-4194-B1C9-DFA253BB39E5}"/>
            </c:ext>
          </c:extLst>
        </c:ser>
        <c:ser>
          <c:idx val="4"/>
          <c:order val="4"/>
          <c:tx>
            <c:strRef>
              <c:f>Processing!$D$7</c:f>
              <c:strCache>
                <c:ptCount val="1"/>
                <c:pt idx="0">
                  <c:v>Indent</c:v>
                </c:pt>
              </c:strCache>
            </c:strRef>
          </c:tx>
          <c:spPr>
            <a:blipFill>
              <a:blip xmlns:r="http://schemas.openxmlformats.org/officeDocument/2006/relationships" r:embed="rId15"/>
              <a:stretch>
                <a:fillRect/>
              </a:stretch>
            </a:blipFill>
            <a:ln>
              <a:noFill/>
            </a:ln>
            <a:effectLst/>
          </c:spPr>
          <c:invertIfNegative val="0"/>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22-CDA6-4194-B1C9-DFA253BB39E5}"/>
            </c:ext>
          </c:extLst>
        </c:ser>
        <c:dLbls>
          <c:showLegendKey val="0"/>
          <c:showVal val="0"/>
          <c:showCatName val="0"/>
          <c:showSerName val="0"/>
          <c:showPercent val="0"/>
          <c:showBubbleSize val="0"/>
        </c:dLbls>
        <c:gapWidth val="80"/>
        <c:overlap val="100"/>
        <c:axId val="1079036944"/>
        <c:axId val="1079033584"/>
      </c:barChart>
      <c:catAx>
        <c:axId val="107903694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079033584"/>
        <c:crosses val="autoZero"/>
        <c:auto val="1"/>
        <c:lblAlgn val="ctr"/>
        <c:lblOffset val="100"/>
        <c:noMultiLvlLbl val="0"/>
      </c:catAx>
      <c:valAx>
        <c:axId val="1079033584"/>
        <c:scaling>
          <c:orientation val="minMax"/>
        </c:scaling>
        <c:delete val="1"/>
        <c:axPos val="t"/>
        <c:numFmt formatCode="0%" sourceLinked="1"/>
        <c:majorTickMark val="none"/>
        <c:minorTickMark val="none"/>
        <c:tickLblPos val="nextTo"/>
        <c:crossAx val="107903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Processing!$A$3</c:f>
          <c:strCache>
            <c:ptCount val="1"/>
            <c:pt idx="0">
              <c:v>Conversion</c:v>
            </c:pt>
          </c:strCache>
        </c:strRef>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doughnutChart>
        <c:varyColors val="1"/>
        <c:ser>
          <c:idx val="0"/>
          <c:order val="0"/>
          <c:spPr>
            <a:solidFill>
              <a:srgbClr val="006966"/>
            </a:solidFill>
            <a:effectLst>
              <a:outerShdw blurRad="50800" dist="88900" dir="8100000" algn="tr" rotWithShape="0">
                <a:prstClr val="black">
                  <a:alpha val="40000"/>
                </a:prstClr>
              </a:outerShdw>
            </a:effectLst>
          </c:spPr>
          <c:dPt>
            <c:idx val="0"/>
            <c:bubble3D val="0"/>
            <c:spPr>
              <a:solidFill>
                <a:srgbClr val="006966"/>
              </a:solidFill>
              <a:ln w="19050">
                <a:solidFill>
                  <a:schemeClr val="lt1"/>
                </a:solidFill>
              </a:ln>
              <a:effectLst>
                <a:outerShdw blurRad="50800" dist="88900" dir="8100000" algn="tr" rotWithShape="0">
                  <a:prstClr val="black">
                    <a:alpha val="40000"/>
                  </a:prstClr>
                </a:outerShdw>
              </a:effectLst>
            </c:spPr>
            <c:extLst>
              <c:ext xmlns:c16="http://schemas.microsoft.com/office/drawing/2014/chart" uri="{C3380CC4-5D6E-409C-BE32-E72D297353CC}">
                <c16:uniqueId val="{00000001-5C17-44F2-8648-7767C7B7915E}"/>
              </c:ext>
            </c:extLst>
          </c:dPt>
          <c:dPt>
            <c:idx val="1"/>
            <c:bubble3D val="0"/>
            <c:spPr>
              <a:solidFill>
                <a:srgbClr val="70D2C3"/>
              </a:solidFill>
              <a:ln w="19050">
                <a:solidFill>
                  <a:schemeClr val="lt1"/>
                </a:solidFill>
              </a:ln>
              <a:effectLst>
                <a:outerShdw blurRad="50800" dist="88900" dir="8100000" algn="tr" rotWithShape="0">
                  <a:prstClr val="black">
                    <a:alpha val="40000"/>
                  </a:prstClr>
                </a:outerShdw>
              </a:effectLst>
            </c:spPr>
            <c:extLst>
              <c:ext xmlns:c16="http://schemas.microsoft.com/office/drawing/2014/chart" uri="{C3380CC4-5D6E-409C-BE32-E72D297353CC}">
                <c16:uniqueId val="{00000003-5C17-44F2-8648-7767C7B7915E}"/>
              </c:ext>
            </c:extLst>
          </c:dPt>
          <c:val>
            <c:numRef>
              <c:f>Processing!$B$3:$C$3</c:f>
              <c:numCache>
                <c:formatCode>0%</c:formatCode>
                <c:ptCount val="2"/>
                <c:pt idx="0">
                  <c:v>0.16</c:v>
                </c:pt>
                <c:pt idx="1">
                  <c:v>0.84</c:v>
                </c:pt>
              </c:numCache>
            </c:numRef>
          </c:val>
          <c:extLst>
            <c:ext xmlns:c16="http://schemas.microsoft.com/office/drawing/2014/chart" uri="{C3380CC4-5D6E-409C-BE32-E72D297353CC}">
              <c16:uniqueId val="{00000004-5C17-44F2-8648-7767C7B7915E}"/>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19050"/>
          </c:spPr>
          <c:dPt>
            <c:idx val="0"/>
            <c:bubble3D val="0"/>
            <c:spPr>
              <a:solidFill>
                <a:srgbClr val="006966"/>
              </a:solidFill>
              <a:ln w="19050">
                <a:solidFill>
                  <a:schemeClr val="lt1"/>
                </a:solidFill>
              </a:ln>
              <a:effectLst/>
            </c:spPr>
            <c:extLst>
              <c:ext xmlns:c16="http://schemas.microsoft.com/office/drawing/2014/chart" uri="{C3380CC4-5D6E-409C-BE32-E72D297353CC}">
                <c16:uniqueId val="{00000001-962D-4333-B6BA-DF3A27A94B52}"/>
              </c:ext>
            </c:extLst>
          </c:dPt>
          <c:dPt>
            <c:idx val="1"/>
            <c:bubble3D val="0"/>
            <c:spPr>
              <a:solidFill>
                <a:srgbClr val="068275"/>
              </a:solidFill>
              <a:ln w="19050">
                <a:solidFill>
                  <a:schemeClr val="lt1"/>
                </a:solidFill>
              </a:ln>
              <a:effectLst/>
            </c:spPr>
            <c:extLst>
              <c:ext xmlns:c16="http://schemas.microsoft.com/office/drawing/2014/chart" uri="{C3380CC4-5D6E-409C-BE32-E72D297353CC}">
                <c16:uniqueId val="{00000003-962D-4333-B6BA-DF3A27A94B52}"/>
              </c:ext>
            </c:extLst>
          </c:dPt>
          <c:val>
            <c:numRef>
              <c:f>Processing!$B$3:$C$3</c:f>
              <c:numCache>
                <c:formatCode>0%</c:formatCode>
                <c:ptCount val="2"/>
                <c:pt idx="0">
                  <c:v>0.16</c:v>
                </c:pt>
                <c:pt idx="1">
                  <c:v>0.84</c:v>
                </c:pt>
              </c:numCache>
            </c:numRef>
          </c:val>
          <c:extLst>
            <c:ext xmlns:c16="http://schemas.microsoft.com/office/drawing/2014/chart" uri="{C3380CC4-5D6E-409C-BE32-E72D297353CC}">
              <c16:uniqueId val="{00000004-962D-4333-B6BA-DF3A27A94B52}"/>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c:spPr>
          <c:dPt>
            <c:idx val="0"/>
            <c:bubble3D val="0"/>
            <c:spPr>
              <a:solidFill>
                <a:srgbClr val="006966"/>
              </a:solidFill>
              <a:ln w="25400">
                <a:solidFill>
                  <a:schemeClr val="lt1"/>
                </a:solidFill>
              </a:ln>
              <a:effectLst/>
            </c:spPr>
            <c:extLst>
              <c:ext xmlns:c16="http://schemas.microsoft.com/office/drawing/2014/chart" uri="{C3380CC4-5D6E-409C-BE32-E72D297353CC}">
                <c16:uniqueId val="{00000007-4BB7-468C-9EA4-116C93225DAC}"/>
              </c:ext>
            </c:extLst>
          </c:dPt>
          <c:dPt>
            <c:idx val="1"/>
            <c:bubble3D val="0"/>
            <c:spPr>
              <a:solidFill>
                <a:srgbClr val="068275"/>
              </a:solidFill>
              <a:ln w="25400">
                <a:solidFill>
                  <a:schemeClr val="lt1"/>
                </a:solidFill>
              </a:ln>
              <a:effectLst/>
            </c:spPr>
            <c:extLst>
              <c:ext xmlns:c16="http://schemas.microsoft.com/office/drawing/2014/chart" uri="{C3380CC4-5D6E-409C-BE32-E72D297353CC}">
                <c16:uniqueId val="{00000009-4BB7-468C-9EA4-116C93225DAC}"/>
              </c:ext>
            </c:extLst>
          </c:dPt>
          <c:val>
            <c:numRef>
              <c:f>Processing!$B$3:$C$3</c:f>
              <c:numCache>
                <c:formatCode>0%</c:formatCode>
                <c:ptCount val="2"/>
                <c:pt idx="0">
                  <c:v>0.16</c:v>
                </c:pt>
                <c:pt idx="1">
                  <c:v>0.84</c:v>
                </c:pt>
              </c:numCache>
            </c:numRef>
          </c:val>
          <c:extLst>
            <c:ext xmlns:c16="http://schemas.microsoft.com/office/drawing/2014/chart" uri="{C3380CC4-5D6E-409C-BE32-E72D297353CC}">
              <c16:uniqueId val="{0000000A-4BB7-468C-9EA4-116C93225DAC}"/>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06966"/>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93C9-4289-9F35-8E703871BB4F}"/>
              </c:ext>
            </c:extLst>
          </c:dPt>
          <c:val>
            <c:numRef>
              <c:f>Processing!$B$5</c:f>
              <c:numCache>
                <c:formatCode>0%</c:formatCode>
                <c:ptCount val="1"/>
                <c:pt idx="0">
                  <c:v>0.13200000000000001</c:v>
                </c:pt>
              </c:numCache>
            </c:numRef>
          </c:val>
          <c:extLst>
            <c:ext xmlns:c16="http://schemas.microsoft.com/office/drawing/2014/chart" uri="{C3380CC4-5D6E-409C-BE32-E72D297353CC}">
              <c16:uniqueId val="{00000002-93C9-4289-9F35-8E703871BB4F}"/>
            </c:ext>
          </c:extLst>
        </c:ser>
        <c:ser>
          <c:idx val="1"/>
          <c:order val="1"/>
          <c:spPr>
            <a:blipFill>
              <a:blip xmlns:r="http://schemas.openxmlformats.org/officeDocument/2006/relationships" r:embed="rId4"/>
              <a:stretch>
                <a:fillRect/>
              </a:stretch>
            </a:blipFill>
            <a:ln>
              <a:noFill/>
            </a:ln>
            <a:effectLst/>
          </c:spPr>
          <c:invertIfNegative val="0"/>
          <c:val>
            <c:numRef>
              <c:f>Processing!$C$5</c:f>
              <c:numCache>
                <c:formatCode>0%</c:formatCode>
                <c:ptCount val="1"/>
                <c:pt idx="0">
                  <c:v>0.05</c:v>
                </c:pt>
              </c:numCache>
            </c:numRef>
          </c:val>
          <c:extLst>
            <c:ext xmlns:c16="http://schemas.microsoft.com/office/drawing/2014/chart" uri="{C3380CC4-5D6E-409C-BE32-E72D297353CC}">
              <c16:uniqueId val="{00000003-93C9-4289-9F35-8E703871BB4F}"/>
            </c:ext>
          </c:extLst>
        </c:ser>
        <c:ser>
          <c:idx val="2"/>
          <c:order val="2"/>
          <c:spPr>
            <a:blipFill>
              <a:blip xmlns:r="http://schemas.openxmlformats.org/officeDocument/2006/relationships" r:embed="rId5"/>
              <a:stretch>
                <a:fillRect/>
              </a:stretch>
            </a:blipFill>
            <a:ln>
              <a:noFill/>
            </a:ln>
            <a:effectLst/>
          </c:spPr>
          <c:invertIfNegative val="0"/>
          <c:val>
            <c:numRef>
              <c:f>Processing!$D$5</c:f>
              <c:numCache>
                <c:formatCode>0%</c:formatCode>
                <c:ptCount val="1"/>
                <c:pt idx="0">
                  <c:v>0.86799999999999999</c:v>
                </c:pt>
              </c:numCache>
            </c:numRef>
          </c:val>
          <c:extLst>
            <c:ext xmlns:c16="http://schemas.microsoft.com/office/drawing/2014/chart" uri="{C3380CC4-5D6E-409C-BE32-E72D297353CC}">
              <c16:uniqueId val="{00000004-93C9-4289-9F35-8E703871BB4F}"/>
            </c:ext>
          </c:extLst>
        </c:ser>
        <c:dLbls>
          <c:showLegendKey val="0"/>
          <c:showVal val="0"/>
          <c:showCatName val="0"/>
          <c:showSerName val="0"/>
          <c:showPercent val="0"/>
          <c:showBubbleSize val="0"/>
        </c:dLbls>
        <c:gapWidth val="50"/>
        <c:overlap val="100"/>
        <c:axId val="1383535728"/>
        <c:axId val="1383551568"/>
      </c:barChart>
      <c:catAx>
        <c:axId val="1383535728"/>
        <c:scaling>
          <c:orientation val="minMax"/>
        </c:scaling>
        <c:delete val="1"/>
        <c:axPos val="l"/>
        <c:majorTickMark val="out"/>
        <c:minorTickMark val="none"/>
        <c:tickLblPos val="nextTo"/>
        <c:crossAx val="1383551568"/>
        <c:crosses val="autoZero"/>
        <c:auto val="1"/>
        <c:lblAlgn val="ctr"/>
        <c:lblOffset val="100"/>
        <c:noMultiLvlLbl val="0"/>
      </c:catAx>
      <c:valAx>
        <c:axId val="1383551568"/>
        <c:scaling>
          <c:orientation val="minMax"/>
          <c:max val="1.05"/>
          <c:min val="0"/>
        </c:scaling>
        <c:delete val="1"/>
        <c:axPos val="b"/>
        <c:numFmt formatCode="0%" sourceLinked="1"/>
        <c:majorTickMark val="out"/>
        <c:minorTickMark val="none"/>
        <c:tickLblPos val="nextTo"/>
        <c:crossAx val="138353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Processing!$A$7</c:f>
          <c:strCache>
            <c:ptCount val="1"/>
            <c:pt idx="0">
              <c:v>Task Manager</c:v>
            </c:pt>
          </c:strCache>
        </c:strRef>
      </c:tx>
      <c:layout>
        <c:manualLayout>
          <c:xMode val="edge"/>
          <c:yMode val="edge"/>
          <c:x val="0.37065075083925625"/>
          <c:y val="2.157361088736904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bar"/>
        <c:grouping val="percentStacked"/>
        <c:varyColors val="0"/>
        <c:ser>
          <c:idx val="2"/>
          <c:order val="0"/>
          <c:tx>
            <c:strRef>
              <c:f>Processing!$D$7</c:f>
              <c:strCache>
                <c:ptCount val="1"/>
                <c:pt idx="0">
                  <c:v>Indent</c:v>
                </c:pt>
              </c:strCache>
            </c:strRef>
          </c:tx>
          <c:spPr>
            <a:blipFill>
              <a:blip xmlns:r="http://schemas.openxmlformats.org/officeDocument/2006/relationships" r:embed="rId3"/>
              <a:stretch>
                <a:fillRect/>
              </a:stretch>
            </a:blipFill>
            <a:ln>
              <a:noFill/>
            </a:ln>
            <a:effectLst/>
          </c:spPr>
          <c:invertIfNegative val="0"/>
          <c:dPt>
            <c:idx val="0"/>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1-87FD-4A89-9434-DFAC7680F8C6}"/>
              </c:ext>
            </c:extLst>
          </c:dPt>
          <c:dPt>
            <c:idx val="1"/>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3-87FD-4A89-9434-DFAC7680F8C6}"/>
              </c:ext>
            </c:extLst>
          </c:dPt>
          <c:dPt>
            <c:idx val="2"/>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5-87FD-4A89-9434-DFAC7680F8C6}"/>
              </c:ext>
            </c:extLst>
          </c:dPt>
          <c:dPt>
            <c:idx val="3"/>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7-87FD-4A89-9434-DFAC7680F8C6}"/>
              </c:ext>
            </c:extLst>
          </c:dPt>
          <c:dPt>
            <c:idx val="4"/>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09-87FD-4A89-9434-DFAC7680F8C6}"/>
              </c:ext>
            </c:extLst>
          </c:dPt>
          <c:cat>
            <c:strRef>
              <c:f>Processing!$A$8:$A$12</c:f>
              <c:strCache>
                <c:ptCount val="5"/>
                <c:pt idx="0">
                  <c:v>Task 1</c:v>
                </c:pt>
                <c:pt idx="1">
                  <c:v>Task 2</c:v>
                </c:pt>
                <c:pt idx="2">
                  <c:v>Task 3</c:v>
                </c:pt>
                <c:pt idx="3">
                  <c:v>Task 4</c:v>
                </c:pt>
                <c:pt idx="4">
                  <c:v>Task 5</c:v>
                </c:pt>
              </c:strCache>
            </c:strRef>
          </c:cat>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0A-87FD-4A89-9434-DFAC7680F8C6}"/>
            </c:ext>
          </c:extLst>
        </c:ser>
        <c:ser>
          <c:idx val="0"/>
          <c:order val="1"/>
          <c:spPr>
            <a:solidFill>
              <a:schemeClr val="bg1"/>
            </a:solidFill>
            <a:ln>
              <a:noFill/>
            </a:ln>
            <a:effectLst/>
          </c:spPr>
          <c:invertIfNegative val="0"/>
          <c:dPt>
            <c:idx val="0"/>
            <c:invertIfNegative val="0"/>
            <c:bubble3D val="0"/>
            <c:spPr>
              <a:solidFill>
                <a:srgbClr val="2C78A7"/>
              </a:solidFill>
              <a:ln>
                <a:noFill/>
              </a:ln>
              <a:effectLst/>
            </c:spPr>
            <c:extLst>
              <c:ext xmlns:c16="http://schemas.microsoft.com/office/drawing/2014/chart" uri="{C3380CC4-5D6E-409C-BE32-E72D297353CC}">
                <c16:uniqueId val="{0000000C-87FD-4A89-9434-DFAC7680F8C6}"/>
              </c:ext>
            </c:extLst>
          </c:dPt>
          <c:dPt>
            <c:idx val="1"/>
            <c:invertIfNegative val="0"/>
            <c:bubble3D val="0"/>
            <c:spPr>
              <a:solidFill>
                <a:srgbClr val="008377"/>
              </a:solidFill>
              <a:ln>
                <a:noFill/>
              </a:ln>
              <a:effectLst/>
            </c:spPr>
            <c:extLst>
              <c:ext xmlns:c16="http://schemas.microsoft.com/office/drawing/2014/chart" uri="{C3380CC4-5D6E-409C-BE32-E72D297353CC}">
                <c16:uniqueId val="{0000000E-87FD-4A89-9434-DFAC7680F8C6}"/>
              </c:ext>
            </c:extLst>
          </c:dPt>
          <c:dPt>
            <c:idx val="2"/>
            <c:invertIfNegative val="0"/>
            <c:bubble3D val="0"/>
            <c:spPr>
              <a:solidFill>
                <a:srgbClr val="CE2C35"/>
              </a:solidFill>
              <a:ln>
                <a:noFill/>
              </a:ln>
              <a:effectLst/>
            </c:spPr>
            <c:extLst>
              <c:ext xmlns:c16="http://schemas.microsoft.com/office/drawing/2014/chart" uri="{C3380CC4-5D6E-409C-BE32-E72D297353CC}">
                <c16:uniqueId val="{00000010-87FD-4A89-9434-DFAC7680F8C6}"/>
              </c:ext>
            </c:extLst>
          </c:dPt>
          <c:dPt>
            <c:idx val="3"/>
            <c:invertIfNegative val="0"/>
            <c:bubble3D val="0"/>
            <c:spPr>
              <a:solidFill>
                <a:srgbClr val="FA7E31"/>
              </a:solidFill>
              <a:ln>
                <a:noFill/>
              </a:ln>
              <a:effectLst/>
            </c:spPr>
            <c:extLst>
              <c:ext xmlns:c16="http://schemas.microsoft.com/office/drawing/2014/chart" uri="{C3380CC4-5D6E-409C-BE32-E72D297353CC}">
                <c16:uniqueId val="{00000012-87FD-4A89-9434-DFAC7680F8C6}"/>
              </c:ext>
            </c:extLst>
          </c:dPt>
          <c:dPt>
            <c:idx val="4"/>
            <c:invertIfNegative val="0"/>
            <c:bubble3D val="0"/>
            <c:spPr>
              <a:solidFill>
                <a:srgbClr val="099699"/>
              </a:solidFill>
              <a:ln>
                <a:noFill/>
              </a:ln>
              <a:effectLst/>
            </c:spPr>
            <c:extLst>
              <c:ext xmlns:c16="http://schemas.microsoft.com/office/drawing/2014/chart" uri="{C3380CC4-5D6E-409C-BE32-E72D297353CC}">
                <c16:uniqueId val="{00000014-87FD-4A89-9434-DFAC7680F8C6}"/>
              </c:ext>
            </c:extLst>
          </c:dPt>
          <c:cat>
            <c:strRef>
              <c:f>Processing!$A$8:$A$12</c:f>
              <c:strCache>
                <c:ptCount val="5"/>
                <c:pt idx="0">
                  <c:v>Task 1</c:v>
                </c:pt>
                <c:pt idx="1">
                  <c:v>Task 2</c:v>
                </c:pt>
                <c:pt idx="2">
                  <c:v>Task 3</c:v>
                </c:pt>
                <c:pt idx="3">
                  <c:v>Task 4</c:v>
                </c:pt>
                <c:pt idx="4">
                  <c:v>Task 5</c:v>
                </c:pt>
              </c:strCache>
            </c:strRef>
          </c:cat>
          <c:val>
            <c:numRef>
              <c:f>Processing!$B$8:$B$12</c:f>
              <c:numCache>
                <c:formatCode>0%</c:formatCode>
                <c:ptCount val="5"/>
                <c:pt idx="0">
                  <c:v>0.05</c:v>
                </c:pt>
                <c:pt idx="1">
                  <c:v>0.21</c:v>
                </c:pt>
                <c:pt idx="2">
                  <c:v>0.13</c:v>
                </c:pt>
                <c:pt idx="3">
                  <c:v>0.15999999999999998</c:v>
                </c:pt>
                <c:pt idx="4">
                  <c:v>0.10999999999999999</c:v>
                </c:pt>
              </c:numCache>
            </c:numRef>
          </c:val>
          <c:extLst>
            <c:ext xmlns:c16="http://schemas.microsoft.com/office/drawing/2014/chart" uri="{C3380CC4-5D6E-409C-BE32-E72D297353CC}">
              <c16:uniqueId val="{00000015-87FD-4A89-9434-DFAC7680F8C6}"/>
            </c:ext>
          </c:extLst>
        </c:ser>
        <c:ser>
          <c:idx val="3"/>
          <c:order val="2"/>
          <c:tx>
            <c:strRef>
              <c:f>Processing!$D$7</c:f>
              <c:strCache>
                <c:ptCount val="1"/>
                <c:pt idx="0">
                  <c:v>Indent</c:v>
                </c:pt>
              </c:strCache>
            </c:strRef>
          </c:tx>
          <c:spPr>
            <a:blipFill>
              <a:blip xmlns:r="http://schemas.openxmlformats.org/officeDocument/2006/relationships" r:embed="rId9"/>
              <a:stretch>
                <a:fillRect/>
              </a:stretch>
            </a:blipFill>
            <a:ln>
              <a:noFill/>
            </a:ln>
            <a:effectLst/>
          </c:spPr>
          <c:invertIfNegative val="0"/>
          <c:dPt>
            <c:idx val="0"/>
            <c:invertIfNegative val="0"/>
            <c:bubble3D val="0"/>
            <c:spPr>
              <a:blipFill>
                <a:blip xmlns:r="http://schemas.openxmlformats.org/officeDocument/2006/relationships" r:embed="rId10"/>
                <a:stretch>
                  <a:fillRect/>
                </a:stretch>
              </a:blipFill>
              <a:ln>
                <a:noFill/>
              </a:ln>
              <a:effectLst/>
            </c:spPr>
            <c:extLst>
              <c:ext xmlns:c16="http://schemas.microsoft.com/office/drawing/2014/chart" uri="{C3380CC4-5D6E-409C-BE32-E72D297353CC}">
                <c16:uniqueId val="{00000017-87FD-4A89-9434-DFAC7680F8C6}"/>
              </c:ext>
            </c:extLst>
          </c:dPt>
          <c:dPt>
            <c:idx val="1"/>
            <c:invertIfNegative val="0"/>
            <c:bubble3D val="0"/>
            <c:spPr>
              <a:blipFill>
                <a:blip xmlns:r="http://schemas.openxmlformats.org/officeDocument/2006/relationships" r:embed="rId11"/>
                <a:stretch>
                  <a:fillRect/>
                </a:stretch>
              </a:blipFill>
              <a:ln>
                <a:noFill/>
              </a:ln>
              <a:effectLst/>
            </c:spPr>
            <c:extLst>
              <c:ext xmlns:c16="http://schemas.microsoft.com/office/drawing/2014/chart" uri="{C3380CC4-5D6E-409C-BE32-E72D297353CC}">
                <c16:uniqueId val="{00000019-87FD-4A89-9434-DFAC7680F8C6}"/>
              </c:ext>
            </c:extLst>
          </c:dPt>
          <c:dPt>
            <c:idx val="2"/>
            <c:invertIfNegative val="0"/>
            <c:bubble3D val="0"/>
            <c:spPr>
              <a:blipFill>
                <a:blip xmlns:r="http://schemas.openxmlformats.org/officeDocument/2006/relationships" r:embed="rId12"/>
                <a:stretch>
                  <a:fillRect/>
                </a:stretch>
              </a:blipFill>
              <a:ln>
                <a:noFill/>
              </a:ln>
              <a:effectLst/>
            </c:spPr>
            <c:extLst>
              <c:ext xmlns:c16="http://schemas.microsoft.com/office/drawing/2014/chart" uri="{C3380CC4-5D6E-409C-BE32-E72D297353CC}">
                <c16:uniqueId val="{0000001B-87FD-4A89-9434-DFAC7680F8C6}"/>
              </c:ext>
            </c:extLst>
          </c:dPt>
          <c:dPt>
            <c:idx val="3"/>
            <c:invertIfNegative val="0"/>
            <c:bubble3D val="0"/>
            <c:spPr>
              <a:blipFill>
                <a:blip xmlns:r="http://schemas.openxmlformats.org/officeDocument/2006/relationships" r:embed="rId13"/>
                <a:stretch>
                  <a:fillRect/>
                </a:stretch>
              </a:blipFill>
              <a:ln>
                <a:noFill/>
              </a:ln>
              <a:effectLst/>
            </c:spPr>
            <c:extLst>
              <c:ext xmlns:c16="http://schemas.microsoft.com/office/drawing/2014/chart" uri="{C3380CC4-5D6E-409C-BE32-E72D297353CC}">
                <c16:uniqueId val="{0000001D-87FD-4A89-9434-DFAC7680F8C6}"/>
              </c:ext>
            </c:extLst>
          </c:dPt>
          <c:dPt>
            <c:idx val="4"/>
            <c:invertIfNegative val="0"/>
            <c:bubble3D val="0"/>
            <c:spPr>
              <a:blipFill>
                <a:blip xmlns:r="http://schemas.openxmlformats.org/officeDocument/2006/relationships" r:embed="rId14"/>
                <a:stretch>
                  <a:fillRect/>
                </a:stretch>
              </a:blipFill>
              <a:ln>
                <a:noFill/>
              </a:ln>
              <a:effectLst/>
            </c:spPr>
            <c:extLst>
              <c:ext xmlns:c16="http://schemas.microsoft.com/office/drawing/2014/chart" uri="{C3380CC4-5D6E-409C-BE32-E72D297353CC}">
                <c16:uniqueId val="{0000001F-87FD-4A89-9434-DFAC7680F8C6}"/>
              </c:ext>
            </c:extLst>
          </c:dPt>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20-87FD-4A89-9434-DFAC7680F8C6}"/>
            </c:ext>
          </c:extLst>
        </c:ser>
        <c:ser>
          <c:idx val="1"/>
          <c:order val="3"/>
          <c:spPr>
            <a:solidFill>
              <a:srgbClr val="E7F3EE"/>
            </a:solidFill>
            <a:ln>
              <a:noFill/>
            </a:ln>
            <a:effectLst/>
          </c:spPr>
          <c:invertIfNegative val="0"/>
          <c:cat>
            <c:strRef>
              <c:f>Processing!$A$8:$A$12</c:f>
              <c:strCache>
                <c:ptCount val="5"/>
                <c:pt idx="0">
                  <c:v>Task 1</c:v>
                </c:pt>
                <c:pt idx="1">
                  <c:v>Task 2</c:v>
                </c:pt>
                <c:pt idx="2">
                  <c:v>Task 3</c:v>
                </c:pt>
                <c:pt idx="3">
                  <c:v>Task 4</c:v>
                </c:pt>
                <c:pt idx="4">
                  <c:v>Task 5</c:v>
                </c:pt>
              </c:strCache>
            </c:strRef>
          </c:cat>
          <c:val>
            <c:numRef>
              <c:f>Processing!$C$8:$C$12</c:f>
              <c:numCache>
                <c:formatCode>0%</c:formatCode>
                <c:ptCount val="5"/>
                <c:pt idx="0">
                  <c:v>0.95</c:v>
                </c:pt>
                <c:pt idx="1">
                  <c:v>0.79</c:v>
                </c:pt>
                <c:pt idx="2">
                  <c:v>0.87</c:v>
                </c:pt>
                <c:pt idx="3">
                  <c:v>0.84000000000000008</c:v>
                </c:pt>
                <c:pt idx="4">
                  <c:v>0.89</c:v>
                </c:pt>
              </c:numCache>
            </c:numRef>
          </c:val>
          <c:extLst>
            <c:ext xmlns:c16="http://schemas.microsoft.com/office/drawing/2014/chart" uri="{C3380CC4-5D6E-409C-BE32-E72D297353CC}">
              <c16:uniqueId val="{00000021-87FD-4A89-9434-DFAC7680F8C6}"/>
            </c:ext>
          </c:extLst>
        </c:ser>
        <c:ser>
          <c:idx val="4"/>
          <c:order val="4"/>
          <c:tx>
            <c:strRef>
              <c:f>Processing!$D$7</c:f>
              <c:strCache>
                <c:ptCount val="1"/>
                <c:pt idx="0">
                  <c:v>Indent</c:v>
                </c:pt>
              </c:strCache>
            </c:strRef>
          </c:tx>
          <c:spPr>
            <a:blipFill>
              <a:blip xmlns:r="http://schemas.openxmlformats.org/officeDocument/2006/relationships" r:embed="rId15"/>
              <a:stretch>
                <a:fillRect/>
              </a:stretch>
            </a:blipFill>
            <a:ln>
              <a:noFill/>
            </a:ln>
            <a:effectLst/>
          </c:spPr>
          <c:invertIfNegative val="0"/>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22-87FD-4A89-9434-DFAC7680F8C6}"/>
            </c:ext>
          </c:extLst>
        </c:ser>
        <c:dLbls>
          <c:showLegendKey val="0"/>
          <c:showVal val="0"/>
          <c:showCatName val="0"/>
          <c:showSerName val="0"/>
          <c:showPercent val="0"/>
          <c:showBubbleSize val="0"/>
        </c:dLbls>
        <c:gapWidth val="80"/>
        <c:overlap val="100"/>
        <c:axId val="1079036944"/>
        <c:axId val="1079033584"/>
      </c:barChart>
      <c:catAx>
        <c:axId val="107903694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079033584"/>
        <c:crosses val="autoZero"/>
        <c:auto val="1"/>
        <c:lblAlgn val="ctr"/>
        <c:lblOffset val="100"/>
        <c:noMultiLvlLbl val="0"/>
      </c:catAx>
      <c:valAx>
        <c:axId val="1079033584"/>
        <c:scaling>
          <c:orientation val="minMax"/>
        </c:scaling>
        <c:delete val="1"/>
        <c:axPos val="t"/>
        <c:numFmt formatCode="0%" sourceLinked="1"/>
        <c:majorTickMark val="none"/>
        <c:minorTickMark val="none"/>
        <c:tickLblPos val="nextTo"/>
        <c:crossAx val="107903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Processing!$H$15</c:f>
          <c:strCache>
            <c:ptCount val="1"/>
            <c:pt idx="0">
              <c:v>Profit Performance</c:v>
            </c:pt>
          </c:strCache>
        </c:strRef>
      </c:tx>
      <c:layout>
        <c:manualLayout>
          <c:xMode val="edge"/>
          <c:yMode val="edge"/>
          <c:x val="5.7623273894886941E-4"/>
          <c:y val="1.5432098765432098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stacked"/>
        <c:varyColors val="0"/>
        <c:ser>
          <c:idx val="1"/>
          <c:order val="1"/>
          <c:tx>
            <c:strRef>
              <c:f>Processing!$I$16</c:f>
              <c:strCache>
                <c:ptCount val="1"/>
                <c:pt idx="0">
                  <c:v>Plan</c:v>
                </c:pt>
              </c:strCache>
            </c:strRef>
          </c:tx>
          <c:spPr>
            <a:solidFill>
              <a:srgbClr val="329E8F"/>
            </a:solidFill>
            <a:ln>
              <a:noFill/>
            </a:ln>
            <a:effectLst/>
          </c:spPr>
          <c:invertIfNegative val="0"/>
          <c:cat>
            <c:strRef>
              <c:f>Processing!$G$17:$G$28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Processing!$I$17:$I$28</c:f>
              <c:numCache>
                <c:formatCode>General</c:formatCode>
                <c:ptCount val="12"/>
                <c:pt idx="0">
                  <c:v>8200</c:v>
                </c:pt>
                <c:pt idx="1">
                  <c:v>6700</c:v>
                </c:pt>
                <c:pt idx="2">
                  <c:v>6000</c:v>
                </c:pt>
                <c:pt idx="3">
                  <c:v>6200</c:v>
                </c:pt>
                <c:pt idx="4">
                  <c:v>7400</c:v>
                </c:pt>
                <c:pt idx="5">
                  <c:v>7900</c:v>
                </c:pt>
                <c:pt idx="6">
                  <c:v>7100</c:v>
                </c:pt>
                <c:pt idx="7">
                  <c:v>6500</c:v>
                </c:pt>
                <c:pt idx="8">
                  <c:v>7000</c:v>
                </c:pt>
                <c:pt idx="9">
                  <c:v>8100</c:v>
                </c:pt>
                <c:pt idx="10">
                  <c:v>8800</c:v>
                </c:pt>
                <c:pt idx="11">
                  <c:v>6969</c:v>
                </c:pt>
              </c:numCache>
            </c:numRef>
          </c:val>
          <c:extLst>
            <c:ext xmlns:c16="http://schemas.microsoft.com/office/drawing/2014/chart" uri="{C3380CC4-5D6E-409C-BE32-E72D297353CC}">
              <c16:uniqueId val="{00000000-CF22-40F5-AFD8-22C60C03A2EB}"/>
            </c:ext>
          </c:extLst>
        </c:ser>
        <c:ser>
          <c:idx val="2"/>
          <c:order val="2"/>
          <c:tx>
            <c:strRef>
              <c:f>Processing!$J$16</c:f>
              <c:strCache>
                <c:ptCount val="1"/>
                <c:pt idx="0">
                  <c:v>Break-Even Point</c:v>
                </c:pt>
              </c:strCache>
            </c:strRef>
          </c:tx>
          <c:spPr>
            <a:solidFill>
              <a:srgbClr val="70D2C3"/>
            </a:solidFill>
            <a:ln>
              <a:noFill/>
            </a:ln>
            <a:effectLst/>
          </c:spPr>
          <c:invertIfNegative val="0"/>
          <c:cat>
            <c:strRef>
              <c:f>Processing!$G$17:$G$28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Processing!$J$17:$J$28</c:f>
              <c:numCache>
                <c:formatCode>General</c:formatCode>
                <c:ptCount val="12"/>
                <c:pt idx="0">
                  <c:v>5350</c:v>
                </c:pt>
                <c:pt idx="1">
                  <c:v>4100</c:v>
                </c:pt>
                <c:pt idx="2">
                  <c:v>4700</c:v>
                </c:pt>
                <c:pt idx="3">
                  <c:v>5200</c:v>
                </c:pt>
                <c:pt idx="4">
                  <c:v>5700</c:v>
                </c:pt>
                <c:pt idx="5">
                  <c:v>5250</c:v>
                </c:pt>
                <c:pt idx="6">
                  <c:v>5750</c:v>
                </c:pt>
                <c:pt idx="7">
                  <c:v>4800</c:v>
                </c:pt>
                <c:pt idx="8">
                  <c:v>5300</c:v>
                </c:pt>
                <c:pt idx="9">
                  <c:v>5000</c:v>
                </c:pt>
                <c:pt idx="10">
                  <c:v>5300</c:v>
                </c:pt>
                <c:pt idx="11">
                  <c:v>5151</c:v>
                </c:pt>
              </c:numCache>
            </c:numRef>
          </c:val>
          <c:extLst>
            <c:ext xmlns:c16="http://schemas.microsoft.com/office/drawing/2014/chart" uri="{C3380CC4-5D6E-409C-BE32-E72D297353CC}">
              <c16:uniqueId val="{00000001-CF22-40F5-AFD8-22C60C03A2EB}"/>
            </c:ext>
          </c:extLst>
        </c:ser>
        <c:dLbls>
          <c:showLegendKey val="0"/>
          <c:showVal val="0"/>
          <c:showCatName val="0"/>
          <c:showSerName val="0"/>
          <c:showPercent val="0"/>
          <c:showBubbleSize val="0"/>
        </c:dLbls>
        <c:gapWidth val="50"/>
        <c:overlap val="100"/>
        <c:axId val="1866149120"/>
        <c:axId val="1866168800"/>
      </c:barChart>
      <c:barChart>
        <c:barDir val="col"/>
        <c:grouping val="clustered"/>
        <c:varyColors val="0"/>
        <c:ser>
          <c:idx val="0"/>
          <c:order val="0"/>
          <c:tx>
            <c:strRef>
              <c:f>Processing!$H$16</c:f>
              <c:strCache>
                <c:ptCount val="1"/>
                <c:pt idx="0">
                  <c:v>Profit</c:v>
                </c:pt>
              </c:strCache>
            </c:strRef>
          </c:tx>
          <c:spPr>
            <a:solidFill>
              <a:schemeClr val="accent3">
                <a:lumMod val="20000"/>
                <a:lumOff val="80000"/>
              </a:schemeClr>
            </a:solidFill>
            <a:ln>
              <a:noFill/>
            </a:ln>
            <a:effectLst>
              <a:outerShdw blurRad="50800" dist="38100" dir="2700000" algn="tl" rotWithShape="0">
                <a:prstClr val="black">
                  <a:alpha val="40000"/>
                </a:prstClr>
              </a:outerShdw>
            </a:effectLst>
          </c:spPr>
          <c:invertIfNegative val="0"/>
          <c:cat>
            <c:strRef>
              <c:f>Processing!$G$17:$G$28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Processing!$H$17:$H$28</c:f>
              <c:numCache>
                <c:formatCode>General</c:formatCode>
                <c:ptCount val="12"/>
                <c:pt idx="0">
                  <c:v>5000</c:v>
                </c:pt>
                <c:pt idx="1">
                  <c:v>5900</c:v>
                </c:pt>
                <c:pt idx="2">
                  <c:v>7300</c:v>
                </c:pt>
                <c:pt idx="3">
                  <c:v>9000</c:v>
                </c:pt>
                <c:pt idx="4">
                  <c:v>10100</c:v>
                </c:pt>
                <c:pt idx="5">
                  <c:v>11100</c:v>
                </c:pt>
                <c:pt idx="6">
                  <c:v>10900</c:v>
                </c:pt>
                <c:pt idx="7">
                  <c:v>9800</c:v>
                </c:pt>
                <c:pt idx="8">
                  <c:v>8200</c:v>
                </c:pt>
                <c:pt idx="9">
                  <c:v>6700</c:v>
                </c:pt>
                <c:pt idx="10">
                  <c:v>5450</c:v>
                </c:pt>
                <c:pt idx="11">
                  <c:v>8181</c:v>
                </c:pt>
              </c:numCache>
            </c:numRef>
          </c:val>
          <c:extLst>
            <c:ext xmlns:c16="http://schemas.microsoft.com/office/drawing/2014/chart" uri="{C3380CC4-5D6E-409C-BE32-E72D297353CC}">
              <c16:uniqueId val="{00000002-CF22-40F5-AFD8-22C60C03A2EB}"/>
            </c:ext>
          </c:extLst>
        </c:ser>
        <c:ser>
          <c:idx val="4"/>
          <c:order val="4"/>
          <c:tx>
            <c:strRef>
              <c:f>Processing!$L$16</c:f>
              <c:strCache>
                <c:ptCount val="1"/>
                <c:pt idx="0">
                  <c:v>Cursor</c:v>
                </c:pt>
              </c:strCache>
            </c:strRef>
          </c:tx>
          <c:spPr>
            <a:solidFill>
              <a:srgbClr val="9FE1D8"/>
            </a:solidFill>
            <a:ln w="9525">
              <a:solidFill>
                <a:srgbClr val="297F73"/>
              </a:solidFill>
            </a:ln>
            <a:effectLst/>
          </c:spPr>
          <c:invertIfNegative val="0"/>
          <c:val>
            <c:numRef>
              <c:f>Processing!$L$17:$L$28</c:f>
              <c:numCache>
                <c:formatCode>General</c:formatCode>
                <c:ptCount val="12"/>
                <c:pt idx="0">
                  <c:v>5000</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791C-4133-B6D7-E55FE377B015}"/>
            </c:ext>
          </c:extLst>
        </c:ser>
        <c:dLbls>
          <c:showLegendKey val="0"/>
          <c:showVal val="0"/>
          <c:showCatName val="0"/>
          <c:showSerName val="0"/>
          <c:showPercent val="0"/>
          <c:showBubbleSize val="0"/>
        </c:dLbls>
        <c:gapWidth val="250"/>
        <c:overlap val="100"/>
        <c:axId val="1916971680"/>
        <c:axId val="1916965440"/>
      </c:barChart>
      <c:lineChart>
        <c:grouping val="standard"/>
        <c:varyColors val="0"/>
        <c:ser>
          <c:idx val="3"/>
          <c:order val="3"/>
          <c:tx>
            <c:strRef>
              <c:f>Processing!$K$16</c:f>
              <c:strCache>
                <c:ptCount val="1"/>
                <c:pt idx="0">
                  <c:v>Debt</c:v>
                </c:pt>
              </c:strCache>
            </c:strRef>
          </c:tx>
          <c:spPr>
            <a:ln w="28575" cap="rnd">
              <a:noFill/>
              <a:round/>
            </a:ln>
            <a:effectLst/>
          </c:spPr>
          <c:marker>
            <c:symbol val="dash"/>
            <c:size val="37"/>
            <c:spPr>
              <a:solidFill>
                <a:srgbClr val="00C9AD"/>
              </a:solidFill>
              <a:ln w="9525">
                <a:noFill/>
              </a:ln>
              <a:effectLst/>
            </c:spPr>
          </c:marker>
          <c:cat>
            <c:strRef>
              <c:f>Processing!$G$17:$G$28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Processing!$K$17:$K$28</c:f>
              <c:numCache>
                <c:formatCode>General</c:formatCode>
                <c:ptCount val="12"/>
                <c:pt idx="0">
                  <c:v>7600</c:v>
                </c:pt>
                <c:pt idx="1">
                  <c:v>6900</c:v>
                </c:pt>
                <c:pt idx="2">
                  <c:v>6100</c:v>
                </c:pt>
                <c:pt idx="3">
                  <c:v>6400</c:v>
                </c:pt>
                <c:pt idx="4">
                  <c:v>7300</c:v>
                </c:pt>
                <c:pt idx="5">
                  <c:v>7800</c:v>
                </c:pt>
                <c:pt idx="6">
                  <c:v>7400</c:v>
                </c:pt>
                <c:pt idx="7">
                  <c:v>6800</c:v>
                </c:pt>
                <c:pt idx="8">
                  <c:v>7200</c:v>
                </c:pt>
                <c:pt idx="9">
                  <c:v>8000</c:v>
                </c:pt>
                <c:pt idx="10">
                  <c:v>7700</c:v>
                </c:pt>
                <c:pt idx="11">
                  <c:v>7171</c:v>
                </c:pt>
              </c:numCache>
            </c:numRef>
          </c:val>
          <c:smooth val="0"/>
          <c:extLst>
            <c:ext xmlns:c16="http://schemas.microsoft.com/office/drawing/2014/chart" uri="{C3380CC4-5D6E-409C-BE32-E72D297353CC}">
              <c16:uniqueId val="{00000003-CF22-40F5-AFD8-22C60C03A2EB}"/>
            </c:ext>
          </c:extLst>
        </c:ser>
        <c:dLbls>
          <c:showLegendKey val="0"/>
          <c:showVal val="0"/>
          <c:showCatName val="0"/>
          <c:showSerName val="0"/>
          <c:showPercent val="0"/>
          <c:showBubbleSize val="0"/>
        </c:dLbls>
        <c:marker val="1"/>
        <c:smooth val="0"/>
        <c:axId val="1866149120"/>
        <c:axId val="1866168800"/>
      </c:lineChart>
      <c:catAx>
        <c:axId val="18661491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66168800"/>
        <c:crosses val="autoZero"/>
        <c:auto val="1"/>
        <c:lblAlgn val="ctr"/>
        <c:lblOffset val="100"/>
        <c:noMultiLvlLbl val="0"/>
      </c:catAx>
      <c:valAx>
        <c:axId val="1866168800"/>
        <c:scaling>
          <c:orientation val="minMax"/>
        </c:scaling>
        <c:delete val="1"/>
        <c:axPos val="l"/>
        <c:numFmt formatCode="General" sourceLinked="1"/>
        <c:majorTickMark val="none"/>
        <c:minorTickMark val="none"/>
        <c:tickLblPos val="nextTo"/>
        <c:crossAx val="1866149120"/>
        <c:crosses val="autoZero"/>
        <c:crossBetween val="between"/>
      </c:valAx>
      <c:valAx>
        <c:axId val="1916965440"/>
        <c:scaling>
          <c:orientation val="minMax"/>
        </c:scaling>
        <c:delete val="1"/>
        <c:axPos val="r"/>
        <c:numFmt formatCode="General" sourceLinked="1"/>
        <c:majorTickMark val="out"/>
        <c:minorTickMark val="none"/>
        <c:tickLblPos val="nextTo"/>
        <c:crossAx val="1916971680"/>
        <c:crosses val="max"/>
        <c:crossBetween val="between"/>
      </c:valAx>
      <c:catAx>
        <c:axId val="1916971680"/>
        <c:scaling>
          <c:orientation val="minMax"/>
        </c:scaling>
        <c:delete val="1"/>
        <c:axPos val="b"/>
        <c:numFmt formatCode="General" sourceLinked="1"/>
        <c:majorTickMark val="out"/>
        <c:minorTickMark val="none"/>
        <c:tickLblPos val="nextTo"/>
        <c:crossAx val="19169654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19050"/>
          </c:spPr>
          <c:dPt>
            <c:idx val="0"/>
            <c:bubble3D val="0"/>
            <c:spPr>
              <a:solidFill>
                <a:srgbClr val="006966"/>
              </a:solidFill>
              <a:ln w="19050">
                <a:solidFill>
                  <a:schemeClr val="lt1"/>
                </a:solidFill>
              </a:ln>
              <a:effectLst/>
            </c:spPr>
            <c:extLst>
              <c:ext xmlns:c16="http://schemas.microsoft.com/office/drawing/2014/chart" uri="{C3380CC4-5D6E-409C-BE32-E72D297353CC}">
                <c16:uniqueId val="{00000001-9DCD-47CC-88B3-1A4B13E5D7A2}"/>
              </c:ext>
            </c:extLst>
          </c:dPt>
          <c:dPt>
            <c:idx val="1"/>
            <c:bubble3D val="0"/>
            <c:spPr>
              <a:solidFill>
                <a:srgbClr val="068275"/>
              </a:solidFill>
              <a:ln w="19050">
                <a:solidFill>
                  <a:schemeClr val="lt1"/>
                </a:solidFill>
              </a:ln>
              <a:effectLst/>
            </c:spPr>
            <c:extLst>
              <c:ext xmlns:c16="http://schemas.microsoft.com/office/drawing/2014/chart" uri="{C3380CC4-5D6E-409C-BE32-E72D297353CC}">
                <c16:uniqueId val="{00000003-9DCD-47CC-88B3-1A4B13E5D7A2}"/>
              </c:ext>
            </c:extLst>
          </c:dPt>
          <c:val>
            <c:numRef>
              <c:f>Processing!$B$3:$C$3</c:f>
              <c:numCache>
                <c:formatCode>0%</c:formatCode>
                <c:ptCount val="2"/>
                <c:pt idx="0">
                  <c:v>0.16</c:v>
                </c:pt>
                <c:pt idx="1">
                  <c:v>0.84</c:v>
                </c:pt>
              </c:numCache>
            </c:numRef>
          </c:val>
          <c:extLst>
            <c:ext xmlns:c16="http://schemas.microsoft.com/office/drawing/2014/chart" uri="{C3380CC4-5D6E-409C-BE32-E72D297353CC}">
              <c16:uniqueId val="{00000004-9DCD-47CC-88B3-1A4B13E5D7A2}"/>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c:spPr>
          <c:dPt>
            <c:idx val="0"/>
            <c:bubble3D val="0"/>
            <c:spPr>
              <a:solidFill>
                <a:srgbClr val="006966"/>
              </a:solidFill>
              <a:ln w="25400">
                <a:solidFill>
                  <a:schemeClr val="lt1"/>
                </a:solidFill>
              </a:ln>
              <a:effectLst/>
            </c:spPr>
            <c:extLst>
              <c:ext xmlns:c16="http://schemas.microsoft.com/office/drawing/2014/chart" uri="{C3380CC4-5D6E-409C-BE32-E72D297353CC}">
                <c16:uniqueId val="{00000001-12A4-4515-8320-572679B39521}"/>
              </c:ext>
            </c:extLst>
          </c:dPt>
          <c:dPt>
            <c:idx val="1"/>
            <c:bubble3D val="0"/>
            <c:spPr>
              <a:solidFill>
                <a:srgbClr val="068275"/>
              </a:solidFill>
              <a:ln w="25400">
                <a:solidFill>
                  <a:schemeClr val="lt1"/>
                </a:solidFill>
              </a:ln>
              <a:effectLst/>
            </c:spPr>
            <c:extLst>
              <c:ext xmlns:c16="http://schemas.microsoft.com/office/drawing/2014/chart" uri="{C3380CC4-5D6E-409C-BE32-E72D297353CC}">
                <c16:uniqueId val="{00000003-12A4-4515-8320-572679B39521}"/>
              </c:ext>
            </c:extLst>
          </c:dPt>
          <c:val>
            <c:numRef>
              <c:f>Processing!$B$3:$C$3</c:f>
              <c:numCache>
                <c:formatCode>0%</c:formatCode>
                <c:ptCount val="2"/>
                <c:pt idx="0">
                  <c:v>0.16</c:v>
                </c:pt>
                <c:pt idx="1">
                  <c:v>0.84</c:v>
                </c:pt>
              </c:numCache>
            </c:numRef>
          </c:val>
          <c:extLst>
            <c:ext xmlns:c16="http://schemas.microsoft.com/office/drawing/2014/chart" uri="{C3380CC4-5D6E-409C-BE32-E72D297353CC}">
              <c16:uniqueId val="{00000004-12A4-4515-8320-572679B39521}"/>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06966"/>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EEB6-4BE0-BD9B-87C0FDDE4C78}"/>
              </c:ext>
            </c:extLst>
          </c:dPt>
          <c:val>
            <c:numRef>
              <c:f>Processing!$B$5</c:f>
              <c:numCache>
                <c:formatCode>0%</c:formatCode>
                <c:ptCount val="1"/>
                <c:pt idx="0">
                  <c:v>0.13200000000000001</c:v>
                </c:pt>
              </c:numCache>
            </c:numRef>
          </c:val>
          <c:extLst>
            <c:ext xmlns:c16="http://schemas.microsoft.com/office/drawing/2014/chart" uri="{C3380CC4-5D6E-409C-BE32-E72D297353CC}">
              <c16:uniqueId val="{00000002-EEB6-4BE0-BD9B-87C0FDDE4C78}"/>
            </c:ext>
          </c:extLst>
        </c:ser>
        <c:ser>
          <c:idx val="1"/>
          <c:order val="1"/>
          <c:spPr>
            <a:blipFill>
              <a:blip xmlns:r="http://schemas.openxmlformats.org/officeDocument/2006/relationships" r:embed="rId4"/>
              <a:stretch>
                <a:fillRect/>
              </a:stretch>
            </a:blipFill>
            <a:ln>
              <a:noFill/>
            </a:ln>
            <a:effectLst/>
          </c:spPr>
          <c:invertIfNegative val="0"/>
          <c:val>
            <c:numRef>
              <c:f>Processing!$C$5</c:f>
              <c:numCache>
                <c:formatCode>0%</c:formatCode>
                <c:ptCount val="1"/>
                <c:pt idx="0">
                  <c:v>0.05</c:v>
                </c:pt>
              </c:numCache>
            </c:numRef>
          </c:val>
          <c:extLst>
            <c:ext xmlns:c16="http://schemas.microsoft.com/office/drawing/2014/chart" uri="{C3380CC4-5D6E-409C-BE32-E72D297353CC}">
              <c16:uniqueId val="{00000003-EEB6-4BE0-BD9B-87C0FDDE4C78}"/>
            </c:ext>
          </c:extLst>
        </c:ser>
        <c:ser>
          <c:idx val="2"/>
          <c:order val="2"/>
          <c:spPr>
            <a:blipFill>
              <a:blip xmlns:r="http://schemas.openxmlformats.org/officeDocument/2006/relationships" r:embed="rId5"/>
              <a:stretch>
                <a:fillRect/>
              </a:stretch>
            </a:blipFill>
            <a:ln>
              <a:noFill/>
            </a:ln>
            <a:effectLst/>
          </c:spPr>
          <c:invertIfNegative val="0"/>
          <c:val>
            <c:numRef>
              <c:f>Processing!$D$5</c:f>
              <c:numCache>
                <c:formatCode>0%</c:formatCode>
                <c:ptCount val="1"/>
                <c:pt idx="0">
                  <c:v>0.86799999999999999</c:v>
                </c:pt>
              </c:numCache>
            </c:numRef>
          </c:val>
          <c:extLst>
            <c:ext xmlns:c16="http://schemas.microsoft.com/office/drawing/2014/chart" uri="{C3380CC4-5D6E-409C-BE32-E72D297353CC}">
              <c16:uniqueId val="{00000004-EEB6-4BE0-BD9B-87C0FDDE4C78}"/>
            </c:ext>
          </c:extLst>
        </c:ser>
        <c:dLbls>
          <c:showLegendKey val="0"/>
          <c:showVal val="0"/>
          <c:showCatName val="0"/>
          <c:showSerName val="0"/>
          <c:showPercent val="0"/>
          <c:showBubbleSize val="0"/>
        </c:dLbls>
        <c:gapWidth val="50"/>
        <c:overlap val="100"/>
        <c:axId val="1383535728"/>
        <c:axId val="1383551568"/>
      </c:barChart>
      <c:catAx>
        <c:axId val="1383535728"/>
        <c:scaling>
          <c:orientation val="minMax"/>
        </c:scaling>
        <c:delete val="1"/>
        <c:axPos val="l"/>
        <c:majorTickMark val="out"/>
        <c:minorTickMark val="none"/>
        <c:tickLblPos val="nextTo"/>
        <c:crossAx val="1383551568"/>
        <c:crosses val="autoZero"/>
        <c:auto val="1"/>
        <c:lblAlgn val="ctr"/>
        <c:lblOffset val="100"/>
        <c:noMultiLvlLbl val="0"/>
      </c:catAx>
      <c:valAx>
        <c:axId val="1383551568"/>
        <c:scaling>
          <c:orientation val="minMax"/>
          <c:max val="1.05"/>
          <c:min val="0"/>
        </c:scaling>
        <c:delete val="1"/>
        <c:axPos val="b"/>
        <c:numFmt formatCode="0%" sourceLinked="1"/>
        <c:majorTickMark val="out"/>
        <c:minorTickMark val="none"/>
        <c:tickLblPos val="nextTo"/>
        <c:crossAx val="138353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Processing!$A$7</c:f>
          <c:strCache>
            <c:ptCount val="1"/>
            <c:pt idx="0">
              <c:v>Task Manager</c:v>
            </c:pt>
          </c:strCache>
        </c:strRef>
      </c:tx>
      <c:layout>
        <c:manualLayout>
          <c:xMode val="edge"/>
          <c:yMode val="edge"/>
          <c:x val="0.37065075083925625"/>
          <c:y val="2.157361088736904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bar"/>
        <c:grouping val="percentStacked"/>
        <c:varyColors val="0"/>
        <c:ser>
          <c:idx val="2"/>
          <c:order val="0"/>
          <c:tx>
            <c:strRef>
              <c:f>Processing!$D$7</c:f>
              <c:strCache>
                <c:ptCount val="1"/>
                <c:pt idx="0">
                  <c:v>Indent</c:v>
                </c:pt>
              </c:strCache>
            </c:strRef>
          </c:tx>
          <c:spPr>
            <a:blipFill>
              <a:blip xmlns:r="http://schemas.openxmlformats.org/officeDocument/2006/relationships" r:embed="rId3"/>
              <a:stretch>
                <a:fillRect/>
              </a:stretch>
            </a:blipFill>
            <a:ln>
              <a:noFill/>
            </a:ln>
            <a:effectLst/>
          </c:spPr>
          <c:invertIfNegative val="0"/>
          <c:dPt>
            <c:idx val="0"/>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1-4FC3-4BD5-988B-D943EE8CFDA1}"/>
              </c:ext>
            </c:extLst>
          </c:dPt>
          <c:dPt>
            <c:idx val="1"/>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3-4FC3-4BD5-988B-D943EE8CFDA1}"/>
              </c:ext>
            </c:extLst>
          </c:dPt>
          <c:dPt>
            <c:idx val="2"/>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5-4FC3-4BD5-988B-D943EE8CFDA1}"/>
              </c:ext>
            </c:extLst>
          </c:dPt>
          <c:dPt>
            <c:idx val="3"/>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7-4FC3-4BD5-988B-D943EE8CFDA1}"/>
              </c:ext>
            </c:extLst>
          </c:dPt>
          <c:dPt>
            <c:idx val="4"/>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09-4FC3-4BD5-988B-D943EE8CFDA1}"/>
              </c:ext>
            </c:extLst>
          </c:dPt>
          <c:cat>
            <c:strRef>
              <c:f>Processing!$A$8:$A$12</c:f>
              <c:strCache>
                <c:ptCount val="5"/>
                <c:pt idx="0">
                  <c:v>Task 1</c:v>
                </c:pt>
                <c:pt idx="1">
                  <c:v>Task 2</c:v>
                </c:pt>
                <c:pt idx="2">
                  <c:v>Task 3</c:v>
                </c:pt>
                <c:pt idx="3">
                  <c:v>Task 4</c:v>
                </c:pt>
                <c:pt idx="4">
                  <c:v>Task 5</c:v>
                </c:pt>
              </c:strCache>
            </c:strRef>
          </c:cat>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0A-4FC3-4BD5-988B-D943EE8CFDA1}"/>
            </c:ext>
          </c:extLst>
        </c:ser>
        <c:ser>
          <c:idx val="0"/>
          <c:order val="1"/>
          <c:spPr>
            <a:solidFill>
              <a:schemeClr val="bg1"/>
            </a:solidFill>
            <a:ln>
              <a:noFill/>
            </a:ln>
            <a:effectLst/>
          </c:spPr>
          <c:invertIfNegative val="0"/>
          <c:dPt>
            <c:idx val="0"/>
            <c:invertIfNegative val="0"/>
            <c:bubble3D val="0"/>
            <c:spPr>
              <a:solidFill>
                <a:srgbClr val="2C78A7"/>
              </a:solidFill>
              <a:ln>
                <a:noFill/>
              </a:ln>
              <a:effectLst/>
            </c:spPr>
            <c:extLst>
              <c:ext xmlns:c16="http://schemas.microsoft.com/office/drawing/2014/chart" uri="{C3380CC4-5D6E-409C-BE32-E72D297353CC}">
                <c16:uniqueId val="{0000000C-4FC3-4BD5-988B-D943EE8CFDA1}"/>
              </c:ext>
            </c:extLst>
          </c:dPt>
          <c:dPt>
            <c:idx val="1"/>
            <c:invertIfNegative val="0"/>
            <c:bubble3D val="0"/>
            <c:spPr>
              <a:solidFill>
                <a:srgbClr val="008377"/>
              </a:solidFill>
              <a:ln>
                <a:noFill/>
              </a:ln>
              <a:effectLst/>
            </c:spPr>
            <c:extLst>
              <c:ext xmlns:c16="http://schemas.microsoft.com/office/drawing/2014/chart" uri="{C3380CC4-5D6E-409C-BE32-E72D297353CC}">
                <c16:uniqueId val="{0000000E-4FC3-4BD5-988B-D943EE8CFDA1}"/>
              </c:ext>
            </c:extLst>
          </c:dPt>
          <c:dPt>
            <c:idx val="2"/>
            <c:invertIfNegative val="0"/>
            <c:bubble3D val="0"/>
            <c:spPr>
              <a:solidFill>
                <a:srgbClr val="CE2C35"/>
              </a:solidFill>
              <a:ln>
                <a:noFill/>
              </a:ln>
              <a:effectLst/>
            </c:spPr>
            <c:extLst>
              <c:ext xmlns:c16="http://schemas.microsoft.com/office/drawing/2014/chart" uri="{C3380CC4-5D6E-409C-BE32-E72D297353CC}">
                <c16:uniqueId val="{00000010-4FC3-4BD5-988B-D943EE8CFDA1}"/>
              </c:ext>
            </c:extLst>
          </c:dPt>
          <c:dPt>
            <c:idx val="3"/>
            <c:invertIfNegative val="0"/>
            <c:bubble3D val="0"/>
            <c:spPr>
              <a:solidFill>
                <a:srgbClr val="FA7E31"/>
              </a:solidFill>
              <a:ln>
                <a:noFill/>
              </a:ln>
              <a:effectLst/>
            </c:spPr>
            <c:extLst>
              <c:ext xmlns:c16="http://schemas.microsoft.com/office/drawing/2014/chart" uri="{C3380CC4-5D6E-409C-BE32-E72D297353CC}">
                <c16:uniqueId val="{00000012-4FC3-4BD5-988B-D943EE8CFDA1}"/>
              </c:ext>
            </c:extLst>
          </c:dPt>
          <c:dPt>
            <c:idx val="4"/>
            <c:invertIfNegative val="0"/>
            <c:bubble3D val="0"/>
            <c:spPr>
              <a:solidFill>
                <a:srgbClr val="099699"/>
              </a:solidFill>
              <a:ln>
                <a:noFill/>
              </a:ln>
              <a:effectLst/>
            </c:spPr>
            <c:extLst>
              <c:ext xmlns:c16="http://schemas.microsoft.com/office/drawing/2014/chart" uri="{C3380CC4-5D6E-409C-BE32-E72D297353CC}">
                <c16:uniqueId val="{00000014-4FC3-4BD5-988B-D943EE8CFDA1}"/>
              </c:ext>
            </c:extLst>
          </c:dPt>
          <c:cat>
            <c:strRef>
              <c:f>Processing!$A$8:$A$12</c:f>
              <c:strCache>
                <c:ptCount val="5"/>
                <c:pt idx="0">
                  <c:v>Task 1</c:v>
                </c:pt>
                <c:pt idx="1">
                  <c:v>Task 2</c:v>
                </c:pt>
                <c:pt idx="2">
                  <c:v>Task 3</c:v>
                </c:pt>
                <c:pt idx="3">
                  <c:v>Task 4</c:v>
                </c:pt>
                <c:pt idx="4">
                  <c:v>Task 5</c:v>
                </c:pt>
              </c:strCache>
            </c:strRef>
          </c:cat>
          <c:val>
            <c:numRef>
              <c:f>Processing!$B$8:$B$12</c:f>
              <c:numCache>
                <c:formatCode>0%</c:formatCode>
                <c:ptCount val="5"/>
                <c:pt idx="0">
                  <c:v>0.05</c:v>
                </c:pt>
                <c:pt idx="1">
                  <c:v>0.21</c:v>
                </c:pt>
                <c:pt idx="2">
                  <c:v>0.13</c:v>
                </c:pt>
                <c:pt idx="3">
                  <c:v>0.15999999999999998</c:v>
                </c:pt>
                <c:pt idx="4">
                  <c:v>0.10999999999999999</c:v>
                </c:pt>
              </c:numCache>
            </c:numRef>
          </c:val>
          <c:extLst>
            <c:ext xmlns:c16="http://schemas.microsoft.com/office/drawing/2014/chart" uri="{C3380CC4-5D6E-409C-BE32-E72D297353CC}">
              <c16:uniqueId val="{00000015-4FC3-4BD5-988B-D943EE8CFDA1}"/>
            </c:ext>
          </c:extLst>
        </c:ser>
        <c:ser>
          <c:idx val="3"/>
          <c:order val="2"/>
          <c:tx>
            <c:strRef>
              <c:f>Processing!$D$7</c:f>
              <c:strCache>
                <c:ptCount val="1"/>
                <c:pt idx="0">
                  <c:v>Indent</c:v>
                </c:pt>
              </c:strCache>
            </c:strRef>
          </c:tx>
          <c:spPr>
            <a:blipFill>
              <a:blip xmlns:r="http://schemas.openxmlformats.org/officeDocument/2006/relationships" r:embed="rId9"/>
              <a:stretch>
                <a:fillRect/>
              </a:stretch>
            </a:blipFill>
            <a:ln>
              <a:noFill/>
            </a:ln>
            <a:effectLst/>
          </c:spPr>
          <c:invertIfNegative val="0"/>
          <c:dPt>
            <c:idx val="0"/>
            <c:invertIfNegative val="0"/>
            <c:bubble3D val="0"/>
            <c:spPr>
              <a:blipFill>
                <a:blip xmlns:r="http://schemas.openxmlformats.org/officeDocument/2006/relationships" r:embed="rId10"/>
                <a:stretch>
                  <a:fillRect/>
                </a:stretch>
              </a:blipFill>
              <a:ln>
                <a:noFill/>
              </a:ln>
              <a:effectLst/>
            </c:spPr>
            <c:extLst>
              <c:ext xmlns:c16="http://schemas.microsoft.com/office/drawing/2014/chart" uri="{C3380CC4-5D6E-409C-BE32-E72D297353CC}">
                <c16:uniqueId val="{00000017-4FC3-4BD5-988B-D943EE8CFDA1}"/>
              </c:ext>
            </c:extLst>
          </c:dPt>
          <c:dPt>
            <c:idx val="1"/>
            <c:invertIfNegative val="0"/>
            <c:bubble3D val="0"/>
            <c:spPr>
              <a:blipFill>
                <a:blip xmlns:r="http://schemas.openxmlformats.org/officeDocument/2006/relationships" r:embed="rId11"/>
                <a:stretch>
                  <a:fillRect/>
                </a:stretch>
              </a:blipFill>
              <a:ln>
                <a:noFill/>
              </a:ln>
              <a:effectLst/>
            </c:spPr>
            <c:extLst>
              <c:ext xmlns:c16="http://schemas.microsoft.com/office/drawing/2014/chart" uri="{C3380CC4-5D6E-409C-BE32-E72D297353CC}">
                <c16:uniqueId val="{00000019-4FC3-4BD5-988B-D943EE8CFDA1}"/>
              </c:ext>
            </c:extLst>
          </c:dPt>
          <c:dPt>
            <c:idx val="2"/>
            <c:invertIfNegative val="0"/>
            <c:bubble3D val="0"/>
            <c:spPr>
              <a:blipFill>
                <a:blip xmlns:r="http://schemas.openxmlformats.org/officeDocument/2006/relationships" r:embed="rId12"/>
                <a:stretch>
                  <a:fillRect/>
                </a:stretch>
              </a:blipFill>
              <a:ln>
                <a:noFill/>
              </a:ln>
              <a:effectLst/>
            </c:spPr>
            <c:extLst>
              <c:ext xmlns:c16="http://schemas.microsoft.com/office/drawing/2014/chart" uri="{C3380CC4-5D6E-409C-BE32-E72D297353CC}">
                <c16:uniqueId val="{0000001B-4FC3-4BD5-988B-D943EE8CFDA1}"/>
              </c:ext>
            </c:extLst>
          </c:dPt>
          <c:dPt>
            <c:idx val="3"/>
            <c:invertIfNegative val="0"/>
            <c:bubble3D val="0"/>
            <c:spPr>
              <a:blipFill>
                <a:blip xmlns:r="http://schemas.openxmlformats.org/officeDocument/2006/relationships" r:embed="rId13"/>
                <a:stretch>
                  <a:fillRect/>
                </a:stretch>
              </a:blipFill>
              <a:ln>
                <a:noFill/>
              </a:ln>
              <a:effectLst/>
            </c:spPr>
            <c:extLst>
              <c:ext xmlns:c16="http://schemas.microsoft.com/office/drawing/2014/chart" uri="{C3380CC4-5D6E-409C-BE32-E72D297353CC}">
                <c16:uniqueId val="{0000001D-4FC3-4BD5-988B-D943EE8CFDA1}"/>
              </c:ext>
            </c:extLst>
          </c:dPt>
          <c:dPt>
            <c:idx val="4"/>
            <c:invertIfNegative val="0"/>
            <c:bubble3D val="0"/>
            <c:spPr>
              <a:blipFill>
                <a:blip xmlns:r="http://schemas.openxmlformats.org/officeDocument/2006/relationships" r:embed="rId14"/>
                <a:stretch>
                  <a:fillRect/>
                </a:stretch>
              </a:blipFill>
              <a:ln>
                <a:noFill/>
              </a:ln>
              <a:effectLst/>
            </c:spPr>
            <c:extLst>
              <c:ext xmlns:c16="http://schemas.microsoft.com/office/drawing/2014/chart" uri="{C3380CC4-5D6E-409C-BE32-E72D297353CC}">
                <c16:uniqueId val="{0000001F-4FC3-4BD5-988B-D943EE8CFDA1}"/>
              </c:ext>
            </c:extLst>
          </c:dPt>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20-4FC3-4BD5-988B-D943EE8CFDA1}"/>
            </c:ext>
          </c:extLst>
        </c:ser>
        <c:ser>
          <c:idx val="1"/>
          <c:order val="3"/>
          <c:spPr>
            <a:solidFill>
              <a:srgbClr val="E7F3EE"/>
            </a:solidFill>
            <a:ln>
              <a:noFill/>
            </a:ln>
            <a:effectLst/>
          </c:spPr>
          <c:invertIfNegative val="0"/>
          <c:cat>
            <c:strRef>
              <c:f>Processing!$A$8:$A$12</c:f>
              <c:strCache>
                <c:ptCount val="5"/>
                <c:pt idx="0">
                  <c:v>Task 1</c:v>
                </c:pt>
                <c:pt idx="1">
                  <c:v>Task 2</c:v>
                </c:pt>
                <c:pt idx="2">
                  <c:v>Task 3</c:v>
                </c:pt>
                <c:pt idx="3">
                  <c:v>Task 4</c:v>
                </c:pt>
                <c:pt idx="4">
                  <c:v>Task 5</c:v>
                </c:pt>
              </c:strCache>
            </c:strRef>
          </c:cat>
          <c:val>
            <c:numRef>
              <c:f>Processing!$C$8:$C$12</c:f>
              <c:numCache>
                <c:formatCode>0%</c:formatCode>
                <c:ptCount val="5"/>
                <c:pt idx="0">
                  <c:v>0.95</c:v>
                </c:pt>
                <c:pt idx="1">
                  <c:v>0.79</c:v>
                </c:pt>
                <c:pt idx="2">
                  <c:v>0.87</c:v>
                </c:pt>
                <c:pt idx="3">
                  <c:v>0.84000000000000008</c:v>
                </c:pt>
                <c:pt idx="4">
                  <c:v>0.89</c:v>
                </c:pt>
              </c:numCache>
            </c:numRef>
          </c:val>
          <c:extLst>
            <c:ext xmlns:c16="http://schemas.microsoft.com/office/drawing/2014/chart" uri="{C3380CC4-5D6E-409C-BE32-E72D297353CC}">
              <c16:uniqueId val="{00000021-4FC3-4BD5-988B-D943EE8CFDA1}"/>
            </c:ext>
          </c:extLst>
        </c:ser>
        <c:ser>
          <c:idx val="4"/>
          <c:order val="4"/>
          <c:tx>
            <c:strRef>
              <c:f>Processing!$D$7</c:f>
              <c:strCache>
                <c:ptCount val="1"/>
                <c:pt idx="0">
                  <c:v>Indent</c:v>
                </c:pt>
              </c:strCache>
            </c:strRef>
          </c:tx>
          <c:spPr>
            <a:blipFill>
              <a:blip xmlns:r="http://schemas.openxmlformats.org/officeDocument/2006/relationships" r:embed="rId15"/>
              <a:stretch>
                <a:fillRect/>
              </a:stretch>
            </a:blipFill>
            <a:ln>
              <a:noFill/>
            </a:ln>
            <a:effectLst/>
          </c:spPr>
          <c:invertIfNegative val="0"/>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22-4FC3-4BD5-988B-D943EE8CFDA1}"/>
            </c:ext>
          </c:extLst>
        </c:ser>
        <c:dLbls>
          <c:showLegendKey val="0"/>
          <c:showVal val="0"/>
          <c:showCatName val="0"/>
          <c:showSerName val="0"/>
          <c:showPercent val="0"/>
          <c:showBubbleSize val="0"/>
        </c:dLbls>
        <c:gapWidth val="80"/>
        <c:overlap val="100"/>
        <c:axId val="1079036944"/>
        <c:axId val="1079033584"/>
      </c:barChart>
      <c:catAx>
        <c:axId val="107903694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079033584"/>
        <c:crosses val="autoZero"/>
        <c:auto val="1"/>
        <c:lblAlgn val="ctr"/>
        <c:lblOffset val="100"/>
        <c:noMultiLvlLbl val="0"/>
      </c:catAx>
      <c:valAx>
        <c:axId val="1079033584"/>
        <c:scaling>
          <c:orientation val="minMax"/>
        </c:scaling>
        <c:delete val="1"/>
        <c:axPos val="t"/>
        <c:numFmt formatCode="0%" sourceLinked="1"/>
        <c:majorTickMark val="none"/>
        <c:minorTickMark val="none"/>
        <c:tickLblPos val="nextTo"/>
        <c:crossAx val="107903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9FE1D8"/>
              </a:solidFill>
            </a:ln>
          </c:spPr>
          <c:dPt>
            <c:idx val="0"/>
            <c:bubble3D val="0"/>
            <c:spPr>
              <a:noFill/>
              <a:ln w="9525">
                <a:solidFill>
                  <a:srgbClr val="9FE1D8"/>
                </a:solidFill>
              </a:ln>
              <a:effectLst/>
            </c:spPr>
            <c:extLst>
              <c:ext xmlns:c16="http://schemas.microsoft.com/office/drawing/2014/chart" uri="{C3380CC4-5D6E-409C-BE32-E72D297353CC}">
                <c16:uniqueId val="{00000001-46DD-417F-8269-1856F35AACF8}"/>
              </c:ext>
            </c:extLst>
          </c:dPt>
          <c:dPt>
            <c:idx val="1"/>
            <c:bubble3D val="0"/>
            <c:spPr>
              <a:noFill/>
              <a:ln w="9525">
                <a:solidFill>
                  <a:srgbClr val="9FE1D8"/>
                </a:solidFill>
              </a:ln>
              <a:effectLst/>
            </c:spPr>
            <c:extLst>
              <c:ext xmlns:c16="http://schemas.microsoft.com/office/drawing/2014/chart" uri="{C3380CC4-5D6E-409C-BE32-E72D297353CC}">
                <c16:uniqueId val="{00000003-46DD-417F-8269-1856F35AACF8}"/>
              </c:ext>
            </c:extLst>
          </c:dPt>
          <c:dPt>
            <c:idx val="2"/>
            <c:bubble3D val="0"/>
            <c:spPr>
              <a:noFill/>
              <a:ln w="9525">
                <a:solidFill>
                  <a:srgbClr val="9FE1D8"/>
                </a:solidFill>
              </a:ln>
              <a:effectLst/>
            </c:spPr>
            <c:extLst>
              <c:ext xmlns:c16="http://schemas.microsoft.com/office/drawing/2014/chart" uri="{C3380CC4-5D6E-409C-BE32-E72D297353CC}">
                <c16:uniqueId val="{00000005-46DD-417F-8269-1856F35AACF8}"/>
              </c:ext>
            </c:extLst>
          </c:dPt>
          <c:dPt>
            <c:idx val="3"/>
            <c:bubble3D val="0"/>
            <c:spPr>
              <a:noFill/>
              <a:ln w="9525">
                <a:solidFill>
                  <a:srgbClr val="9FE1D8"/>
                </a:solidFill>
              </a:ln>
              <a:effectLst/>
            </c:spPr>
            <c:extLst>
              <c:ext xmlns:c16="http://schemas.microsoft.com/office/drawing/2014/chart" uri="{C3380CC4-5D6E-409C-BE32-E72D297353CC}">
                <c16:uniqueId val="{00000007-46DD-417F-8269-1856F35AACF8}"/>
              </c:ext>
            </c:extLst>
          </c:dPt>
          <c:dPt>
            <c:idx val="4"/>
            <c:bubble3D val="0"/>
            <c:spPr>
              <a:noFill/>
              <a:ln w="9525">
                <a:solidFill>
                  <a:srgbClr val="9FE1D8"/>
                </a:solidFill>
              </a:ln>
              <a:effectLst/>
            </c:spPr>
            <c:extLst>
              <c:ext xmlns:c16="http://schemas.microsoft.com/office/drawing/2014/chart" uri="{C3380CC4-5D6E-409C-BE32-E72D297353CC}">
                <c16:uniqueId val="{00000009-46DD-417F-8269-1856F35AACF8}"/>
              </c:ext>
            </c:extLst>
          </c:dPt>
          <c:val>
            <c:numRef>
              <c:f>Processing!$F$1:$J$1</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46DD-417F-8269-1856F35AACF8}"/>
            </c:ext>
          </c:extLst>
        </c:ser>
        <c:ser>
          <c:idx val="1"/>
          <c:order val="1"/>
          <c:spPr>
            <a:noFill/>
            <a:ln w="9525">
              <a:solidFill>
                <a:srgbClr val="9FE1D8"/>
              </a:solidFill>
            </a:ln>
          </c:spPr>
          <c:dPt>
            <c:idx val="0"/>
            <c:bubble3D val="0"/>
            <c:spPr>
              <a:noFill/>
              <a:ln w="9525">
                <a:solidFill>
                  <a:srgbClr val="9FE1D8"/>
                </a:solidFill>
              </a:ln>
              <a:effectLst/>
            </c:spPr>
            <c:extLst>
              <c:ext xmlns:c16="http://schemas.microsoft.com/office/drawing/2014/chart" uri="{C3380CC4-5D6E-409C-BE32-E72D297353CC}">
                <c16:uniqueId val="{0000000C-46DD-417F-8269-1856F35AACF8}"/>
              </c:ext>
            </c:extLst>
          </c:dPt>
          <c:dPt>
            <c:idx val="1"/>
            <c:bubble3D val="0"/>
            <c:spPr>
              <a:noFill/>
              <a:ln w="9525">
                <a:solidFill>
                  <a:srgbClr val="9FE1D8"/>
                </a:solidFill>
              </a:ln>
              <a:effectLst/>
            </c:spPr>
            <c:extLst>
              <c:ext xmlns:c16="http://schemas.microsoft.com/office/drawing/2014/chart" uri="{C3380CC4-5D6E-409C-BE32-E72D297353CC}">
                <c16:uniqueId val="{0000000E-46DD-417F-8269-1856F35AACF8}"/>
              </c:ext>
            </c:extLst>
          </c:dPt>
          <c:dPt>
            <c:idx val="2"/>
            <c:bubble3D val="0"/>
            <c:spPr>
              <a:noFill/>
              <a:ln w="9525">
                <a:solidFill>
                  <a:srgbClr val="9FE1D8"/>
                </a:solidFill>
              </a:ln>
              <a:effectLst/>
            </c:spPr>
            <c:extLst>
              <c:ext xmlns:c16="http://schemas.microsoft.com/office/drawing/2014/chart" uri="{C3380CC4-5D6E-409C-BE32-E72D297353CC}">
                <c16:uniqueId val="{00000010-46DD-417F-8269-1856F35AACF8}"/>
              </c:ext>
            </c:extLst>
          </c:dPt>
          <c:dPt>
            <c:idx val="3"/>
            <c:bubble3D val="0"/>
            <c:spPr>
              <a:noFill/>
              <a:ln w="9525">
                <a:solidFill>
                  <a:srgbClr val="9FE1D8"/>
                </a:solidFill>
              </a:ln>
              <a:effectLst/>
            </c:spPr>
            <c:extLst>
              <c:ext xmlns:c16="http://schemas.microsoft.com/office/drawing/2014/chart" uri="{C3380CC4-5D6E-409C-BE32-E72D297353CC}">
                <c16:uniqueId val="{00000012-46DD-417F-8269-1856F35AACF8}"/>
              </c:ext>
            </c:extLst>
          </c:dPt>
          <c:dPt>
            <c:idx val="4"/>
            <c:bubble3D val="0"/>
            <c:spPr>
              <a:noFill/>
              <a:ln w="9525">
                <a:solidFill>
                  <a:srgbClr val="9FE1D8"/>
                </a:solidFill>
              </a:ln>
              <a:effectLst/>
            </c:spPr>
            <c:extLst>
              <c:ext xmlns:c16="http://schemas.microsoft.com/office/drawing/2014/chart" uri="{C3380CC4-5D6E-409C-BE32-E72D297353CC}">
                <c16:uniqueId val="{00000014-46DD-417F-8269-1856F35AACF8}"/>
              </c:ext>
            </c:extLst>
          </c:dPt>
          <c:val>
            <c:numRef>
              <c:f>Processing!$F$2:$J$2</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46DD-417F-8269-1856F35AACF8}"/>
            </c:ext>
          </c:extLst>
        </c:ser>
        <c:ser>
          <c:idx val="2"/>
          <c:order val="2"/>
          <c:spPr>
            <a:noFill/>
            <a:ln w="9525">
              <a:solidFill>
                <a:srgbClr val="9FE1D8"/>
              </a:solidFill>
            </a:ln>
          </c:spPr>
          <c:dPt>
            <c:idx val="0"/>
            <c:bubble3D val="0"/>
            <c:spPr>
              <a:noFill/>
              <a:ln w="9525">
                <a:solidFill>
                  <a:srgbClr val="9FE1D8"/>
                </a:solidFill>
              </a:ln>
              <a:effectLst/>
            </c:spPr>
            <c:extLst>
              <c:ext xmlns:c16="http://schemas.microsoft.com/office/drawing/2014/chart" uri="{C3380CC4-5D6E-409C-BE32-E72D297353CC}">
                <c16:uniqueId val="{00000017-46DD-417F-8269-1856F35AACF8}"/>
              </c:ext>
            </c:extLst>
          </c:dPt>
          <c:dPt>
            <c:idx val="1"/>
            <c:bubble3D val="0"/>
            <c:spPr>
              <a:noFill/>
              <a:ln w="9525">
                <a:solidFill>
                  <a:srgbClr val="9FE1D8"/>
                </a:solidFill>
              </a:ln>
              <a:effectLst/>
            </c:spPr>
            <c:extLst>
              <c:ext xmlns:c16="http://schemas.microsoft.com/office/drawing/2014/chart" uri="{C3380CC4-5D6E-409C-BE32-E72D297353CC}">
                <c16:uniqueId val="{00000019-46DD-417F-8269-1856F35AACF8}"/>
              </c:ext>
            </c:extLst>
          </c:dPt>
          <c:dPt>
            <c:idx val="2"/>
            <c:bubble3D val="0"/>
            <c:spPr>
              <a:noFill/>
              <a:ln w="9525">
                <a:solidFill>
                  <a:srgbClr val="9FE1D8"/>
                </a:solidFill>
              </a:ln>
              <a:effectLst/>
            </c:spPr>
            <c:extLst>
              <c:ext xmlns:c16="http://schemas.microsoft.com/office/drawing/2014/chart" uri="{C3380CC4-5D6E-409C-BE32-E72D297353CC}">
                <c16:uniqueId val="{0000001B-46DD-417F-8269-1856F35AACF8}"/>
              </c:ext>
            </c:extLst>
          </c:dPt>
          <c:dPt>
            <c:idx val="3"/>
            <c:bubble3D val="0"/>
            <c:spPr>
              <a:noFill/>
              <a:ln w="9525">
                <a:solidFill>
                  <a:srgbClr val="9FE1D8"/>
                </a:solidFill>
              </a:ln>
              <a:effectLst/>
            </c:spPr>
            <c:extLst>
              <c:ext xmlns:c16="http://schemas.microsoft.com/office/drawing/2014/chart" uri="{C3380CC4-5D6E-409C-BE32-E72D297353CC}">
                <c16:uniqueId val="{0000001D-46DD-417F-8269-1856F35AACF8}"/>
              </c:ext>
            </c:extLst>
          </c:dPt>
          <c:dPt>
            <c:idx val="4"/>
            <c:bubble3D val="0"/>
            <c:spPr>
              <a:noFill/>
              <a:ln w="9525">
                <a:solidFill>
                  <a:srgbClr val="9FE1D8"/>
                </a:solidFill>
              </a:ln>
              <a:effectLst/>
            </c:spPr>
            <c:extLst>
              <c:ext xmlns:c16="http://schemas.microsoft.com/office/drawing/2014/chart" uri="{C3380CC4-5D6E-409C-BE32-E72D297353CC}">
                <c16:uniqueId val="{0000001F-46DD-417F-8269-1856F35AACF8}"/>
              </c:ext>
            </c:extLst>
          </c:dPt>
          <c:val>
            <c:numRef>
              <c:f>Processing!$F$3:$J$3</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46DD-417F-8269-1856F35AACF8}"/>
            </c:ext>
          </c:extLst>
        </c:ser>
        <c:dLbls>
          <c:showLegendKey val="0"/>
          <c:showVal val="0"/>
          <c:showCatName val="0"/>
          <c:showSerName val="0"/>
          <c:showPercent val="0"/>
          <c:showBubbleSize val="0"/>
          <c:showLeaderLines val="1"/>
        </c:dLbls>
        <c:firstSliceAng val="0"/>
        <c:holeSize val="2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Processing!$F$6</c:f>
          <c:strCache>
            <c:ptCount val="1"/>
            <c:pt idx="0">
              <c:v>Funding Sources by Tasks</c:v>
            </c:pt>
          </c:strCache>
        </c:strRef>
      </c:tx>
      <c:overlay val="0"/>
      <c:txPr>
        <a:bodyPr/>
        <a:lstStyle/>
        <a:p>
          <a:pPr>
            <a:defRPr b="0"/>
          </a:pPr>
          <a:endParaRPr lang="ru-RU"/>
        </a:p>
      </c:txPr>
    </c:title>
    <c:autoTitleDeleted val="0"/>
    <c:plotArea>
      <c:layout/>
      <c:radarChart>
        <c:radarStyle val="filled"/>
        <c:varyColors val="0"/>
        <c:ser>
          <c:idx val="0"/>
          <c:order val="0"/>
          <c:spPr>
            <a:gradFill>
              <a:gsLst>
                <a:gs pos="14000">
                  <a:srgbClr val="9FE1D8">
                    <a:alpha val="12000"/>
                  </a:srgbClr>
                </a:gs>
                <a:gs pos="100000">
                  <a:srgbClr val="70D2C3">
                    <a:alpha val="85000"/>
                  </a:srgbClr>
                </a:gs>
              </a:gsLst>
              <a:lin ang="12000000" scaled="0"/>
            </a:gradFill>
            <a:ln w="9525">
              <a:solidFill>
                <a:srgbClr val="297F73"/>
              </a:solidFill>
            </a:ln>
            <a:effectLst/>
          </c:spPr>
          <c:cat>
            <c:strRef>
              <c:f>Processing!$F$8:$F$12</c:f>
              <c:strCache>
                <c:ptCount val="5"/>
                <c:pt idx="0">
                  <c:v>Task 1</c:v>
                </c:pt>
                <c:pt idx="1">
                  <c:v>Task 2</c:v>
                </c:pt>
                <c:pt idx="2">
                  <c:v>Task 3</c:v>
                </c:pt>
                <c:pt idx="3">
                  <c:v>Task 4</c:v>
                </c:pt>
                <c:pt idx="4">
                  <c:v>Task 5</c:v>
                </c:pt>
              </c:strCache>
            </c:strRef>
          </c:cat>
          <c:val>
            <c:numRef>
              <c:f>Processing!$G$8:$G$12</c:f>
              <c:numCache>
                <c:formatCode>General</c:formatCode>
                <c:ptCount val="5"/>
                <c:pt idx="0">
                  <c:v>36741</c:v>
                </c:pt>
                <c:pt idx="1">
                  <c:v>24078</c:v>
                </c:pt>
                <c:pt idx="2">
                  <c:v>15139</c:v>
                </c:pt>
                <c:pt idx="3">
                  <c:v>29492</c:v>
                </c:pt>
                <c:pt idx="4">
                  <c:v>45372</c:v>
                </c:pt>
              </c:numCache>
            </c:numRef>
          </c:val>
          <c:extLst>
            <c:ext xmlns:c16="http://schemas.microsoft.com/office/drawing/2014/chart" uri="{C3380CC4-5D6E-409C-BE32-E72D297353CC}">
              <c16:uniqueId val="{00000000-D934-4787-AA85-3BB2036A1160}"/>
            </c:ext>
          </c:extLst>
        </c:ser>
        <c:ser>
          <c:idx val="1"/>
          <c:order val="1"/>
          <c:spPr>
            <a:gradFill>
              <a:gsLst>
                <a:gs pos="20000">
                  <a:srgbClr val="F181F2">
                    <a:alpha val="50000"/>
                  </a:srgbClr>
                </a:gs>
                <a:gs pos="100000">
                  <a:srgbClr val="F181F2">
                    <a:alpha val="50000"/>
                  </a:srgbClr>
                </a:gs>
              </a:gsLst>
              <a:lin ang="12000000" scaled="0"/>
            </a:gradFill>
            <a:ln w="9525">
              <a:solidFill>
                <a:srgbClr val="9482D7"/>
              </a:solidFill>
            </a:ln>
            <a:effectLst/>
          </c:spPr>
          <c:cat>
            <c:strRef>
              <c:f>Processing!$F$8:$F$12</c:f>
              <c:strCache>
                <c:ptCount val="5"/>
                <c:pt idx="0">
                  <c:v>Task 1</c:v>
                </c:pt>
                <c:pt idx="1">
                  <c:v>Task 2</c:v>
                </c:pt>
                <c:pt idx="2">
                  <c:v>Task 3</c:v>
                </c:pt>
                <c:pt idx="3">
                  <c:v>Task 4</c:v>
                </c:pt>
                <c:pt idx="4">
                  <c:v>Task 5</c:v>
                </c:pt>
              </c:strCache>
            </c:strRef>
          </c:cat>
          <c:val>
            <c:numRef>
              <c:f>Processing!$H$8:$H$12</c:f>
              <c:numCache>
                <c:formatCode>General</c:formatCode>
                <c:ptCount val="5"/>
                <c:pt idx="0">
                  <c:v>23004</c:v>
                </c:pt>
                <c:pt idx="1">
                  <c:v>21742</c:v>
                </c:pt>
                <c:pt idx="2">
                  <c:v>26701</c:v>
                </c:pt>
                <c:pt idx="3">
                  <c:v>34641</c:v>
                </c:pt>
                <c:pt idx="4">
                  <c:v>36988</c:v>
                </c:pt>
              </c:numCache>
            </c:numRef>
          </c:val>
          <c:extLst>
            <c:ext xmlns:c16="http://schemas.microsoft.com/office/drawing/2014/chart" uri="{C3380CC4-5D6E-409C-BE32-E72D297353CC}">
              <c16:uniqueId val="{00000001-D934-4787-AA85-3BB2036A1160}"/>
            </c:ext>
          </c:extLst>
        </c:ser>
        <c:dLbls>
          <c:showLegendKey val="0"/>
          <c:showVal val="0"/>
          <c:showCatName val="0"/>
          <c:showSerName val="0"/>
          <c:showPercent val="0"/>
          <c:showBubbleSize val="0"/>
        </c:dLbls>
        <c:axId val="1656786479"/>
        <c:axId val="1656821999"/>
      </c:radarChart>
      <c:radarChart>
        <c:radarStyle val="marker"/>
        <c:varyColors val="0"/>
        <c:ser>
          <c:idx val="2"/>
          <c:order val="2"/>
          <c:spPr>
            <a:ln>
              <a:noFill/>
            </a:ln>
            <a:effectLst>
              <a:outerShdw blurRad="50800" dist="38100" dir="5400000" algn="t" rotWithShape="0">
                <a:prstClr val="black">
                  <a:alpha val="40000"/>
                </a:prstClr>
              </a:outerShdw>
            </a:effectLst>
          </c:spPr>
          <c:marker>
            <c:symbol val="circle"/>
            <c:size val="12"/>
            <c:spPr>
              <a:gradFill>
                <a:gsLst>
                  <a:gs pos="15000">
                    <a:srgbClr val="F181F2"/>
                  </a:gs>
                  <a:gs pos="100000">
                    <a:srgbClr val="FDE9FD"/>
                  </a:gs>
                </a:gsLst>
                <a:lin ang="12000000" scaled="0"/>
              </a:gradFill>
              <a:ln>
                <a:noFill/>
              </a:ln>
              <a:effectLst>
                <a:outerShdw blurRad="50800" dist="38100" dir="5400000" algn="t" rotWithShape="0">
                  <a:prstClr val="black">
                    <a:alpha val="40000"/>
                  </a:prstClr>
                </a:outerShdw>
              </a:effectLst>
            </c:spPr>
          </c:marker>
          <c:val>
            <c:numRef>
              <c:f>Processing!$H$8:$H$12</c:f>
              <c:numCache>
                <c:formatCode>General</c:formatCode>
                <c:ptCount val="5"/>
                <c:pt idx="0">
                  <c:v>23004</c:v>
                </c:pt>
                <c:pt idx="1">
                  <c:v>21742</c:v>
                </c:pt>
                <c:pt idx="2">
                  <c:v>26701</c:v>
                </c:pt>
                <c:pt idx="3">
                  <c:v>34641</c:v>
                </c:pt>
                <c:pt idx="4">
                  <c:v>36988</c:v>
                </c:pt>
              </c:numCache>
            </c:numRef>
          </c:val>
          <c:extLst>
            <c:ext xmlns:c16="http://schemas.microsoft.com/office/drawing/2014/chart" uri="{C3380CC4-5D6E-409C-BE32-E72D297353CC}">
              <c16:uniqueId val="{00000002-D934-4787-AA85-3BB2036A1160}"/>
            </c:ext>
          </c:extLst>
        </c:ser>
        <c:ser>
          <c:idx val="3"/>
          <c:order val="3"/>
          <c:spPr>
            <a:ln w="38100">
              <a:noFill/>
            </a:ln>
            <a:effectLst>
              <a:outerShdw blurRad="50800" dist="38100" dir="5400000" algn="t" rotWithShape="0">
                <a:prstClr val="black">
                  <a:alpha val="40000"/>
                </a:prstClr>
              </a:outerShdw>
            </a:effectLst>
          </c:spPr>
          <c:marker>
            <c:symbol val="circle"/>
            <c:size val="12"/>
            <c:spPr>
              <a:gradFill>
                <a:gsLst>
                  <a:gs pos="15000">
                    <a:srgbClr val="9FE1D8"/>
                  </a:gs>
                  <a:gs pos="100000">
                    <a:srgbClr val="E7F3EE"/>
                  </a:gs>
                </a:gsLst>
                <a:lin ang="12000000" scaled="0"/>
              </a:gradFill>
              <a:ln>
                <a:noFill/>
              </a:ln>
              <a:effectLst>
                <a:outerShdw blurRad="50800" dist="38100" dir="5400000" algn="t" rotWithShape="0">
                  <a:prstClr val="black">
                    <a:alpha val="40000"/>
                  </a:prstClr>
                </a:outerShdw>
              </a:effectLst>
            </c:spPr>
          </c:marker>
          <c:val>
            <c:numRef>
              <c:f>Processing!$G$8:$G$12</c:f>
              <c:numCache>
                <c:formatCode>General</c:formatCode>
                <c:ptCount val="5"/>
                <c:pt idx="0">
                  <c:v>36741</c:v>
                </c:pt>
                <c:pt idx="1">
                  <c:v>24078</c:v>
                </c:pt>
                <c:pt idx="2">
                  <c:v>15139</c:v>
                </c:pt>
                <c:pt idx="3">
                  <c:v>29492</c:v>
                </c:pt>
                <c:pt idx="4">
                  <c:v>45372</c:v>
                </c:pt>
              </c:numCache>
            </c:numRef>
          </c:val>
          <c:extLst>
            <c:ext xmlns:c16="http://schemas.microsoft.com/office/drawing/2014/chart" uri="{C3380CC4-5D6E-409C-BE32-E72D297353CC}">
              <c16:uniqueId val="{00000003-D934-4787-AA85-3BB2036A1160}"/>
            </c:ext>
          </c:extLst>
        </c:ser>
        <c:dLbls>
          <c:showLegendKey val="0"/>
          <c:showVal val="0"/>
          <c:showCatName val="0"/>
          <c:showSerName val="0"/>
          <c:showPercent val="0"/>
          <c:showBubbleSize val="0"/>
        </c:dLbls>
        <c:axId val="1656786479"/>
        <c:axId val="1656821999"/>
      </c:radarChart>
      <c:catAx>
        <c:axId val="1656786479"/>
        <c:scaling>
          <c:orientation val="minMax"/>
        </c:scaling>
        <c:delete val="0"/>
        <c:axPos val="b"/>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lumMod val="50000"/>
                  </a:schemeClr>
                </a:solidFill>
                <a:latin typeface="+mn-lt"/>
                <a:ea typeface="+mn-ea"/>
                <a:cs typeface="+mn-cs"/>
              </a:defRPr>
            </a:pPr>
            <a:endParaRPr lang="ru-RU"/>
          </a:p>
        </c:txPr>
        <c:crossAx val="1656821999"/>
        <c:crosses val="autoZero"/>
        <c:auto val="1"/>
        <c:lblAlgn val="ctr"/>
        <c:lblOffset val="100"/>
        <c:noMultiLvlLbl val="0"/>
      </c:catAx>
      <c:valAx>
        <c:axId val="1656821999"/>
        <c:scaling>
          <c:orientation val="minMax"/>
        </c:scaling>
        <c:delete val="1"/>
        <c:axPos val="l"/>
        <c:numFmt formatCode="General" sourceLinked="1"/>
        <c:majorTickMark val="none"/>
        <c:minorTickMark val="none"/>
        <c:tickLblPos val="nextTo"/>
        <c:crossAx val="165678647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19050"/>
          </c:spPr>
          <c:dPt>
            <c:idx val="0"/>
            <c:bubble3D val="0"/>
            <c:spPr>
              <a:solidFill>
                <a:srgbClr val="006966"/>
              </a:solidFill>
              <a:ln w="19050">
                <a:solidFill>
                  <a:schemeClr val="lt1"/>
                </a:solidFill>
              </a:ln>
              <a:effectLst/>
            </c:spPr>
            <c:extLst>
              <c:ext xmlns:c16="http://schemas.microsoft.com/office/drawing/2014/chart" uri="{C3380CC4-5D6E-409C-BE32-E72D297353CC}">
                <c16:uniqueId val="{00000001-8CEF-4A75-A6FD-90B1913996E7}"/>
              </c:ext>
            </c:extLst>
          </c:dPt>
          <c:dPt>
            <c:idx val="1"/>
            <c:bubble3D val="0"/>
            <c:spPr>
              <a:solidFill>
                <a:srgbClr val="068275"/>
              </a:solidFill>
              <a:ln w="19050">
                <a:solidFill>
                  <a:schemeClr val="lt1"/>
                </a:solidFill>
              </a:ln>
              <a:effectLst/>
            </c:spPr>
            <c:extLst>
              <c:ext xmlns:c16="http://schemas.microsoft.com/office/drawing/2014/chart" uri="{C3380CC4-5D6E-409C-BE32-E72D297353CC}">
                <c16:uniqueId val="{00000003-8CEF-4A75-A6FD-90B1913996E7}"/>
              </c:ext>
            </c:extLst>
          </c:dPt>
          <c:val>
            <c:numRef>
              <c:f>Processing!$B$3:$C$3</c:f>
              <c:numCache>
                <c:formatCode>0%</c:formatCode>
                <c:ptCount val="2"/>
                <c:pt idx="0">
                  <c:v>0.16</c:v>
                </c:pt>
                <c:pt idx="1">
                  <c:v>0.84</c:v>
                </c:pt>
              </c:numCache>
            </c:numRef>
          </c:val>
          <c:extLst>
            <c:ext xmlns:c16="http://schemas.microsoft.com/office/drawing/2014/chart" uri="{C3380CC4-5D6E-409C-BE32-E72D297353CC}">
              <c16:uniqueId val="{00000004-8CEF-4A75-A6FD-90B1913996E7}"/>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Profit!A1"/><Relationship Id="rId13" Type="http://schemas.openxmlformats.org/officeDocument/2006/relationships/chart" Target="../charts/chart4.xml"/><Relationship Id="rId18" Type="http://schemas.openxmlformats.org/officeDocument/2006/relationships/image" Target="../media/image25.png"/><Relationship Id="rId3" Type="http://schemas.openxmlformats.org/officeDocument/2006/relationships/chart" Target="../charts/chart1.xml"/><Relationship Id="rId21" Type="http://schemas.openxmlformats.org/officeDocument/2006/relationships/chart" Target="../charts/chart6.xml"/><Relationship Id="rId7" Type="http://schemas.openxmlformats.org/officeDocument/2006/relationships/hyperlink" Target="#Conversion!A1"/><Relationship Id="rId12" Type="http://schemas.openxmlformats.org/officeDocument/2006/relationships/image" Target="../media/image20.svg"/><Relationship Id="rId17" Type="http://schemas.openxmlformats.org/officeDocument/2006/relationships/image" Target="../media/image24.svg"/><Relationship Id="rId2" Type="http://schemas.openxmlformats.org/officeDocument/2006/relationships/image" Target="../media/image2.svg"/><Relationship Id="rId16" Type="http://schemas.openxmlformats.org/officeDocument/2006/relationships/image" Target="../media/image23.png"/><Relationship Id="rId20"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hyperlink" Target="#'Visitors &amp; Buyers'!A1"/><Relationship Id="rId11" Type="http://schemas.openxmlformats.org/officeDocument/2006/relationships/image" Target="../media/image19.png"/><Relationship Id="rId24" Type="http://schemas.openxmlformats.org/officeDocument/2006/relationships/chart" Target="../charts/chart9.xml"/><Relationship Id="rId5" Type="http://schemas.openxmlformats.org/officeDocument/2006/relationships/chart" Target="../charts/chart3.xml"/><Relationship Id="rId15" Type="http://schemas.openxmlformats.org/officeDocument/2006/relationships/image" Target="../media/image22.svg"/><Relationship Id="rId23" Type="http://schemas.openxmlformats.org/officeDocument/2006/relationships/chart" Target="../charts/chart8.xml"/><Relationship Id="rId10" Type="http://schemas.openxmlformats.org/officeDocument/2006/relationships/hyperlink" Target="#DASHBOARD!A1"/><Relationship Id="rId19" Type="http://schemas.openxmlformats.org/officeDocument/2006/relationships/image" Target="../media/image26.svg"/><Relationship Id="rId4" Type="http://schemas.openxmlformats.org/officeDocument/2006/relationships/chart" Target="../charts/chart2.xml"/><Relationship Id="rId9" Type="http://schemas.openxmlformats.org/officeDocument/2006/relationships/hyperlink" Target="#Tasks!A1"/><Relationship Id="rId14" Type="http://schemas.openxmlformats.org/officeDocument/2006/relationships/image" Target="../media/image21.png"/><Relationship Id="rId22"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openxmlformats.org/officeDocument/2006/relationships/hyperlink" Target="#Profit!A1"/><Relationship Id="rId13" Type="http://schemas.openxmlformats.org/officeDocument/2006/relationships/chart" Target="../charts/chart14.xml"/><Relationship Id="rId18" Type="http://schemas.openxmlformats.org/officeDocument/2006/relationships/image" Target="../media/image26.svg"/><Relationship Id="rId3" Type="http://schemas.openxmlformats.org/officeDocument/2006/relationships/chart" Target="../charts/chart10.xml"/><Relationship Id="rId7" Type="http://schemas.openxmlformats.org/officeDocument/2006/relationships/hyperlink" Target="#Conversion!A1"/><Relationship Id="rId12" Type="http://schemas.openxmlformats.org/officeDocument/2006/relationships/image" Target="../media/image20.svg"/><Relationship Id="rId17" Type="http://schemas.openxmlformats.org/officeDocument/2006/relationships/image" Target="../media/image25.png"/><Relationship Id="rId2" Type="http://schemas.openxmlformats.org/officeDocument/2006/relationships/image" Target="../media/image24.svg"/><Relationship Id="rId16" Type="http://schemas.openxmlformats.org/officeDocument/2006/relationships/hyperlink" Target="#'Visitors &amp; Buyers'!A1"/><Relationship Id="rId1" Type="http://schemas.openxmlformats.org/officeDocument/2006/relationships/image" Target="../media/image23.png"/><Relationship Id="rId6" Type="http://schemas.openxmlformats.org/officeDocument/2006/relationships/chart" Target="../charts/chart13.xml"/><Relationship Id="rId11" Type="http://schemas.openxmlformats.org/officeDocument/2006/relationships/image" Target="../media/image19.png"/><Relationship Id="rId5" Type="http://schemas.openxmlformats.org/officeDocument/2006/relationships/chart" Target="../charts/chart12.xml"/><Relationship Id="rId15" Type="http://schemas.openxmlformats.org/officeDocument/2006/relationships/image" Target="../media/image22.svg"/><Relationship Id="rId10" Type="http://schemas.openxmlformats.org/officeDocument/2006/relationships/hyperlink" Target="#DASHBOARD!A1"/><Relationship Id="rId4" Type="http://schemas.openxmlformats.org/officeDocument/2006/relationships/chart" Target="../charts/chart11.xml"/><Relationship Id="rId9" Type="http://schemas.openxmlformats.org/officeDocument/2006/relationships/hyperlink" Target="#Tasks!A1"/><Relationship Id="rId14" Type="http://schemas.openxmlformats.org/officeDocument/2006/relationships/image" Target="../media/image21.png"/></Relationships>
</file>

<file path=xl/drawings/_rels/drawing3.xml.rels><?xml version="1.0" encoding="UTF-8" standalone="yes"?>
<Relationships xmlns="http://schemas.openxmlformats.org/package/2006/relationships"><Relationship Id="rId8" Type="http://schemas.openxmlformats.org/officeDocument/2006/relationships/hyperlink" Target="#Profit!A1"/><Relationship Id="rId13" Type="http://schemas.openxmlformats.org/officeDocument/2006/relationships/chart" Target="../charts/chart19.xml"/><Relationship Id="rId18" Type="http://schemas.openxmlformats.org/officeDocument/2006/relationships/image" Target="../media/image25.png"/><Relationship Id="rId3" Type="http://schemas.openxmlformats.org/officeDocument/2006/relationships/chart" Target="../charts/chart15.xml"/><Relationship Id="rId7" Type="http://schemas.openxmlformats.org/officeDocument/2006/relationships/hyperlink" Target="#'Visitors &amp; Buyers'!A1"/><Relationship Id="rId12" Type="http://schemas.openxmlformats.org/officeDocument/2006/relationships/image" Target="../media/image20.svg"/><Relationship Id="rId17" Type="http://schemas.openxmlformats.org/officeDocument/2006/relationships/image" Target="../media/image24.svg"/><Relationship Id="rId2" Type="http://schemas.openxmlformats.org/officeDocument/2006/relationships/image" Target="../media/image28.svg"/><Relationship Id="rId16" Type="http://schemas.openxmlformats.org/officeDocument/2006/relationships/image" Target="../media/image23.png"/><Relationship Id="rId20" Type="http://schemas.openxmlformats.org/officeDocument/2006/relationships/hyperlink" Target="#Conversion!A1"/><Relationship Id="rId1" Type="http://schemas.openxmlformats.org/officeDocument/2006/relationships/image" Target="../media/image27.png"/><Relationship Id="rId6" Type="http://schemas.openxmlformats.org/officeDocument/2006/relationships/chart" Target="../charts/chart18.xml"/><Relationship Id="rId11" Type="http://schemas.openxmlformats.org/officeDocument/2006/relationships/image" Target="../media/image19.png"/><Relationship Id="rId5" Type="http://schemas.openxmlformats.org/officeDocument/2006/relationships/chart" Target="../charts/chart17.xml"/><Relationship Id="rId15" Type="http://schemas.openxmlformats.org/officeDocument/2006/relationships/image" Target="../media/image22.svg"/><Relationship Id="rId10" Type="http://schemas.openxmlformats.org/officeDocument/2006/relationships/hyperlink" Target="#DASHBOARD!A1"/><Relationship Id="rId19" Type="http://schemas.openxmlformats.org/officeDocument/2006/relationships/image" Target="../media/image26.svg"/><Relationship Id="rId4" Type="http://schemas.openxmlformats.org/officeDocument/2006/relationships/chart" Target="../charts/chart16.xml"/><Relationship Id="rId9" Type="http://schemas.openxmlformats.org/officeDocument/2006/relationships/hyperlink" Target="#Tasks!A1"/><Relationship Id="rId14" Type="http://schemas.openxmlformats.org/officeDocument/2006/relationships/image" Target="../media/image21.png"/></Relationships>
</file>

<file path=xl/drawings/_rels/drawing4.xml.rels><?xml version="1.0" encoding="UTF-8" standalone="yes"?>
<Relationships xmlns="http://schemas.openxmlformats.org/package/2006/relationships"><Relationship Id="rId8" Type="http://schemas.openxmlformats.org/officeDocument/2006/relationships/hyperlink" Target="#Conversion!A1"/><Relationship Id="rId13" Type="http://schemas.openxmlformats.org/officeDocument/2006/relationships/chart" Target="../charts/chart24.xml"/><Relationship Id="rId18" Type="http://schemas.openxmlformats.org/officeDocument/2006/relationships/image" Target="../media/image24.svg"/><Relationship Id="rId3" Type="http://schemas.openxmlformats.org/officeDocument/2006/relationships/chart" Target="../charts/chart20.xml"/><Relationship Id="rId7" Type="http://schemas.openxmlformats.org/officeDocument/2006/relationships/hyperlink" Target="#'Visitors &amp; Buyers'!A1"/><Relationship Id="rId12" Type="http://schemas.openxmlformats.org/officeDocument/2006/relationships/image" Target="../media/image20.svg"/><Relationship Id="rId17" Type="http://schemas.openxmlformats.org/officeDocument/2006/relationships/image" Target="../media/image23.png"/><Relationship Id="rId2" Type="http://schemas.openxmlformats.org/officeDocument/2006/relationships/image" Target="../media/image29.svg"/><Relationship Id="rId16" Type="http://schemas.openxmlformats.org/officeDocument/2006/relationships/image" Target="../media/image22.svg"/><Relationship Id="rId20" Type="http://schemas.openxmlformats.org/officeDocument/2006/relationships/image" Target="../media/image26.svg"/><Relationship Id="rId1" Type="http://schemas.openxmlformats.org/officeDocument/2006/relationships/image" Target="../media/image27.png"/><Relationship Id="rId6" Type="http://schemas.openxmlformats.org/officeDocument/2006/relationships/chart" Target="../charts/chart23.xml"/><Relationship Id="rId11" Type="http://schemas.openxmlformats.org/officeDocument/2006/relationships/image" Target="../media/image19.png"/><Relationship Id="rId5" Type="http://schemas.openxmlformats.org/officeDocument/2006/relationships/chart" Target="../charts/chart22.xml"/><Relationship Id="rId15" Type="http://schemas.openxmlformats.org/officeDocument/2006/relationships/image" Target="../media/image21.png"/><Relationship Id="rId10" Type="http://schemas.openxmlformats.org/officeDocument/2006/relationships/hyperlink" Target="#DASHBOARD!A1"/><Relationship Id="rId19" Type="http://schemas.openxmlformats.org/officeDocument/2006/relationships/image" Target="../media/image25.png"/><Relationship Id="rId4" Type="http://schemas.openxmlformats.org/officeDocument/2006/relationships/chart" Target="../charts/chart21.xml"/><Relationship Id="rId9" Type="http://schemas.openxmlformats.org/officeDocument/2006/relationships/hyperlink" Target="#Tasks!A1"/><Relationship Id="rId14" Type="http://schemas.openxmlformats.org/officeDocument/2006/relationships/hyperlink" Target="#Profit!A1"/></Relationships>
</file>

<file path=xl/drawings/_rels/drawing5.xml.rels><?xml version="1.0" encoding="UTF-8" standalone="yes"?>
<Relationships xmlns="http://schemas.openxmlformats.org/package/2006/relationships"><Relationship Id="rId8" Type="http://schemas.openxmlformats.org/officeDocument/2006/relationships/hyperlink" Target="#'Visitors &amp; Buyers'!A1"/><Relationship Id="rId13" Type="http://schemas.openxmlformats.org/officeDocument/2006/relationships/image" Target="../media/image20.svg"/><Relationship Id="rId18" Type="http://schemas.openxmlformats.org/officeDocument/2006/relationships/image" Target="../media/image24.svg"/><Relationship Id="rId3" Type="http://schemas.openxmlformats.org/officeDocument/2006/relationships/chart" Target="../charts/chart25.xml"/><Relationship Id="rId21" Type="http://schemas.openxmlformats.org/officeDocument/2006/relationships/image" Target="../media/image26.svg"/><Relationship Id="rId7" Type="http://schemas.openxmlformats.org/officeDocument/2006/relationships/chart" Target="../charts/chart29.xml"/><Relationship Id="rId12" Type="http://schemas.openxmlformats.org/officeDocument/2006/relationships/image" Target="../media/image19.png"/><Relationship Id="rId17" Type="http://schemas.openxmlformats.org/officeDocument/2006/relationships/image" Target="../media/image23.png"/><Relationship Id="rId2" Type="http://schemas.openxmlformats.org/officeDocument/2006/relationships/image" Target="../media/image29.svg"/><Relationship Id="rId16" Type="http://schemas.openxmlformats.org/officeDocument/2006/relationships/image" Target="../media/image22.svg"/><Relationship Id="rId20" Type="http://schemas.openxmlformats.org/officeDocument/2006/relationships/image" Target="../media/image25.png"/><Relationship Id="rId1" Type="http://schemas.openxmlformats.org/officeDocument/2006/relationships/image" Target="../media/image27.png"/><Relationship Id="rId6" Type="http://schemas.openxmlformats.org/officeDocument/2006/relationships/chart" Target="../charts/chart28.xml"/><Relationship Id="rId11" Type="http://schemas.openxmlformats.org/officeDocument/2006/relationships/hyperlink" Target="#DASHBOARD!A1"/><Relationship Id="rId5" Type="http://schemas.openxmlformats.org/officeDocument/2006/relationships/chart" Target="../charts/chart27.xml"/><Relationship Id="rId15" Type="http://schemas.openxmlformats.org/officeDocument/2006/relationships/image" Target="../media/image21.png"/><Relationship Id="rId10" Type="http://schemas.openxmlformats.org/officeDocument/2006/relationships/hyperlink" Target="#Profit!A1"/><Relationship Id="rId19" Type="http://schemas.openxmlformats.org/officeDocument/2006/relationships/hyperlink" Target="#Tasks!A1"/><Relationship Id="rId4" Type="http://schemas.openxmlformats.org/officeDocument/2006/relationships/chart" Target="../charts/chart26.xml"/><Relationship Id="rId9" Type="http://schemas.openxmlformats.org/officeDocument/2006/relationships/hyperlink" Target="#Conversion!A1"/><Relationship Id="rId14"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594360</xdr:colOff>
      <xdr:row>33</xdr:row>
      <xdr:rowOff>38100</xdr:rowOff>
    </xdr:to>
    <xdr:sp macro="" textlink="">
      <xdr:nvSpPr>
        <xdr:cNvPr id="5" name="Right Triangle 2">
          <a:extLst>
            <a:ext uri="{FF2B5EF4-FFF2-40B4-BE49-F238E27FC236}">
              <a16:creationId xmlns:a16="http://schemas.microsoft.com/office/drawing/2014/main" id="{ABDFC8DA-8E9A-D778-A8FE-0B665F0144E0}"/>
            </a:ext>
          </a:extLst>
        </xdr:cNvPr>
        <xdr:cNvSpPr/>
      </xdr:nvSpPr>
      <xdr:spPr>
        <a:xfrm flipV="1">
          <a:off x="0" y="0"/>
          <a:ext cx="9128760" cy="6010275"/>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0 w 1303214"/>
            <a:gd name="connsiteY0" fmla="*/ 2217420 h 2320684"/>
            <a:gd name="connsiteX1" fmla="*/ 0 w 1303214"/>
            <a:gd name="connsiteY1" fmla="*/ 0 h 2320684"/>
            <a:gd name="connsiteX2" fmla="*/ 655320 w 1303214"/>
            <a:gd name="connsiteY2" fmla="*/ 685800 h 2320684"/>
            <a:gd name="connsiteX3" fmla="*/ 1287780 w 1303214"/>
            <a:gd name="connsiteY3" fmla="*/ 2217420 h 2320684"/>
            <a:gd name="connsiteX4" fmla="*/ 0 w 1303214"/>
            <a:gd name="connsiteY4" fmla="*/ 2217420 h 2320684"/>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249987"/>
        </a:solidFill>
        <a:ln w="9525">
          <a:solidFill>
            <a:srgbClr val="73C3A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10</xdr:col>
      <xdr:colOff>175260</xdr:colOff>
      <xdr:row>20</xdr:row>
      <xdr:rowOff>81836</xdr:rowOff>
    </xdr:to>
    <xdr:sp macro="" textlink="">
      <xdr:nvSpPr>
        <xdr:cNvPr id="4" name="Right Triangle 2">
          <a:extLst>
            <a:ext uri="{FF2B5EF4-FFF2-40B4-BE49-F238E27FC236}">
              <a16:creationId xmlns:a16="http://schemas.microsoft.com/office/drawing/2014/main" id="{A41E66EE-3DDC-189F-DD18-24B55EA2559D}"/>
            </a:ext>
          </a:extLst>
        </xdr:cNvPr>
        <xdr:cNvSpPr/>
      </xdr:nvSpPr>
      <xdr:spPr>
        <a:xfrm flipV="1">
          <a:off x="0" y="0"/>
          <a:ext cx="6271260" cy="3701336"/>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0 w 1303214"/>
            <a:gd name="connsiteY0" fmla="*/ 2217420 h 2320684"/>
            <a:gd name="connsiteX1" fmla="*/ 0 w 1303214"/>
            <a:gd name="connsiteY1" fmla="*/ 0 h 2320684"/>
            <a:gd name="connsiteX2" fmla="*/ 655320 w 1303214"/>
            <a:gd name="connsiteY2" fmla="*/ 685800 h 2320684"/>
            <a:gd name="connsiteX3" fmla="*/ 1287780 w 1303214"/>
            <a:gd name="connsiteY3" fmla="*/ 2217420 h 2320684"/>
            <a:gd name="connsiteX4" fmla="*/ 0 w 1303214"/>
            <a:gd name="connsiteY4" fmla="*/ 2217420 h 2320684"/>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3FA48E"/>
        </a:solidFill>
        <a:ln w="9525">
          <a:solidFill>
            <a:srgbClr val="73C3A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2</xdr:col>
      <xdr:colOff>487680</xdr:colOff>
      <xdr:row>11</xdr:row>
      <xdr:rowOff>107222</xdr:rowOff>
    </xdr:to>
    <xdr:sp macro="" textlink="">
      <xdr:nvSpPr>
        <xdr:cNvPr id="3" name="Right Triangle 2">
          <a:extLst>
            <a:ext uri="{FF2B5EF4-FFF2-40B4-BE49-F238E27FC236}">
              <a16:creationId xmlns:a16="http://schemas.microsoft.com/office/drawing/2014/main" id="{AAD153B3-4E5E-BC46-6E6E-826739417AB7}"/>
            </a:ext>
          </a:extLst>
        </xdr:cNvPr>
        <xdr:cNvSpPr/>
      </xdr:nvSpPr>
      <xdr:spPr>
        <a:xfrm flipV="1">
          <a:off x="0" y="0"/>
          <a:ext cx="1706880" cy="2097947"/>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49AA91"/>
        </a:solidFill>
        <a:ln w="9525">
          <a:solidFill>
            <a:srgbClr val="73C3AE"/>
          </a:solidFill>
        </a:ln>
        <a:effectLst>
          <a:outerShdw blurRad="50800" dist="38100" dir="30000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315686</xdr:colOff>
      <xdr:row>4</xdr:row>
      <xdr:rowOff>10885</xdr:rowOff>
    </xdr:from>
    <xdr:to>
      <xdr:col>29</xdr:col>
      <xdr:colOff>489858</xdr:colOff>
      <xdr:row>47</xdr:row>
      <xdr:rowOff>100148</xdr:rowOff>
    </xdr:to>
    <xdr:sp macro="" textlink="">
      <xdr:nvSpPr>
        <xdr:cNvPr id="6" name="Rectangle: Rounded Corners 5">
          <a:extLst>
            <a:ext uri="{FF2B5EF4-FFF2-40B4-BE49-F238E27FC236}">
              <a16:creationId xmlns:a16="http://schemas.microsoft.com/office/drawing/2014/main" id="{BFF26F0A-EE5E-957E-6D02-86EE65C80491}"/>
            </a:ext>
          </a:extLst>
        </xdr:cNvPr>
        <xdr:cNvSpPr/>
      </xdr:nvSpPr>
      <xdr:spPr>
        <a:xfrm>
          <a:off x="2144486" y="734785"/>
          <a:ext cx="16023772" cy="7871188"/>
        </a:xfrm>
        <a:prstGeom prst="roundRect">
          <a:avLst>
            <a:gd name="adj" fmla="val 6838"/>
          </a:avLst>
        </a:prstGeom>
        <a:solidFill>
          <a:schemeClr val="bg1"/>
        </a:solidFill>
        <a:ln w="12700">
          <a:solidFill>
            <a:srgbClr val="73C3AE"/>
          </a:solidFill>
        </a:ln>
        <a:effectLst>
          <a:outerShdw blurRad="1003300" dist="63500" dir="33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342901</xdr:colOff>
      <xdr:row>13</xdr:row>
      <xdr:rowOff>108859</xdr:rowOff>
    </xdr:from>
    <xdr:to>
      <xdr:col>4</xdr:col>
      <xdr:colOff>506187</xdr:colOff>
      <xdr:row>40</xdr:row>
      <xdr:rowOff>65317</xdr:rowOff>
    </xdr:to>
    <xdr:sp macro="" textlink="">
      <xdr:nvSpPr>
        <xdr:cNvPr id="7" name="Flowchart: Manual Operation 6">
          <a:extLst>
            <a:ext uri="{FF2B5EF4-FFF2-40B4-BE49-F238E27FC236}">
              <a16:creationId xmlns:a16="http://schemas.microsoft.com/office/drawing/2014/main" id="{20C22D93-465F-F739-6E18-E041DEA63FAA}"/>
            </a:ext>
          </a:extLst>
        </xdr:cNvPr>
        <xdr:cNvSpPr/>
      </xdr:nvSpPr>
      <xdr:spPr>
        <a:xfrm rot="16200000">
          <a:off x="136752" y="4496483"/>
          <a:ext cx="4842783" cy="772886"/>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959" y="2935"/>
                <a:pt x="9333" y="8333"/>
                <a:pt x="8000" y="10000"/>
              </a:cubicBezTo>
              <a:lnTo>
                <a:pt x="2000" y="10000"/>
              </a:lnTo>
              <a:cubicBezTo>
                <a:pt x="667" y="8333"/>
                <a:pt x="953" y="2230"/>
                <a:pt x="0" y="0"/>
              </a:cubicBezTo>
              <a:close/>
            </a:path>
          </a:pathLst>
        </a:custGeom>
        <a:solidFill>
          <a:srgbClr val="0682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185059</xdr:colOff>
      <xdr:row>6</xdr:row>
      <xdr:rowOff>141512</xdr:rowOff>
    </xdr:from>
    <xdr:to>
      <xdr:col>10</xdr:col>
      <xdr:colOff>544287</xdr:colOff>
      <xdr:row>15</xdr:row>
      <xdr:rowOff>21770</xdr:rowOff>
    </xdr:to>
    <xdr:sp macro="" textlink="">
      <xdr:nvSpPr>
        <xdr:cNvPr id="9" name="Rectangle: Rounded Corners 8">
          <a:extLst>
            <a:ext uri="{FF2B5EF4-FFF2-40B4-BE49-F238E27FC236}">
              <a16:creationId xmlns:a16="http://schemas.microsoft.com/office/drawing/2014/main" id="{E733EE1F-7647-C130-4FE4-60BB593D651E}"/>
            </a:ext>
          </a:extLst>
        </xdr:cNvPr>
        <xdr:cNvSpPr/>
      </xdr:nvSpPr>
      <xdr:spPr>
        <a:xfrm>
          <a:off x="3233059" y="1227362"/>
          <a:ext cx="3407228" cy="1509033"/>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ru-RU" sz="1100">
            <a:solidFill>
              <a:schemeClr val="lt1"/>
            </a:solidFill>
            <a:latin typeface="+mn-lt"/>
            <a:ea typeface="+mn-ea"/>
            <a:cs typeface="+mn-cs"/>
          </a:endParaRPr>
        </a:p>
      </xdr:txBody>
    </xdr:sp>
    <xdr:clientData/>
  </xdr:twoCellAnchor>
  <xdr:twoCellAnchor>
    <xdr:from>
      <xdr:col>11</xdr:col>
      <xdr:colOff>181431</xdr:colOff>
      <xdr:row>6</xdr:row>
      <xdr:rowOff>141512</xdr:rowOff>
    </xdr:from>
    <xdr:to>
      <xdr:col>16</xdr:col>
      <xdr:colOff>540659</xdr:colOff>
      <xdr:row>15</xdr:row>
      <xdr:rowOff>21770</xdr:rowOff>
    </xdr:to>
    <xdr:sp macro="" textlink="">
      <xdr:nvSpPr>
        <xdr:cNvPr id="10" name="Rectangle: Rounded Corners 9">
          <a:extLst>
            <a:ext uri="{FF2B5EF4-FFF2-40B4-BE49-F238E27FC236}">
              <a16:creationId xmlns:a16="http://schemas.microsoft.com/office/drawing/2014/main" id="{B983A28E-D1C4-E71D-F781-2E367359BBA9}"/>
            </a:ext>
          </a:extLst>
        </xdr:cNvPr>
        <xdr:cNvSpPr/>
      </xdr:nvSpPr>
      <xdr:spPr>
        <a:xfrm>
          <a:off x="6887031" y="1227362"/>
          <a:ext cx="3407228" cy="1509033"/>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ru-RU" sz="1100"/>
        </a:p>
      </xdr:txBody>
    </xdr:sp>
    <xdr:clientData/>
  </xdr:twoCellAnchor>
  <xdr:twoCellAnchor>
    <xdr:from>
      <xdr:col>17</xdr:col>
      <xdr:colOff>177803</xdr:colOff>
      <xdr:row>6</xdr:row>
      <xdr:rowOff>141512</xdr:rowOff>
    </xdr:from>
    <xdr:to>
      <xdr:col>22</xdr:col>
      <xdr:colOff>537031</xdr:colOff>
      <xdr:row>15</xdr:row>
      <xdr:rowOff>21770</xdr:rowOff>
    </xdr:to>
    <xdr:sp macro="" textlink="">
      <xdr:nvSpPr>
        <xdr:cNvPr id="11" name="Rectangle: Rounded Corners 10">
          <a:extLst>
            <a:ext uri="{FF2B5EF4-FFF2-40B4-BE49-F238E27FC236}">
              <a16:creationId xmlns:a16="http://schemas.microsoft.com/office/drawing/2014/main" id="{37C8308F-B0FA-0B1F-D1B5-146CC111EA76}"/>
            </a:ext>
          </a:extLst>
        </xdr:cNvPr>
        <xdr:cNvSpPr/>
      </xdr:nvSpPr>
      <xdr:spPr>
        <a:xfrm>
          <a:off x="10541003" y="1227362"/>
          <a:ext cx="3407228" cy="1509033"/>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174174</xdr:colOff>
      <xdr:row>6</xdr:row>
      <xdr:rowOff>141512</xdr:rowOff>
    </xdr:from>
    <xdr:to>
      <xdr:col>28</xdr:col>
      <xdr:colOff>533402</xdr:colOff>
      <xdr:row>15</xdr:row>
      <xdr:rowOff>21770</xdr:rowOff>
    </xdr:to>
    <xdr:sp macro="" textlink="">
      <xdr:nvSpPr>
        <xdr:cNvPr id="12" name="Rectangle: Rounded Corners 11">
          <a:extLst>
            <a:ext uri="{FF2B5EF4-FFF2-40B4-BE49-F238E27FC236}">
              <a16:creationId xmlns:a16="http://schemas.microsoft.com/office/drawing/2014/main" id="{45E0793C-6FD1-BFF2-0887-16238BDAD2B4}"/>
            </a:ext>
          </a:extLst>
        </xdr:cNvPr>
        <xdr:cNvSpPr/>
      </xdr:nvSpPr>
      <xdr:spPr>
        <a:xfrm>
          <a:off x="14194974" y="1227362"/>
          <a:ext cx="3407228" cy="1509033"/>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541630</xdr:colOff>
      <xdr:row>8</xdr:row>
      <xdr:rowOff>91268</xdr:rowOff>
    </xdr:from>
    <xdr:to>
      <xdr:col>7</xdr:col>
      <xdr:colOff>41535</xdr:colOff>
      <xdr:row>11</xdr:row>
      <xdr:rowOff>162612</xdr:rowOff>
    </xdr:to>
    <xdr:grpSp>
      <xdr:nvGrpSpPr>
        <xdr:cNvPr id="23" name="Group 22">
          <a:extLst>
            <a:ext uri="{FF2B5EF4-FFF2-40B4-BE49-F238E27FC236}">
              <a16:creationId xmlns:a16="http://schemas.microsoft.com/office/drawing/2014/main" id="{C6D6E085-9E6D-DEF9-48D4-516762E27A82}"/>
            </a:ext>
          </a:extLst>
        </xdr:cNvPr>
        <xdr:cNvGrpSpPr/>
      </xdr:nvGrpSpPr>
      <xdr:grpSpPr>
        <a:xfrm>
          <a:off x="3472399" y="1585960"/>
          <a:ext cx="672213" cy="642844"/>
          <a:chOff x="6520543" y="3673855"/>
          <a:chExt cx="923590" cy="804672"/>
        </a:xfrm>
        <a:solidFill>
          <a:srgbClr val="297F73"/>
        </a:solidFill>
      </xdr:grpSpPr>
      <xdr:pic>
        <xdr:nvPicPr>
          <xdr:cNvPr id="15" name="Graphic 14" descr="User with solid fill">
            <a:extLst>
              <a:ext uri="{FF2B5EF4-FFF2-40B4-BE49-F238E27FC236}">
                <a16:creationId xmlns:a16="http://schemas.microsoft.com/office/drawing/2014/main" id="{AF4FE202-43E7-5BAF-C0B0-F6038B39E71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39461" y="3673855"/>
            <a:ext cx="804672" cy="804672"/>
          </a:xfrm>
          <a:prstGeom prst="rect">
            <a:avLst/>
          </a:prstGeom>
        </xdr:spPr>
      </xdr:pic>
      <xdr:grpSp>
        <xdr:nvGrpSpPr>
          <xdr:cNvPr id="20" name="Graphic 15" descr="User with solid fill">
            <a:extLst>
              <a:ext uri="{FF2B5EF4-FFF2-40B4-BE49-F238E27FC236}">
                <a16:creationId xmlns:a16="http://schemas.microsoft.com/office/drawing/2014/main" id="{B0FE0077-EB8F-B87A-09F6-88017E577A4E}"/>
              </a:ext>
            </a:extLst>
          </xdr:cNvPr>
          <xdr:cNvGrpSpPr/>
        </xdr:nvGrpSpPr>
        <xdr:grpSpPr>
          <a:xfrm>
            <a:off x="6520543" y="3801837"/>
            <a:ext cx="609600" cy="604156"/>
            <a:chOff x="8164286" y="3867151"/>
            <a:chExt cx="609600" cy="604156"/>
          </a:xfrm>
          <a:grpFill/>
        </xdr:grpSpPr>
        <xdr:sp macro="" textlink="">
          <xdr:nvSpPr>
            <xdr:cNvPr id="21" name="Freeform: Shape 20">
              <a:extLst>
                <a:ext uri="{FF2B5EF4-FFF2-40B4-BE49-F238E27FC236}">
                  <a16:creationId xmlns:a16="http://schemas.microsoft.com/office/drawing/2014/main" id="{967B0CDC-7484-8ED3-FF5F-DE551F83FDE4}"/>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chemeClr val="bg1"/>
              </a:solidFill>
              <a:prstDash val="solid"/>
              <a:miter/>
            </a:ln>
          </xdr:spPr>
          <xdr:txBody>
            <a:bodyPr rtlCol="0" anchor="ctr"/>
            <a:lstStyle/>
            <a:p>
              <a:endParaRPr lang="ru-RU"/>
            </a:p>
          </xdr:txBody>
        </xdr:sp>
        <xdr:sp macro="" textlink="">
          <xdr:nvSpPr>
            <xdr:cNvPr id="22" name="Freeform: Shape 21">
              <a:extLst>
                <a:ext uri="{FF2B5EF4-FFF2-40B4-BE49-F238E27FC236}">
                  <a16:creationId xmlns:a16="http://schemas.microsoft.com/office/drawing/2014/main" id="{D065E151-DD6C-7E49-BEAE-75783CD56468}"/>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chemeClr val="bg1"/>
              </a:solidFill>
              <a:prstDash val="solid"/>
              <a:miter/>
            </a:ln>
          </xdr:spPr>
          <xdr:txBody>
            <a:bodyPr rtlCol="0" anchor="ctr"/>
            <a:lstStyle/>
            <a:p>
              <a:endParaRPr lang="ru-RU"/>
            </a:p>
          </xdr:txBody>
        </xdr:sp>
      </xdr:grpSp>
    </xdr:grpSp>
    <xdr:clientData/>
  </xdr:twoCellAnchor>
  <xdr:twoCellAnchor>
    <xdr:from>
      <xdr:col>17</xdr:col>
      <xdr:colOff>239826</xdr:colOff>
      <xdr:row>8</xdr:row>
      <xdr:rowOff>65315</xdr:rowOff>
    </xdr:from>
    <xdr:to>
      <xdr:col>22</xdr:col>
      <xdr:colOff>475008</xdr:colOff>
      <xdr:row>12</xdr:row>
      <xdr:rowOff>130629</xdr:rowOff>
    </xdr:to>
    <xdr:sp macro="" textlink="Processing!B4">
      <xdr:nvSpPr>
        <xdr:cNvPr id="24" name="TextBox 23">
          <a:extLst>
            <a:ext uri="{FF2B5EF4-FFF2-40B4-BE49-F238E27FC236}">
              <a16:creationId xmlns:a16="http://schemas.microsoft.com/office/drawing/2014/main" id="{C2668768-B443-8335-21B1-B824FDC5DB19}"/>
            </a:ext>
          </a:extLst>
        </xdr:cNvPr>
        <xdr:cNvSpPr txBox="1"/>
      </xdr:nvSpPr>
      <xdr:spPr>
        <a:xfrm>
          <a:off x="10603026" y="1513115"/>
          <a:ext cx="3283182" cy="789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36422D-0FC2-41A2-BD2B-94815EC06F19}" type="TxLink">
            <a:rPr lang="en-US" sz="4000" b="0" i="0" u="none" strike="noStrike">
              <a:solidFill>
                <a:srgbClr val="006966"/>
              </a:solidFill>
              <a:latin typeface="Aptos Narrow"/>
            </a:rPr>
            <a:pPr algn="ctr"/>
            <a:t> $5,000 </a:t>
          </a:fld>
          <a:endParaRPr lang="ru-RU" sz="4000" b="0">
            <a:solidFill>
              <a:srgbClr val="006966"/>
            </a:solidFill>
          </a:endParaRPr>
        </a:p>
      </xdr:txBody>
    </xdr:sp>
    <xdr:clientData/>
  </xdr:twoCellAnchor>
  <xdr:twoCellAnchor>
    <xdr:from>
      <xdr:col>6</xdr:col>
      <xdr:colOff>157844</xdr:colOff>
      <xdr:row>12</xdr:row>
      <xdr:rowOff>54429</xdr:rowOff>
    </xdr:from>
    <xdr:to>
      <xdr:col>9</xdr:col>
      <xdr:colOff>571502</xdr:colOff>
      <xdr:row>15</xdr:row>
      <xdr:rowOff>10887</xdr:rowOff>
    </xdr:to>
    <xdr:sp macro="" textlink="Processing!A2">
      <xdr:nvSpPr>
        <xdr:cNvPr id="25" name="TextBox 24">
          <a:extLst>
            <a:ext uri="{FF2B5EF4-FFF2-40B4-BE49-F238E27FC236}">
              <a16:creationId xmlns:a16="http://schemas.microsoft.com/office/drawing/2014/main" id="{E1882F5D-61F0-13C0-6F2D-0CB880D4C6CC}"/>
            </a:ext>
          </a:extLst>
        </xdr:cNvPr>
        <xdr:cNvSpPr txBox="1"/>
      </xdr:nvSpPr>
      <xdr:spPr>
        <a:xfrm>
          <a:off x="3815444" y="2226129"/>
          <a:ext cx="2242458" cy="499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FD6D120-AE2D-4647-992D-328FDEDCAD81}" type="TxLink">
            <a:rPr lang="en-US" sz="2000" b="0" i="0" u="none" strike="noStrike">
              <a:solidFill>
                <a:srgbClr val="006966"/>
              </a:solidFill>
              <a:latin typeface="Aptos Narrow"/>
              <a:ea typeface="+mn-ea"/>
              <a:cs typeface="+mn-cs"/>
            </a:rPr>
            <a:pPr marL="0" indent="0" algn="ctr"/>
            <a:t>Visitors &amp; Buyers</a:t>
          </a:fld>
          <a:endParaRPr lang="ru-RU" sz="2000" b="0" i="0" u="none" strike="noStrike">
            <a:solidFill>
              <a:srgbClr val="006966"/>
            </a:solidFill>
            <a:latin typeface="Aptos Narrow"/>
            <a:ea typeface="+mn-ea"/>
            <a:cs typeface="+mn-cs"/>
          </a:endParaRPr>
        </a:p>
      </xdr:txBody>
    </xdr:sp>
    <xdr:clientData/>
  </xdr:twoCellAnchor>
  <xdr:twoCellAnchor>
    <xdr:from>
      <xdr:col>7</xdr:col>
      <xdr:colOff>87085</xdr:colOff>
      <xdr:row>8</xdr:row>
      <xdr:rowOff>87086</xdr:rowOff>
    </xdr:from>
    <xdr:to>
      <xdr:col>10</xdr:col>
      <xdr:colOff>500743</xdr:colOff>
      <xdr:row>12</xdr:row>
      <xdr:rowOff>152400</xdr:rowOff>
    </xdr:to>
    <xdr:sp macro="" textlink="Processing!B2">
      <xdr:nvSpPr>
        <xdr:cNvPr id="26" name="TextBox 25">
          <a:extLst>
            <a:ext uri="{FF2B5EF4-FFF2-40B4-BE49-F238E27FC236}">
              <a16:creationId xmlns:a16="http://schemas.microsoft.com/office/drawing/2014/main" id="{B449082C-44C3-A647-DDDF-252A6C0F91F0}"/>
            </a:ext>
          </a:extLst>
        </xdr:cNvPr>
        <xdr:cNvSpPr txBox="1"/>
      </xdr:nvSpPr>
      <xdr:spPr>
        <a:xfrm>
          <a:off x="4354285" y="1534886"/>
          <a:ext cx="2242458" cy="789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40F2C31-A97C-41B3-8A16-9FDA3F3B6158}" type="TxLink">
            <a:rPr lang="en-US" sz="4000" b="0" i="0" u="none" strike="noStrike">
              <a:solidFill>
                <a:srgbClr val="006966"/>
              </a:solidFill>
              <a:latin typeface="Aptos Narrow"/>
              <a:ea typeface="+mn-ea"/>
              <a:cs typeface="+mn-cs"/>
            </a:rPr>
            <a:pPr marL="0" indent="0" algn="ctr"/>
            <a:t> 8 333</a:t>
          </a:fld>
          <a:endParaRPr lang="ru-RU" sz="4000" b="0" i="0" u="none" strike="noStrike">
            <a:solidFill>
              <a:srgbClr val="006966"/>
            </a:solidFill>
            <a:latin typeface="Aptos Narrow"/>
            <a:ea typeface="+mn-ea"/>
            <a:cs typeface="+mn-cs"/>
          </a:endParaRPr>
        </a:p>
      </xdr:txBody>
    </xdr:sp>
    <xdr:clientData/>
  </xdr:twoCellAnchor>
  <xdr:twoCellAnchor>
    <xdr:from>
      <xdr:col>18</xdr:col>
      <xdr:colOff>150588</xdr:colOff>
      <xdr:row>12</xdr:row>
      <xdr:rowOff>54429</xdr:rowOff>
    </xdr:from>
    <xdr:to>
      <xdr:col>21</xdr:col>
      <xdr:colOff>564246</xdr:colOff>
      <xdr:row>15</xdr:row>
      <xdr:rowOff>10887</xdr:rowOff>
    </xdr:to>
    <xdr:sp macro="" textlink="Processing!A4">
      <xdr:nvSpPr>
        <xdr:cNvPr id="27" name="TextBox 26">
          <a:extLst>
            <a:ext uri="{FF2B5EF4-FFF2-40B4-BE49-F238E27FC236}">
              <a16:creationId xmlns:a16="http://schemas.microsoft.com/office/drawing/2014/main" id="{EA1E4C4A-0F5B-983E-BE36-673B2406D58E}"/>
            </a:ext>
          </a:extLst>
        </xdr:cNvPr>
        <xdr:cNvSpPr txBox="1"/>
      </xdr:nvSpPr>
      <xdr:spPr>
        <a:xfrm>
          <a:off x="11123388" y="2226129"/>
          <a:ext cx="2242458" cy="499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A9DEBBE-8346-447D-BB37-708CEF2642B0}" type="TxLink">
            <a:rPr lang="en-US" sz="2000" b="0" i="0" u="none" strike="noStrike">
              <a:solidFill>
                <a:srgbClr val="006966"/>
              </a:solidFill>
              <a:latin typeface="Aptos Narrow"/>
              <a:ea typeface="+mn-ea"/>
              <a:cs typeface="+mn-cs"/>
            </a:rPr>
            <a:pPr marL="0" indent="0" algn="ctr"/>
            <a:t>Profit</a:t>
          </a:fld>
          <a:endParaRPr lang="ru-RU" sz="2000" b="0" i="0" u="none" strike="noStrike">
            <a:solidFill>
              <a:srgbClr val="006966"/>
            </a:solidFill>
            <a:latin typeface="Aptos Narrow"/>
            <a:ea typeface="+mn-ea"/>
            <a:cs typeface="+mn-cs"/>
          </a:endParaRPr>
        </a:p>
      </xdr:txBody>
    </xdr:sp>
    <xdr:clientData/>
  </xdr:twoCellAnchor>
  <xdr:twoCellAnchor>
    <xdr:from>
      <xdr:col>12</xdr:col>
      <xdr:colOff>154216</xdr:colOff>
      <xdr:row>12</xdr:row>
      <xdr:rowOff>54429</xdr:rowOff>
    </xdr:from>
    <xdr:to>
      <xdr:col>15</xdr:col>
      <xdr:colOff>567874</xdr:colOff>
      <xdr:row>15</xdr:row>
      <xdr:rowOff>10887</xdr:rowOff>
    </xdr:to>
    <xdr:sp macro="" textlink="Processing!A3">
      <xdr:nvSpPr>
        <xdr:cNvPr id="28" name="TextBox 27">
          <a:extLst>
            <a:ext uri="{FF2B5EF4-FFF2-40B4-BE49-F238E27FC236}">
              <a16:creationId xmlns:a16="http://schemas.microsoft.com/office/drawing/2014/main" id="{71FDA44C-6D6F-F9AC-48CF-A66A49F5D81A}"/>
            </a:ext>
          </a:extLst>
        </xdr:cNvPr>
        <xdr:cNvSpPr txBox="1"/>
      </xdr:nvSpPr>
      <xdr:spPr>
        <a:xfrm>
          <a:off x="7469416" y="2226129"/>
          <a:ext cx="2242458" cy="499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E57684-9217-4499-B71C-F68E1CC46AAC}" type="TxLink">
            <a:rPr lang="en-US" sz="2000" b="0" i="0" u="none" strike="noStrike">
              <a:solidFill>
                <a:srgbClr val="006966"/>
              </a:solidFill>
              <a:latin typeface="Aptos Narrow"/>
              <a:ea typeface="+mn-ea"/>
              <a:cs typeface="+mn-cs"/>
            </a:rPr>
            <a:pPr marL="0" indent="0" algn="ctr"/>
            <a:t>Conversion</a:t>
          </a:fld>
          <a:endParaRPr lang="ru-RU" sz="2000" b="0" i="0" u="none" strike="noStrike">
            <a:solidFill>
              <a:srgbClr val="006966"/>
            </a:solidFill>
            <a:latin typeface="Aptos Narrow"/>
            <a:ea typeface="+mn-ea"/>
            <a:cs typeface="+mn-cs"/>
          </a:endParaRPr>
        </a:p>
      </xdr:txBody>
    </xdr:sp>
    <xdr:clientData/>
  </xdr:twoCellAnchor>
  <xdr:twoCellAnchor>
    <xdr:from>
      <xdr:col>24</xdr:col>
      <xdr:colOff>146959</xdr:colOff>
      <xdr:row>12</xdr:row>
      <xdr:rowOff>54429</xdr:rowOff>
    </xdr:from>
    <xdr:to>
      <xdr:col>27</xdr:col>
      <xdr:colOff>560617</xdr:colOff>
      <xdr:row>15</xdr:row>
      <xdr:rowOff>10887</xdr:rowOff>
    </xdr:to>
    <xdr:sp macro="" textlink="Processing!A5">
      <xdr:nvSpPr>
        <xdr:cNvPr id="30" name="TextBox 29">
          <a:extLst>
            <a:ext uri="{FF2B5EF4-FFF2-40B4-BE49-F238E27FC236}">
              <a16:creationId xmlns:a16="http://schemas.microsoft.com/office/drawing/2014/main" id="{9A147343-E65F-AF89-7738-2A6F1CF075AB}"/>
            </a:ext>
          </a:extLst>
        </xdr:cNvPr>
        <xdr:cNvSpPr txBox="1"/>
      </xdr:nvSpPr>
      <xdr:spPr>
        <a:xfrm>
          <a:off x="14777359" y="2226129"/>
          <a:ext cx="2242458" cy="499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820461C-9777-4679-AB52-370EB19E43D2}" type="TxLink">
            <a:rPr lang="en-US" sz="2000" b="0" i="0" u="none" strike="noStrike">
              <a:solidFill>
                <a:srgbClr val="006966"/>
              </a:solidFill>
              <a:latin typeface="Aptos Narrow"/>
              <a:ea typeface="+mn-ea"/>
              <a:cs typeface="+mn-cs"/>
            </a:rPr>
            <a:pPr marL="0" indent="0" algn="ctr"/>
            <a:t>Tasks</a:t>
          </a:fld>
          <a:endParaRPr lang="ru-RU" sz="2000" b="0" i="0" u="none" strike="noStrike">
            <a:solidFill>
              <a:srgbClr val="006966"/>
            </a:solidFill>
            <a:latin typeface="Aptos Narrow"/>
            <a:ea typeface="+mn-ea"/>
            <a:cs typeface="+mn-cs"/>
          </a:endParaRPr>
        </a:p>
      </xdr:txBody>
    </xdr:sp>
    <xdr:clientData/>
  </xdr:twoCellAnchor>
  <xdr:twoCellAnchor>
    <xdr:from>
      <xdr:col>23</xdr:col>
      <xdr:colOff>236197</xdr:colOff>
      <xdr:row>8</xdr:row>
      <xdr:rowOff>65315</xdr:rowOff>
    </xdr:from>
    <xdr:to>
      <xdr:col>28</xdr:col>
      <xdr:colOff>471379</xdr:colOff>
      <xdr:row>12</xdr:row>
      <xdr:rowOff>130629</xdr:rowOff>
    </xdr:to>
    <xdr:sp macro="" textlink="Processing!B5">
      <xdr:nvSpPr>
        <xdr:cNvPr id="31" name="TextBox 30">
          <a:extLst>
            <a:ext uri="{FF2B5EF4-FFF2-40B4-BE49-F238E27FC236}">
              <a16:creationId xmlns:a16="http://schemas.microsoft.com/office/drawing/2014/main" id="{93AA15C6-BC22-7D98-89FE-14307CE6F88C}"/>
            </a:ext>
          </a:extLst>
        </xdr:cNvPr>
        <xdr:cNvSpPr txBox="1"/>
      </xdr:nvSpPr>
      <xdr:spPr>
        <a:xfrm>
          <a:off x="14256997" y="1513115"/>
          <a:ext cx="3283182" cy="789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0F5DE64-5D30-46C9-8D72-8469227D94C4}" type="TxLink">
            <a:rPr lang="en-US" sz="4000" b="0" i="0" u="none" strike="noStrike">
              <a:solidFill>
                <a:srgbClr val="006966"/>
              </a:solidFill>
              <a:latin typeface="Aptos Narrow"/>
              <a:ea typeface="+mn-ea"/>
              <a:cs typeface="+mn-cs"/>
            </a:rPr>
            <a:pPr marL="0" indent="0" algn="ctr"/>
            <a:t>13%</a:t>
          </a:fld>
          <a:endParaRPr lang="ru-RU" sz="4000" b="0" i="0" u="none" strike="noStrike">
            <a:solidFill>
              <a:srgbClr val="006966"/>
            </a:solidFill>
            <a:latin typeface="Aptos Narrow"/>
            <a:ea typeface="+mn-ea"/>
            <a:cs typeface="+mn-cs"/>
          </a:endParaRPr>
        </a:p>
      </xdr:txBody>
    </xdr:sp>
    <xdr:clientData/>
  </xdr:twoCellAnchor>
  <xdr:twoCellAnchor>
    <xdr:from>
      <xdr:col>13</xdr:col>
      <xdr:colOff>515021</xdr:colOff>
      <xdr:row>8</xdr:row>
      <xdr:rowOff>87086</xdr:rowOff>
    </xdr:from>
    <xdr:to>
      <xdr:col>15</xdr:col>
      <xdr:colOff>446556</xdr:colOff>
      <xdr:row>12</xdr:row>
      <xdr:rowOff>152400</xdr:rowOff>
    </xdr:to>
    <xdr:sp macro="" textlink="Processing!B3">
      <xdr:nvSpPr>
        <xdr:cNvPr id="29" name="TextBox 28">
          <a:extLst>
            <a:ext uri="{FF2B5EF4-FFF2-40B4-BE49-F238E27FC236}">
              <a16:creationId xmlns:a16="http://schemas.microsoft.com/office/drawing/2014/main" id="{AA0AEA1B-A986-5928-4524-E6B428DEBB8D}"/>
            </a:ext>
          </a:extLst>
        </xdr:cNvPr>
        <xdr:cNvSpPr txBox="1"/>
      </xdr:nvSpPr>
      <xdr:spPr>
        <a:xfrm>
          <a:off x="8439821" y="1534886"/>
          <a:ext cx="1150735" cy="789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34A42E-9298-41DF-B854-5D07C1F7CD8F}" type="TxLink">
            <a:rPr lang="en-US" sz="4000" b="0" i="0" u="none" strike="noStrike">
              <a:solidFill>
                <a:srgbClr val="006966"/>
              </a:solidFill>
              <a:latin typeface="Aptos Narrow"/>
              <a:ea typeface="+mn-ea"/>
              <a:cs typeface="+mn-cs"/>
            </a:rPr>
            <a:pPr marL="0" indent="0" algn="ctr"/>
            <a:t>16%</a:t>
          </a:fld>
          <a:endParaRPr lang="ru-RU" sz="4000" b="0" i="0" u="none" strike="noStrike">
            <a:solidFill>
              <a:srgbClr val="006966"/>
            </a:solidFill>
            <a:latin typeface="Aptos Narrow"/>
            <a:ea typeface="+mn-ea"/>
            <a:cs typeface="+mn-cs"/>
          </a:endParaRPr>
        </a:p>
      </xdr:txBody>
    </xdr:sp>
    <xdr:clientData/>
  </xdr:twoCellAnchor>
  <xdr:twoCellAnchor>
    <xdr:from>
      <xdr:col>12</xdr:col>
      <xdr:colOff>304683</xdr:colOff>
      <xdr:row>8</xdr:row>
      <xdr:rowOff>10887</xdr:rowOff>
    </xdr:from>
    <xdr:to>
      <xdr:col>13</xdr:col>
      <xdr:colOff>563763</xdr:colOff>
      <xdr:row>12</xdr:row>
      <xdr:rowOff>139338</xdr:rowOff>
    </xdr:to>
    <xdr:graphicFrame macro="">
      <xdr:nvGraphicFramePr>
        <xdr:cNvPr id="32" name="Chart 31">
          <a:extLst>
            <a:ext uri="{FF2B5EF4-FFF2-40B4-BE49-F238E27FC236}">
              <a16:creationId xmlns:a16="http://schemas.microsoft.com/office/drawing/2014/main" id="{0B4DFA3A-E4EB-4B4D-B9CB-8853AD5F9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597628</xdr:colOff>
      <xdr:row>7</xdr:row>
      <xdr:rowOff>1</xdr:rowOff>
    </xdr:from>
    <xdr:to>
      <xdr:col>28</xdr:col>
      <xdr:colOff>109948</xdr:colOff>
      <xdr:row>9</xdr:row>
      <xdr:rowOff>87087</xdr:rowOff>
    </xdr:to>
    <xdr:graphicFrame macro="">
      <xdr:nvGraphicFramePr>
        <xdr:cNvPr id="34" name="Chart 33">
          <a:extLst>
            <a:ext uri="{FF2B5EF4-FFF2-40B4-BE49-F238E27FC236}">
              <a16:creationId xmlns:a16="http://schemas.microsoft.com/office/drawing/2014/main" id="{1143818E-1A83-4529-961D-98005E7A4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380654</xdr:colOff>
      <xdr:row>15</xdr:row>
      <xdr:rowOff>111419</xdr:rowOff>
    </xdr:from>
    <xdr:to>
      <xdr:col>28</xdr:col>
      <xdr:colOff>540444</xdr:colOff>
      <xdr:row>32</xdr:row>
      <xdr:rowOff>137031</xdr:rowOff>
    </xdr:to>
    <xdr:graphicFrame macro="">
      <xdr:nvGraphicFramePr>
        <xdr:cNvPr id="36" name="Chart 35">
          <a:extLst>
            <a:ext uri="{FF2B5EF4-FFF2-40B4-BE49-F238E27FC236}">
              <a16:creationId xmlns:a16="http://schemas.microsoft.com/office/drawing/2014/main" id="{F4420DE2-22E6-479D-A35C-22F92DA69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283029</xdr:colOff>
      <xdr:row>7</xdr:row>
      <xdr:rowOff>0</xdr:rowOff>
    </xdr:from>
    <xdr:to>
      <xdr:col>10</xdr:col>
      <xdr:colOff>457200</xdr:colOff>
      <xdr:row>14</xdr:row>
      <xdr:rowOff>108858</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A677455F-0100-15B8-98FF-4373D8A0DF47}"/>
            </a:ext>
          </a:extLst>
        </xdr:cNvPr>
        <xdr:cNvSpPr/>
      </xdr:nvSpPr>
      <xdr:spPr>
        <a:xfrm>
          <a:off x="3331029" y="1266825"/>
          <a:ext cx="3222171" cy="13756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283029</xdr:colOff>
      <xdr:row>7</xdr:row>
      <xdr:rowOff>0</xdr:rowOff>
    </xdr:from>
    <xdr:to>
      <xdr:col>16</xdr:col>
      <xdr:colOff>457200</xdr:colOff>
      <xdr:row>14</xdr:row>
      <xdr:rowOff>108858</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2731D50C-0EDF-27DA-17AB-6768602B8195}"/>
            </a:ext>
          </a:extLst>
        </xdr:cNvPr>
        <xdr:cNvSpPr/>
      </xdr:nvSpPr>
      <xdr:spPr>
        <a:xfrm>
          <a:off x="6988629" y="1266825"/>
          <a:ext cx="3222171" cy="13756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261257</xdr:colOff>
      <xdr:row>7</xdr:row>
      <xdr:rowOff>0</xdr:rowOff>
    </xdr:from>
    <xdr:to>
      <xdr:col>22</xdr:col>
      <xdr:colOff>435428</xdr:colOff>
      <xdr:row>14</xdr:row>
      <xdr:rowOff>108858</xdr:rowOff>
    </xdr:to>
    <xdr:sp macro="" textlink="">
      <xdr:nvSpPr>
        <xdr:cNvPr id="13" name="Rectangle 12">
          <a:hlinkClick xmlns:r="http://schemas.openxmlformats.org/officeDocument/2006/relationships" r:id="rId8"/>
          <a:extLst>
            <a:ext uri="{FF2B5EF4-FFF2-40B4-BE49-F238E27FC236}">
              <a16:creationId xmlns:a16="http://schemas.microsoft.com/office/drawing/2014/main" id="{114BA0F4-6220-E185-2F79-AA7C4CE3EEEE}"/>
            </a:ext>
          </a:extLst>
        </xdr:cNvPr>
        <xdr:cNvSpPr/>
      </xdr:nvSpPr>
      <xdr:spPr>
        <a:xfrm>
          <a:off x="10624457" y="1266825"/>
          <a:ext cx="3222171" cy="13756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272143</xdr:colOff>
      <xdr:row>7</xdr:row>
      <xdr:rowOff>0</xdr:rowOff>
    </xdr:from>
    <xdr:to>
      <xdr:col>28</xdr:col>
      <xdr:colOff>446314</xdr:colOff>
      <xdr:row>14</xdr:row>
      <xdr:rowOff>108858</xdr:rowOff>
    </xdr:to>
    <xdr:sp macro="" textlink="">
      <xdr:nvSpPr>
        <xdr:cNvPr id="14" name="Rectangle 13">
          <a:hlinkClick xmlns:r="http://schemas.openxmlformats.org/officeDocument/2006/relationships" r:id="rId9"/>
          <a:extLst>
            <a:ext uri="{FF2B5EF4-FFF2-40B4-BE49-F238E27FC236}">
              <a16:creationId xmlns:a16="http://schemas.microsoft.com/office/drawing/2014/main" id="{07CBDC62-3757-8F13-02BA-C01777FFCC27}"/>
            </a:ext>
          </a:extLst>
        </xdr:cNvPr>
        <xdr:cNvSpPr/>
      </xdr:nvSpPr>
      <xdr:spPr>
        <a:xfrm>
          <a:off x="14292943" y="1266825"/>
          <a:ext cx="3222171" cy="13756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3</xdr:col>
      <xdr:colOff>424538</xdr:colOff>
      <xdr:row>17</xdr:row>
      <xdr:rowOff>163282</xdr:rowOff>
    </xdr:from>
    <xdr:to>
      <xdr:col>4</xdr:col>
      <xdr:colOff>363578</xdr:colOff>
      <xdr:row>20</xdr:row>
      <xdr:rowOff>156750</xdr:rowOff>
    </xdr:to>
    <xdr:pic>
      <xdr:nvPicPr>
        <xdr:cNvPr id="16" name="Graphic 15" descr="Bar chart outline">
          <a:hlinkClick xmlns:r="http://schemas.openxmlformats.org/officeDocument/2006/relationships" r:id="rId10"/>
          <a:extLst>
            <a:ext uri="{FF2B5EF4-FFF2-40B4-BE49-F238E27FC236}">
              <a16:creationId xmlns:a16="http://schemas.microsoft.com/office/drawing/2014/main" id="{31F1C289-6A51-4BD1-A421-6C25D7D78CC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253338" y="3239857"/>
          <a:ext cx="548640" cy="536393"/>
        </a:xfrm>
        <a:prstGeom prst="rect">
          <a:avLst/>
        </a:prstGeom>
      </xdr:spPr>
    </xdr:pic>
    <xdr:clientData/>
  </xdr:twoCellAnchor>
  <xdr:twoCellAnchor>
    <xdr:from>
      <xdr:col>3</xdr:col>
      <xdr:colOff>337456</xdr:colOff>
      <xdr:row>24</xdr:row>
      <xdr:rowOff>129538</xdr:rowOff>
    </xdr:from>
    <xdr:to>
      <xdr:col>4</xdr:col>
      <xdr:colOff>459376</xdr:colOff>
      <xdr:row>28</xdr:row>
      <xdr:rowOff>120829</xdr:rowOff>
    </xdr:to>
    <xdr:graphicFrame macro="">
      <xdr:nvGraphicFramePr>
        <xdr:cNvPr id="17" name="Chart 16">
          <a:extLst>
            <a:ext uri="{FF2B5EF4-FFF2-40B4-BE49-F238E27FC236}">
              <a16:creationId xmlns:a16="http://schemas.microsoft.com/office/drawing/2014/main" id="{D9A02A0C-00AD-410A-83EC-83414D09C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3</xdr:col>
      <xdr:colOff>424540</xdr:colOff>
      <xdr:row>29</xdr:row>
      <xdr:rowOff>9250</xdr:rowOff>
    </xdr:from>
    <xdr:to>
      <xdr:col>4</xdr:col>
      <xdr:colOff>363580</xdr:colOff>
      <xdr:row>32</xdr:row>
      <xdr:rowOff>2718</xdr:rowOff>
    </xdr:to>
    <xdr:pic>
      <xdr:nvPicPr>
        <xdr:cNvPr id="18" name="Graphic 17" descr="Money outline">
          <a:hlinkClick xmlns:r="http://schemas.openxmlformats.org/officeDocument/2006/relationships" r:id="rId8"/>
          <a:extLst>
            <a:ext uri="{FF2B5EF4-FFF2-40B4-BE49-F238E27FC236}">
              <a16:creationId xmlns:a16="http://schemas.microsoft.com/office/drawing/2014/main" id="{60DE4A86-2B84-4DCE-B18B-275BAC3A27D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253340" y="5257525"/>
          <a:ext cx="548640" cy="536393"/>
        </a:xfrm>
        <a:prstGeom prst="rect">
          <a:avLst/>
        </a:prstGeom>
      </xdr:spPr>
    </xdr:pic>
    <xdr:clientData/>
  </xdr:twoCellAnchor>
  <xdr:twoCellAnchor>
    <xdr:from>
      <xdr:col>3</xdr:col>
      <xdr:colOff>468082</xdr:colOff>
      <xdr:row>21</xdr:row>
      <xdr:rowOff>99601</xdr:rowOff>
    </xdr:from>
    <xdr:to>
      <xdr:col>4</xdr:col>
      <xdr:colOff>407122</xdr:colOff>
      <xdr:row>24</xdr:row>
      <xdr:rowOff>1630</xdr:rowOff>
    </xdr:to>
    <xdr:grpSp>
      <xdr:nvGrpSpPr>
        <xdr:cNvPr id="19" name="Group 18">
          <a:hlinkClick xmlns:r="http://schemas.openxmlformats.org/officeDocument/2006/relationships" r:id="rId6"/>
          <a:extLst>
            <a:ext uri="{FF2B5EF4-FFF2-40B4-BE49-F238E27FC236}">
              <a16:creationId xmlns:a16="http://schemas.microsoft.com/office/drawing/2014/main" id="{41645E92-7868-46D2-9877-CDBD04A03589}"/>
            </a:ext>
          </a:extLst>
        </xdr:cNvPr>
        <xdr:cNvGrpSpPr/>
      </xdr:nvGrpSpPr>
      <xdr:grpSpPr>
        <a:xfrm>
          <a:off x="2226544" y="4070793"/>
          <a:ext cx="525193" cy="473529"/>
          <a:chOff x="6520543" y="3673855"/>
          <a:chExt cx="923590" cy="804672"/>
        </a:xfrm>
        <a:solidFill>
          <a:schemeClr val="bg1"/>
        </a:solidFill>
      </xdr:grpSpPr>
      <xdr:pic>
        <xdr:nvPicPr>
          <xdr:cNvPr id="33" name="Graphic 32" descr="User with solid fill">
            <a:extLst>
              <a:ext uri="{FF2B5EF4-FFF2-40B4-BE49-F238E27FC236}">
                <a16:creationId xmlns:a16="http://schemas.microsoft.com/office/drawing/2014/main" id="{657DC808-001F-7999-C280-827D62B4037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639461" y="3673855"/>
            <a:ext cx="804672" cy="804672"/>
          </a:xfrm>
          <a:prstGeom prst="rect">
            <a:avLst/>
          </a:prstGeom>
        </xdr:spPr>
      </xdr:pic>
      <xdr:grpSp>
        <xdr:nvGrpSpPr>
          <xdr:cNvPr id="35" name="Graphic 15" descr="User with solid fill">
            <a:extLst>
              <a:ext uri="{FF2B5EF4-FFF2-40B4-BE49-F238E27FC236}">
                <a16:creationId xmlns:a16="http://schemas.microsoft.com/office/drawing/2014/main" id="{541AC343-CFF5-50A1-E97C-D5A6D5A06DD4}"/>
              </a:ext>
            </a:extLst>
          </xdr:cNvPr>
          <xdr:cNvGrpSpPr/>
        </xdr:nvGrpSpPr>
        <xdr:grpSpPr>
          <a:xfrm>
            <a:off x="6520543" y="3801837"/>
            <a:ext cx="609600" cy="604156"/>
            <a:chOff x="8164286" y="3867151"/>
            <a:chExt cx="609600" cy="604156"/>
          </a:xfrm>
          <a:grpFill/>
        </xdr:grpSpPr>
        <xdr:sp macro="" textlink="">
          <xdr:nvSpPr>
            <xdr:cNvPr id="38" name="Freeform: Shape 37">
              <a:extLst>
                <a:ext uri="{FF2B5EF4-FFF2-40B4-BE49-F238E27FC236}">
                  <a16:creationId xmlns:a16="http://schemas.microsoft.com/office/drawing/2014/main" id="{2E0F9E95-90BA-D22E-B9FE-13C997E0437C}"/>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06966"/>
              </a:solidFill>
              <a:prstDash val="solid"/>
              <a:miter/>
            </a:ln>
          </xdr:spPr>
          <xdr:txBody>
            <a:bodyPr rtlCol="0" anchor="ctr"/>
            <a:lstStyle/>
            <a:p>
              <a:endParaRPr lang="ru-RU"/>
            </a:p>
          </xdr:txBody>
        </xdr:sp>
        <xdr:sp macro="" textlink="">
          <xdr:nvSpPr>
            <xdr:cNvPr id="39" name="Freeform: Shape 38">
              <a:extLst>
                <a:ext uri="{FF2B5EF4-FFF2-40B4-BE49-F238E27FC236}">
                  <a16:creationId xmlns:a16="http://schemas.microsoft.com/office/drawing/2014/main" id="{5A420EEF-62DD-4827-11CD-A331DD2D9686}"/>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06966"/>
              </a:solidFill>
              <a:prstDash val="solid"/>
              <a:miter/>
            </a:ln>
          </xdr:spPr>
          <xdr:txBody>
            <a:bodyPr rtlCol="0" anchor="ctr"/>
            <a:lstStyle/>
            <a:p>
              <a:endParaRPr lang="ru-RU"/>
            </a:p>
          </xdr:txBody>
        </xdr:sp>
      </xdr:grpSp>
    </xdr:grpSp>
    <xdr:clientData/>
  </xdr:twoCellAnchor>
  <xdr:twoCellAnchor editAs="oneCell">
    <xdr:from>
      <xdr:col>3</xdr:col>
      <xdr:colOff>424540</xdr:colOff>
      <xdr:row>33</xdr:row>
      <xdr:rowOff>4079</xdr:rowOff>
    </xdr:from>
    <xdr:to>
      <xdr:col>4</xdr:col>
      <xdr:colOff>363580</xdr:colOff>
      <xdr:row>35</xdr:row>
      <xdr:rowOff>178523</xdr:rowOff>
    </xdr:to>
    <xdr:pic>
      <xdr:nvPicPr>
        <xdr:cNvPr id="40" name="Graphic 39" descr="Clipboard Mixed outline">
          <a:hlinkClick xmlns:r="http://schemas.openxmlformats.org/officeDocument/2006/relationships" r:id="rId9"/>
          <a:extLst>
            <a:ext uri="{FF2B5EF4-FFF2-40B4-BE49-F238E27FC236}">
              <a16:creationId xmlns:a16="http://schemas.microsoft.com/office/drawing/2014/main" id="{AE3212A7-4D07-4FB5-A99E-4FCFBCDCA88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253340" y="5976254"/>
          <a:ext cx="548640" cy="536394"/>
        </a:xfrm>
        <a:prstGeom prst="rect">
          <a:avLst/>
        </a:prstGeom>
      </xdr:spPr>
    </xdr:pic>
    <xdr:clientData/>
  </xdr:twoCellAnchor>
  <xdr:twoCellAnchor>
    <xdr:from>
      <xdr:col>3</xdr:col>
      <xdr:colOff>424540</xdr:colOff>
      <xdr:row>25</xdr:row>
      <xdr:rowOff>10884</xdr:rowOff>
    </xdr:from>
    <xdr:to>
      <xdr:col>4</xdr:col>
      <xdr:colOff>391883</xdr:colOff>
      <xdr:row>28</xdr:row>
      <xdr:rowOff>32656</xdr:rowOff>
    </xdr:to>
    <xdr:sp macro="" textlink="">
      <xdr:nvSpPr>
        <xdr:cNvPr id="41" name="Rectangle 40">
          <a:hlinkClick xmlns:r="http://schemas.openxmlformats.org/officeDocument/2006/relationships" r:id="rId7"/>
          <a:extLst>
            <a:ext uri="{FF2B5EF4-FFF2-40B4-BE49-F238E27FC236}">
              <a16:creationId xmlns:a16="http://schemas.microsoft.com/office/drawing/2014/main" id="{4791F4E5-F523-4A6D-B121-1CC8CD228D91}"/>
            </a:ext>
          </a:extLst>
        </xdr:cNvPr>
        <xdr:cNvSpPr/>
      </xdr:nvSpPr>
      <xdr:spPr>
        <a:xfrm>
          <a:off x="2253340" y="4535259"/>
          <a:ext cx="576943" cy="5646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348341</xdr:colOff>
      <xdr:row>15</xdr:row>
      <xdr:rowOff>111419</xdr:rowOff>
    </xdr:from>
    <xdr:to>
      <xdr:col>14</xdr:col>
      <xdr:colOff>226421</xdr:colOff>
      <xdr:row>29</xdr:row>
      <xdr:rowOff>80939</xdr:rowOff>
    </xdr:to>
    <xdr:graphicFrame macro="">
      <xdr:nvGraphicFramePr>
        <xdr:cNvPr id="42" name="Chart 41">
          <a:extLst>
            <a:ext uri="{FF2B5EF4-FFF2-40B4-BE49-F238E27FC236}">
              <a16:creationId xmlns:a16="http://schemas.microsoft.com/office/drawing/2014/main" id="{8154538B-43C9-42D5-B0D0-9CD158EC7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348341</xdr:colOff>
      <xdr:row>29</xdr:row>
      <xdr:rowOff>112107</xdr:rowOff>
    </xdr:from>
    <xdr:to>
      <xdr:col>14</xdr:col>
      <xdr:colOff>226421</xdr:colOff>
      <xdr:row>43</xdr:row>
      <xdr:rowOff>81627</xdr:rowOff>
    </xdr:to>
    <xdr:graphicFrame macro="">
      <xdr:nvGraphicFramePr>
        <xdr:cNvPr id="43" name="Chart 42">
          <a:extLst>
            <a:ext uri="{FF2B5EF4-FFF2-40B4-BE49-F238E27FC236}">
              <a16:creationId xmlns:a16="http://schemas.microsoft.com/office/drawing/2014/main" id="{7CF0CF42-ABB5-492D-A8E6-41CC7DFEA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23</xdr:col>
      <xdr:colOff>402771</xdr:colOff>
      <xdr:row>33</xdr:row>
      <xdr:rowOff>87084</xdr:rowOff>
    </xdr:from>
    <xdr:to>
      <xdr:col>28</xdr:col>
      <xdr:colOff>172267</xdr:colOff>
      <xdr:row>36</xdr:row>
      <xdr:rowOff>87085</xdr:rowOff>
    </xdr:to>
    <mc:AlternateContent xmlns:mc="http://schemas.openxmlformats.org/markup-compatibility/2006" xmlns:a14="http://schemas.microsoft.com/office/drawing/2010/main">
      <mc:Choice Requires="a14">
        <xdr:graphicFrame macro="">
          <xdr:nvGraphicFramePr>
            <xdr:cNvPr id="44" name="Year 4">
              <a:extLst>
                <a:ext uri="{FF2B5EF4-FFF2-40B4-BE49-F238E27FC236}">
                  <a16:creationId xmlns:a16="http://schemas.microsoft.com/office/drawing/2014/main" id="{6E6C21A9-D2A4-4BEF-9CC6-587478914FB2}"/>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4423571" y="6122124"/>
              <a:ext cx="2817496" cy="548641"/>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232907</xdr:colOff>
      <xdr:row>15</xdr:row>
      <xdr:rowOff>111419</xdr:rowOff>
    </xdr:from>
    <xdr:to>
      <xdr:col>20</xdr:col>
      <xdr:colOff>539885</xdr:colOff>
      <xdr:row>29</xdr:row>
      <xdr:rowOff>80939</xdr:rowOff>
    </xdr:to>
    <xdr:graphicFrame macro="">
      <xdr:nvGraphicFramePr>
        <xdr:cNvPr id="46" name="Chart 45">
          <a:extLst>
            <a:ext uri="{FF2B5EF4-FFF2-40B4-BE49-F238E27FC236}">
              <a16:creationId xmlns:a16="http://schemas.microsoft.com/office/drawing/2014/main" id="{28CC62C1-7D2F-424F-8D94-14F038476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15</xdr:col>
      <xdr:colOff>457106</xdr:colOff>
      <xdr:row>28</xdr:row>
      <xdr:rowOff>174171</xdr:rowOff>
    </xdr:from>
    <xdr:to>
      <xdr:col>21</xdr:col>
      <xdr:colOff>315686</xdr:colOff>
      <xdr:row>45</xdr:row>
      <xdr:rowOff>126276</xdr:rowOff>
    </xdr:to>
    <xdr:grpSp>
      <xdr:nvGrpSpPr>
        <xdr:cNvPr id="47" name="Group 46">
          <a:extLst>
            <a:ext uri="{FF2B5EF4-FFF2-40B4-BE49-F238E27FC236}">
              <a16:creationId xmlns:a16="http://schemas.microsoft.com/office/drawing/2014/main" id="{07EB7894-BDB9-4C61-9E03-051FDD574737}"/>
            </a:ext>
          </a:extLst>
        </xdr:cNvPr>
        <xdr:cNvGrpSpPr/>
      </xdr:nvGrpSpPr>
      <xdr:grpSpPr>
        <a:xfrm>
          <a:off x="9249414" y="5478863"/>
          <a:ext cx="3375503" cy="3190605"/>
          <a:chOff x="5649685" y="2928257"/>
          <a:chExt cx="5987142" cy="5275219"/>
        </a:xfrm>
      </xdr:grpSpPr>
      <xdr:graphicFrame macro="">
        <xdr:nvGraphicFramePr>
          <xdr:cNvPr id="48" name="Chart 47">
            <a:extLst>
              <a:ext uri="{FF2B5EF4-FFF2-40B4-BE49-F238E27FC236}">
                <a16:creationId xmlns:a16="http://schemas.microsoft.com/office/drawing/2014/main" id="{0B8DFBAA-16D4-6E76-946B-EF20602DB394}"/>
              </a:ext>
            </a:extLst>
          </xdr:cNvPr>
          <xdr:cNvGraphicFramePr>
            <a:graphicFrameLocks/>
          </xdr:cNvGraphicFramePr>
        </xdr:nvGraphicFramePr>
        <xdr:xfrm>
          <a:off x="5649685" y="3921518"/>
          <a:ext cx="5987142" cy="3973285"/>
        </xdr:xfrm>
        <a:graphic>
          <a:graphicData uri="http://schemas.openxmlformats.org/drawingml/2006/chart">
            <c:chart xmlns:c="http://schemas.openxmlformats.org/drawingml/2006/chart" xmlns:r="http://schemas.openxmlformats.org/officeDocument/2006/relationships" r:id="rId23"/>
          </a:graphicData>
        </a:graphic>
      </xdr:graphicFrame>
      <xdr:graphicFrame macro="">
        <xdr:nvGraphicFramePr>
          <xdr:cNvPr id="49" name="Chart 48">
            <a:extLst>
              <a:ext uri="{FF2B5EF4-FFF2-40B4-BE49-F238E27FC236}">
                <a16:creationId xmlns:a16="http://schemas.microsoft.com/office/drawing/2014/main" id="{889879C2-159F-3A3A-C365-1F4C85C02BF5}"/>
              </a:ext>
            </a:extLst>
          </xdr:cNvPr>
          <xdr:cNvGraphicFramePr>
            <a:graphicFrameLocks/>
          </xdr:cNvGraphicFramePr>
        </xdr:nvGraphicFramePr>
        <xdr:xfrm>
          <a:off x="5678715" y="2928257"/>
          <a:ext cx="5943600" cy="5275219"/>
        </xdr:xfrm>
        <a:graphic>
          <a:graphicData uri="http://schemas.openxmlformats.org/drawingml/2006/chart">
            <c:chart xmlns:c="http://schemas.openxmlformats.org/drawingml/2006/chart" xmlns:r="http://schemas.openxmlformats.org/officeDocument/2006/relationships" r:id="rId24"/>
          </a:graphicData>
        </a:graphic>
      </xdr:graphicFrame>
    </xdr:grpSp>
    <xdr:clientData/>
  </xdr:twoCellAnchor>
  <xdr:twoCellAnchor editAs="oneCell">
    <xdr:from>
      <xdr:col>23</xdr:col>
      <xdr:colOff>402771</xdr:colOff>
      <xdr:row>36</xdr:row>
      <xdr:rowOff>109948</xdr:rowOff>
    </xdr:from>
    <xdr:to>
      <xdr:col>28</xdr:col>
      <xdr:colOff>171123</xdr:colOff>
      <xdr:row>44</xdr:row>
      <xdr:rowOff>87087</xdr:rowOff>
    </xdr:to>
    <mc:AlternateContent xmlns:mc="http://schemas.openxmlformats.org/markup-compatibility/2006" xmlns:a14="http://schemas.microsoft.com/office/drawing/2010/main">
      <mc:Choice Requires="a14">
        <xdr:graphicFrame macro="">
          <xdr:nvGraphicFramePr>
            <xdr:cNvPr id="45" name="Month 4">
              <a:extLst>
                <a:ext uri="{FF2B5EF4-FFF2-40B4-BE49-F238E27FC236}">
                  <a16:creationId xmlns:a16="http://schemas.microsoft.com/office/drawing/2014/main" id="{C35DC763-91BE-45DB-8AB2-6E24D56C1B5C}"/>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14423571" y="6693628"/>
              <a:ext cx="2816352" cy="1440179"/>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391886</xdr:colOff>
      <xdr:row>17</xdr:row>
      <xdr:rowOff>152399</xdr:rowOff>
    </xdr:from>
    <xdr:to>
      <xdr:col>4</xdr:col>
      <xdr:colOff>359229</xdr:colOff>
      <xdr:row>20</xdr:row>
      <xdr:rowOff>174170</xdr:rowOff>
    </xdr:to>
    <xdr:sp macro="" textlink="">
      <xdr:nvSpPr>
        <xdr:cNvPr id="50" name="Oval 49">
          <a:extLst>
            <a:ext uri="{FF2B5EF4-FFF2-40B4-BE49-F238E27FC236}">
              <a16:creationId xmlns:a16="http://schemas.microsoft.com/office/drawing/2014/main" id="{82C815BF-EF88-FFC7-F487-5331E950BE28}"/>
            </a:ext>
          </a:extLst>
        </xdr:cNvPr>
        <xdr:cNvSpPr/>
      </xdr:nvSpPr>
      <xdr:spPr>
        <a:xfrm>
          <a:off x="2220686" y="3228974"/>
          <a:ext cx="576943" cy="564696"/>
        </a:xfrm>
        <a:prstGeom prst="ellipse">
          <a:avLst/>
        </a:prstGeom>
        <a:solidFill>
          <a:srgbClr val="9FE1D8">
            <a:alpha val="4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239486</xdr:colOff>
      <xdr:row>21</xdr:row>
      <xdr:rowOff>32657</xdr:rowOff>
    </xdr:from>
    <xdr:to>
      <xdr:col>19</xdr:col>
      <xdr:colOff>551915</xdr:colOff>
      <xdr:row>25</xdr:row>
      <xdr:rowOff>178525</xdr:rowOff>
    </xdr:to>
    <xdr:sp macro="" textlink="Processing!B3">
      <xdr:nvSpPr>
        <xdr:cNvPr id="51" name="TextBox 50">
          <a:extLst>
            <a:ext uri="{FF2B5EF4-FFF2-40B4-BE49-F238E27FC236}">
              <a16:creationId xmlns:a16="http://schemas.microsoft.com/office/drawing/2014/main" id="{31ECF532-E580-46B7-8231-5DCBF724FA02}"/>
            </a:ext>
          </a:extLst>
        </xdr:cNvPr>
        <xdr:cNvSpPr txBox="1"/>
      </xdr:nvSpPr>
      <xdr:spPr>
        <a:xfrm>
          <a:off x="10602686" y="3833132"/>
          <a:ext cx="1531629" cy="869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34A42E-9298-41DF-B854-5D07C1F7CD8F}" type="TxLink">
            <a:rPr lang="en-US" sz="3200" b="0" i="0" u="none" strike="noStrike">
              <a:solidFill>
                <a:srgbClr val="006966"/>
              </a:solidFill>
              <a:latin typeface="Aptos Narrow"/>
              <a:ea typeface="+mn-ea"/>
              <a:cs typeface="+mn-cs"/>
            </a:rPr>
            <a:pPr marL="0" indent="0" algn="ctr"/>
            <a:t>16%</a:t>
          </a:fld>
          <a:endParaRPr lang="ru-RU" sz="3200" b="0" i="0" u="none" strike="noStrike">
            <a:solidFill>
              <a:srgbClr val="006966"/>
            </a:solidFill>
            <a:latin typeface="Aptos Narrow"/>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594360</xdr:colOff>
      <xdr:row>33</xdr:row>
      <xdr:rowOff>38100</xdr:rowOff>
    </xdr:to>
    <xdr:sp macro="" textlink="">
      <xdr:nvSpPr>
        <xdr:cNvPr id="2" name="Right Triangle 2">
          <a:extLst>
            <a:ext uri="{FF2B5EF4-FFF2-40B4-BE49-F238E27FC236}">
              <a16:creationId xmlns:a16="http://schemas.microsoft.com/office/drawing/2014/main" id="{10BE6CFC-77A9-4703-83EF-3B3652FAA898}"/>
            </a:ext>
          </a:extLst>
        </xdr:cNvPr>
        <xdr:cNvSpPr/>
      </xdr:nvSpPr>
      <xdr:spPr>
        <a:xfrm flipV="1">
          <a:off x="0" y="0"/>
          <a:ext cx="9128760" cy="6073140"/>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0 w 1303214"/>
            <a:gd name="connsiteY0" fmla="*/ 2217420 h 2320684"/>
            <a:gd name="connsiteX1" fmla="*/ 0 w 1303214"/>
            <a:gd name="connsiteY1" fmla="*/ 0 h 2320684"/>
            <a:gd name="connsiteX2" fmla="*/ 655320 w 1303214"/>
            <a:gd name="connsiteY2" fmla="*/ 685800 h 2320684"/>
            <a:gd name="connsiteX3" fmla="*/ 1287780 w 1303214"/>
            <a:gd name="connsiteY3" fmla="*/ 2217420 h 2320684"/>
            <a:gd name="connsiteX4" fmla="*/ 0 w 1303214"/>
            <a:gd name="connsiteY4" fmla="*/ 2217420 h 2320684"/>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249987"/>
        </a:solidFill>
        <a:ln w="9525">
          <a:solidFill>
            <a:srgbClr val="73C3A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10</xdr:col>
      <xdr:colOff>175260</xdr:colOff>
      <xdr:row>20</xdr:row>
      <xdr:rowOff>81836</xdr:rowOff>
    </xdr:to>
    <xdr:sp macro="" textlink="">
      <xdr:nvSpPr>
        <xdr:cNvPr id="3" name="Right Triangle 2">
          <a:extLst>
            <a:ext uri="{FF2B5EF4-FFF2-40B4-BE49-F238E27FC236}">
              <a16:creationId xmlns:a16="http://schemas.microsoft.com/office/drawing/2014/main" id="{FAB60697-FD75-44E3-9E7D-5614A6EAFAA1}"/>
            </a:ext>
          </a:extLst>
        </xdr:cNvPr>
        <xdr:cNvSpPr/>
      </xdr:nvSpPr>
      <xdr:spPr>
        <a:xfrm flipV="1">
          <a:off x="0" y="0"/>
          <a:ext cx="6271260" cy="3739436"/>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0 w 1303214"/>
            <a:gd name="connsiteY0" fmla="*/ 2217420 h 2320684"/>
            <a:gd name="connsiteX1" fmla="*/ 0 w 1303214"/>
            <a:gd name="connsiteY1" fmla="*/ 0 h 2320684"/>
            <a:gd name="connsiteX2" fmla="*/ 655320 w 1303214"/>
            <a:gd name="connsiteY2" fmla="*/ 685800 h 2320684"/>
            <a:gd name="connsiteX3" fmla="*/ 1287780 w 1303214"/>
            <a:gd name="connsiteY3" fmla="*/ 2217420 h 2320684"/>
            <a:gd name="connsiteX4" fmla="*/ 0 w 1303214"/>
            <a:gd name="connsiteY4" fmla="*/ 2217420 h 2320684"/>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3FA48E"/>
        </a:solidFill>
        <a:ln w="9525">
          <a:solidFill>
            <a:srgbClr val="73C3A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2</xdr:col>
      <xdr:colOff>487680</xdr:colOff>
      <xdr:row>11</xdr:row>
      <xdr:rowOff>107222</xdr:rowOff>
    </xdr:to>
    <xdr:sp macro="" textlink="">
      <xdr:nvSpPr>
        <xdr:cNvPr id="4" name="Right Triangle 2">
          <a:extLst>
            <a:ext uri="{FF2B5EF4-FFF2-40B4-BE49-F238E27FC236}">
              <a16:creationId xmlns:a16="http://schemas.microsoft.com/office/drawing/2014/main" id="{C079D0B4-F4BB-459B-B84F-0452DB031321}"/>
            </a:ext>
          </a:extLst>
        </xdr:cNvPr>
        <xdr:cNvSpPr/>
      </xdr:nvSpPr>
      <xdr:spPr>
        <a:xfrm flipV="1">
          <a:off x="0" y="0"/>
          <a:ext cx="1706880" cy="2118902"/>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49AA91"/>
        </a:solidFill>
        <a:ln w="9525">
          <a:solidFill>
            <a:srgbClr val="73C3AE"/>
          </a:solidFill>
        </a:ln>
        <a:effectLst>
          <a:outerShdw blurRad="50800" dist="38100" dir="30000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315686</xdr:colOff>
      <xdr:row>4</xdr:row>
      <xdr:rowOff>10885</xdr:rowOff>
    </xdr:from>
    <xdr:to>
      <xdr:col>29</xdr:col>
      <xdr:colOff>489858</xdr:colOff>
      <xdr:row>47</xdr:row>
      <xdr:rowOff>100148</xdr:rowOff>
    </xdr:to>
    <xdr:sp macro="" textlink="">
      <xdr:nvSpPr>
        <xdr:cNvPr id="5" name="Rectangle: Rounded Corners 4">
          <a:extLst>
            <a:ext uri="{FF2B5EF4-FFF2-40B4-BE49-F238E27FC236}">
              <a16:creationId xmlns:a16="http://schemas.microsoft.com/office/drawing/2014/main" id="{275223AA-3AB0-4CBB-AC6B-9AEC23E2D650}"/>
            </a:ext>
          </a:extLst>
        </xdr:cNvPr>
        <xdr:cNvSpPr/>
      </xdr:nvSpPr>
      <xdr:spPr>
        <a:xfrm>
          <a:off x="2144486" y="751114"/>
          <a:ext cx="16023772" cy="8046720"/>
        </a:xfrm>
        <a:prstGeom prst="roundRect">
          <a:avLst>
            <a:gd name="adj" fmla="val 6838"/>
          </a:avLst>
        </a:prstGeom>
        <a:solidFill>
          <a:schemeClr val="bg1"/>
        </a:solidFill>
        <a:ln w="12700">
          <a:solidFill>
            <a:srgbClr val="73C3AE"/>
          </a:solidFill>
        </a:ln>
        <a:effectLst>
          <a:outerShdw blurRad="1003300" dist="63500" dir="33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342901</xdr:colOff>
      <xdr:row>13</xdr:row>
      <xdr:rowOff>108859</xdr:rowOff>
    </xdr:from>
    <xdr:to>
      <xdr:col>4</xdr:col>
      <xdr:colOff>506187</xdr:colOff>
      <xdr:row>40</xdr:row>
      <xdr:rowOff>65317</xdr:rowOff>
    </xdr:to>
    <xdr:sp macro="" textlink="">
      <xdr:nvSpPr>
        <xdr:cNvPr id="6" name="Flowchart: Manual Operation 6">
          <a:extLst>
            <a:ext uri="{FF2B5EF4-FFF2-40B4-BE49-F238E27FC236}">
              <a16:creationId xmlns:a16="http://schemas.microsoft.com/office/drawing/2014/main" id="{4A4EBE1D-7284-469D-B23F-803A3FF67EB0}"/>
            </a:ext>
          </a:extLst>
        </xdr:cNvPr>
        <xdr:cNvSpPr/>
      </xdr:nvSpPr>
      <xdr:spPr>
        <a:xfrm rot="16200000">
          <a:off x="81643" y="4604660"/>
          <a:ext cx="4953001" cy="772886"/>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959" y="2935"/>
                <a:pt x="9333" y="8333"/>
                <a:pt x="8000" y="10000"/>
              </a:cubicBezTo>
              <a:lnTo>
                <a:pt x="2000" y="10000"/>
              </a:lnTo>
              <a:cubicBezTo>
                <a:pt x="667" y="8333"/>
                <a:pt x="953" y="2230"/>
                <a:pt x="0" y="0"/>
              </a:cubicBezTo>
              <a:close/>
            </a:path>
          </a:pathLst>
        </a:custGeom>
        <a:solidFill>
          <a:srgbClr val="0682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185059</xdr:colOff>
      <xdr:row>6</xdr:row>
      <xdr:rowOff>141512</xdr:rowOff>
    </xdr:from>
    <xdr:to>
      <xdr:col>10</xdr:col>
      <xdr:colOff>544287</xdr:colOff>
      <xdr:row>15</xdr:row>
      <xdr:rowOff>21770</xdr:rowOff>
    </xdr:to>
    <xdr:sp macro="" textlink="">
      <xdr:nvSpPr>
        <xdr:cNvPr id="7" name="Rectangle: Rounded Corners 6">
          <a:extLst>
            <a:ext uri="{FF2B5EF4-FFF2-40B4-BE49-F238E27FC236}">
              <a16:creationId xmlns:a16="http://schemas.microsoft.com/office/drawing/2014/main" id="{A350891E-32E2-4701-9648-49865E32ED8A}"/>
            </a:ext>
          </a:extLst>
        </xdr:cNvPr>
        <xdr:cNvSpPr/>
      </xdr:nvSpPr>
      <xdr:spPr>
        <a:xfrm>
          <a:off x="3233059" y="1238792"/>
          <a:ext cx="3407228" cy="1526178"/>
        </a:xfrm>
        <a:prstGeom prst="roundRect">
          <a:avLst>
            <a:gd name="adj" fmla="val 14554"/>
          </a:avLst>
        </a:prstGeom>
        <a:gradFill>
          <a:gsLst>
            <a:gs pos="14000">
              <a:srgbClr val="249987"/>
            </a:gs>
            <a:gs pos="100000">
              <a:srgbClr val="70D2C3"/>
            </a:gs>
          </a:gsLst>
          <a:lin ang="2700000" scaled="0"/>
        </a:gra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181431</xdr:colOff>
      <xdr:row>6</xdr:row>
      <xdr:rowOff>141512</xdr:rowOff>
    </xdr:from>
    <xdr:to>
      <xdr:col>16</xdr:col>
      <xdr:colOff>540659</xdr:colOff>
      <xdr:row>15</xdr:row>
      <xdr:rowOff>21770</xdr:rowOff>
    </xdr:to>
    <xdr:sp macro="" textlink="">
      <xdr:nvSpPr>
        <xdr:cNvPr id="8" name="Rectangle: Rounded Corners 7">
          <a:extLst>
            <a:ext uri="{FF2B5EF4-FFF2-40B4-BE49-F238E27FC236}">
              <a16:creationId xmlns:a16="http://schemas.microsoft.com/office/drawing/2014/main" id="{A7C9E378-C333-4146-AE90-14C637768557}"/>
            </a:ext>
          </a:extLst>
        </xdr:cNvPr>
        <xdr:cNvSpPr/>
      </xdr:nvSpPr>
      <xdr:spPr>
        <a:xfrm>
          <a:off x="6887031"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ru-RU" sz="1100"/>
        </a:p>
      </xdr:txBody>
    </xdr:sp>
    <xdr:clientData/>
  </xdr:twoCellAnchor>
  <xdr:twoCellAnchor>
    <xdr:from>
      <xdr:col>17</xdr:col>
      <xdr:colOff>177803</xdr:colOff>
      <xdr:row>6</xdr:row>
      <xdr:rowOff>141512</xdr:rowOff>
    </xdr:from>
    <xdr:to>
      <xdr:col>22</xdr:col>
      <xdr:colOff>537031</xdr:colOff>
      <xdr:row>15</xdr:row>
      <xdr:rowOff>21770</xdr:rowOff>
    </xdr:to>
    <xdr:sp macro="" textlink="">
      <xdr:nvSpPr>
        <xdr:cNvPr id="9" name="Rectangle: Rounded Corners 8">
          <a:extLst>
            <a:ext uri="{FF2B5EF4-FFF2-40B4-BE49-F238E27FC236}">
              <a16:creationId xmlns:a16="http://schemas.microsoft.com/office/drawing/2014/main" id="{334FC92D-C21B-4EA6-BD2B-D2C900E49F8D}"/>
            </a:ext>
          </a:extLst>
        </xdr:cNvPr>
        <xdr:cNvSpPr/>
      </xdr:nvSpPr>
      <xdr:spPr>
        <a:xfrm>
          <a:off x="10541003"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174174</xdr:colOff>
      <xdr:row>6</xdr:row>
      <xdr:rowOff>141512</xdr:rowOff>
    </xdr:from>
    <xdr:to>
      <xdr:col>28</xdr:col>
      <xdr:colOff>533402</xdr:colOff>
      <xdr:row>15</xdr:row>
      <xdr:rowOff>21770</xdr:rowOff>
    </xdr:to>
    <xdr:sp macro="" textlink="">
      <xdr:nvSpPr>
        <xdr:cNvPr id="10" name="Rectangle: Rounded Corners 9">
          <a:extLst>
            <a:ext uri="{FF2B5EF4-FFF2-40B4-BE49-F238E27FC236}">
              <a16:creationId xmlns:a16="http://schemas.microsoft.com/office/drawing/2014/main" id="{6D3ABFF2-019A-417C-AB66-21E46C5626ED}"/>
            </a:ext>
          </a:extLst>
        </xdr:cNvPr>
        <xdr:cNvSpPr/>
      </xdr:nvSpPr>
      <xdr:spPr>
        <a:xfrm>
          <a:off x="14194974"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541630</xdr:colOff>
      <xdr:row>8</xdr:row>
      <xdr:rowOff>91268</xdr:rowOff>
    </xdr:from>
    <xdr:to>
      <xdr:col>7</xdr:col>
      <xdr:colOff>41535</xdr:colOff>
      <xdr:row>11</xdr:row>
      <xdr:rowOff>162612</xdr:rowOff>
    </xdr:to>
    <xdr:grpSp>
      <xdr:nvGrpSpPr>
        <xdr:cNvPr id="11" name="Group 10">
          <a:extLst>
            <a:ext uri="{FF2B5EF4-FFF2-40B4-BE49-F238E27FC236}">
              <a16:creationId xmlns:a16="http://schemas.microsoft.com/office/drawing/2014/main" id="{3760053D-BE36-4273-8B96-144746F685C6}"/>
            </a:ext>
          </a:extLst>
        </xdr:cNvPr>
        <xdr:cNvGrpSpPr/>
      </xdr:nvGrpSpPr>
      <xdr:grpSpPr>
        <a:xfrm>
          <a:off x="3472399" y="1585960"/>
          <a:ext cx="672213" cy="642844"/>
          <a:chOff x="6520543" y="3673855"/>
          <a:chExt cx="923590" cy="804672"/>
        </a:xfrm>
        <a:solidFill>
          <a:schemeClr val="bg1"/>
        </a:solidFill>
      </xdr:grpSpPr>
      <xdr:pic>
        <xdr:nvPicPr>
          <xdr:cNvPr id="12" name="Graphic 11" descr="User with solid fill">
            <a:extLst>
              <a:ext uri="{FF2B5EF4-FFF2-40B4-BE49-F238E27FC236}">
                <a16:creationId xmlns:a16="http://schemas.microsoft.com/office/drawing/2014/main" id="{68AC07FC-BCD9-213C-938A-B6BCE28789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39461" y="3673855"/>
            <a:ext cx="804672" cy="804672"/>
          </a:xfrm>
          <a:prstGeom prst="rect">
            <a:avLst/>
          </a:prstGeom>
        </xdr:spPr>
      </xdr:pic>
      <xdr:grpSp>
        <xdr:nvGrpSpPr>
          <xdr:cNvPr id="13" name="Graphic 15" descr="User with solid fill">
            <a:extLst>
              <a:ext uri="{FF2B5EF4-FFF2-40B4-BE49-F238E27FC236}">
                <a16:creationId xmlns:a16="http://schemas.microsoft.com/office/drawing/2014/main" id="{B430D781-01DC-5FF1-2194-364AA5C03004}"/>
              </a:ext>
            </a:extLst>
          </xdr:cNvPr>
          <xdr:cNvGrpSpPr/>
        </xdr:nvGrpSpPr>
        <xdr:grpSpPr>
          <a:xfrm>
            <a:off x="6520543" y="3801837"/>
            <a:ext cx="609600" cy="604156"/>
            <a:chOff x="8164286" y="3867151"/>
            <a:chExt cx="609600" cy="604156"/>
          </a:xfrm>
          <a:grpFill/>
        </xdr:grpSpPr>
        <xdr:sp macro="" textlink="">
          <xdr:nvSpPr>
            <xdr:cNvPr id="14" name="Freeform: Shape 13">
              <a:extLst>
                <a:ext uri="{FF2B5EF4-FFF2-40B4-BE49-F238E27FC236}">
                  <a16:creationId xmlns:a16="http://schemas.microsoft.com/office/drawing/2014/main" id="{6424C07C-251A-8348-8FDF-3148F3B22DE5}"/>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06966"/>
              </a:solidFill>
              <a:prstDash val="solid"/>
              <a:miter/>
            </a:ln>
          </xdr:spPr>
          <xdr:txBody>
            <a:bodyPr rtlCol="0" anchor="ctr"/>
            <a:lstStyle/>
            <a:p>
              <a:endParaRPr lang="ru-RU"/>
            </a:p>
          </xdr:txBody>
        </xdr:sp>
        <xdr:sp macro="" textlink="">
          <xdr:nvSpPr>
            <xdr:cNvPr id="15" name="Freeform: Shape 14">
              <a:extLst>
                <a:ext uri="{FF2B5EF4-FFF2-40B4-BE49-F238E27FC236}">
                  <a16:creationId xmlns:a16="http://schemas.microsoft.com/office/drawing/2014/main" id="{4C54A387-0BF6-ACB2-A11F-8D8FE36505FD}"/>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06966"/>
              </a:solidFill>
              <a:prstDash val="solid"/>
              <a:miter/>
            </a:ln>
          </xdr:spPr>
          <xdr:txBody>
            <a:bodyPr rtlCol="0" anchor="ctr"/>
            <a:lstStyle/>
            <a:p>
              <a:endParaRPr lang="ru-RU"/>
            </a:p>
          </xdr:txBody>
        </xdr:sp>
      </xdr:grpSp>
    </xdr:grpSp>
    <xdr:clientData/>
  </xdr:twoCellAnchor>
  <xdr:twoCellAnchor>
    <xdr:from>
      <xdr:col>17</xdr:col>
      <xdr:colOff>239826</xdr:colOff>
      <xdr:row>8</xdr:row>
      <xdr:rowOff>65315</xdr:rowOff>
    </xdr:from>
    <xdr:to>
      <xdr:col>22</xdr:col>
      <xdr:colOff>475008</xdr:colOff>
      <xdr:row>12</xdr:row>
      <xdr:rowOff>130629</xdr:rowOff>
    </xdr:to>
    <xdr:sp macro="" textlink="Processing!B4">
      <xdr:nvSpPr>
        <xdr:cNvPr id="16" name="TextBox 15">
          <a:extLst>
            <a:ext uri="{FF2B5EF4-FFF2-40B4-BE49-F238E27FC236}">
              <a16:creationId xmlns:a16="http://schemas.microsoft.com/office/drawing/2014/main" id="{85CF9D43-A9CD-42A5-91CC-8ABFC37E7C35}"/>
            </a:ext>
          </a:extLst>
        </xdr:cNvPr>
        <xdr:cNvSpPr txBox="1"/>
      </xdr:nvSpPr>
      <xdr:spPr>
        <a:xfrm>
          <a:off x="10603026" y="1528355"/>
          <a:ext cx="3283182"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36422D-0FC2-41A2-BD2B-94815EC06F19}" type="TxLink">
            <a:rPr lang="en-US" sz="4000" b="0" i="0" u="none" strike="noStrike">
              <a:solidFill>
                <a:srgbClr val="006966"/>
              </a:solidFill>
              <a:latin typeface="Aptos Narrow"/>
            </a:rPr>
            <a:pPr algn="ctr"/>
            <a:t> $5,000 </a:t>
          </a:fld>
          <a:endParaRPr lang="ru-RU" sz="4000" b="0">
            <a:solidFill>
              <a:srgbClr val="006966"/>
            </a:solidFill>
          </a:endParaRPr>
        </a:p>
      </xdr:txBody>
    </xdr:sp>
    <xdr:clientData/>
  </xdr:twoCellAnchor>
  <xdr:twoCellAnchor>
    <xdr:from>
      <xdr:col>6</xdr:col>
      <xdr:colOff>157844</xdr:colOff>
      <xdr:row>12</xdr:row>
      <xdr:rowOff>54429</xdr:rowOff>
    </xdr:from>
    <xdr:to>
      <xdr:col>9</xdr:col>
      <xdr:colOff>571502</xdr:colOff>
      <xdr:row>15</xdr:row>
      <xdr:rowOff>10887</xdr:rowOff>
    </xdr:to>
    <xdr:sp macro="" textlink="Processing!A2">
      <xdr:nvSpPr>
        <xdr:cNvPr id="17" name="TextBox 16">
          <a:extLst>
            <a:ext uri="{FF2B5EF4-FFF2-40B4-BE49-F238E27FC236}">
              <a16:creationId xmlns:a16="http://schemas.microsoft.com/office/drawing/2014/main" id="{0CFD7F2D-23F6-42DB-A7D0-FC1E68BE3BC1}"/>
            </a:ext>
          </a:extLst>
        </xdr:cNvPr>
        <xdr:cNvSpPr txBox="1"/>
      </xdr:nvSpPr>
      <xdr:spPr>
        <a:xfrm>
          <a:off x="3815444"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FD6D120-AE2D-4647-992D-328FDEDCAD81}" type="TxLink">
            <a:rPr lang="en-US" sz="2000" b="0" i="0" u="none" strike="noStrike">
              <a:solidFill>
                <a:schemeClr val="tx1">
                  <a:lumMod val="85000"/>
                  <a:lumOff val="15000"/>
                </a:schemeClr>
              </a:solidFill>
              <a:latin typeface="Aptos Narrow"/>
              <a:ea typeface="+mn-ea"/>
              <a:cs typeface="+mn-cs"/>
            </a:rPr>
            <a:pPr marL="0" indent="0" algn="ctr"/>
            <a:t>Visitors &amp; Buyers</a:t>
          </a:fld>
          <a:endParaRPr lang="ru-RU" sz="2000" b="0" i="0" u="none" strike="noStrike">
            <a:solidFill>
              <a:schemeClr val="tx1">
                <a:lumMod val="85000"/>
                <a:lumOff val="15000"/>
              </a:schemeClr>
            </a:solidFill>
            <a:latin typeface="Aptos Narrow"/>
            <a:ea typeface="+mn-ea"/>
            <a:cs typeface="+mn-cs"/>
          </a:endParaRPr>
        </a:p>
      </xdr:txBody>
    </xdr:sp>
    <xdr:clientData/>
  </xdr:twoCellAnchor>
  <xdr:twoCellAnchor>
    <xdr:from>
      <xdr:col>7</xdr:col>
      <xdr:colOff>87085</xdr:colOff>
      <xdr:row>8</xdr:row>
      <xdr:rowOff>87086</xdr:rowOff>
    </xdr:from>
    <xdr:to>
      <xdr:col>10</xdr:col>
      <xdr:colOff>500743</xdr:colOff>
      <xdr:row>12</xdr:row>
      <xdr:rowOff>152400</xdr:rowOff>
    </xdr:to>
    <xdr:sp macro="" textlink="Processing!B2">
      <xdr:nvSpPr>
        <xdr:cNvPr id="18" name="TextBox 17">
          <a:extLst>
            <a:ext uri="{FF2B5EF4-FFF2-40B4-BE49-F238E27FC236}">
              <a16:creationId xmlns:a16="http://schemas.microsoft.com/office/drawing/2014/main" id="{08AD7C30-F055-4485-9349-70619FB45DC1}"/>
            </a:ext>
          </a:extLst>
        </xdr:cNvPr>
        <xdr:cNvSpPr txBox="1"/>
      </xdr:nvSpPr>
      <xdr:spPr>
        <a:xfrm>
          <a:off x="4354285" y="1550126"/>
          <a:ext cx="2242458"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240F2C31-A97C-41B3-8A16-9FDA3F3B6158}" type="TxLink">
            <a:rPr lang="en-US" sz="4000" b="0" i="0" u="none" strike="noStrike">
              <a:solidFill>
                <a:schemeClr val="bg1"/>
              </a:solidFill>
              <a:latin typeface="Aptos Narrow"/>
              <a:ea typeface="+mn-ea"/>
              <a:cs typeface="+mn-cs"/>
            </a:rPr>
            <a:pPr marL="0" indent="0"/>
            <a:t> 8 333</a:t>
          </a:fld>
          <a:endParaRPr lang="ru-RU" sz="4000" b="0" i="0" u="none" strike="noStrike">
            <a:solidFill>
              <a:schemeClr val="bg1"/>
            </a:solidFill>
            <a:latin typeface="Aptos Narrow"/>
            <a:ea typeface="+mn-ea"/>
            <a:cs typeface="+mn-cs"/>
          </a:endParaRPr>
        </a:p>
      </xdr:txBody>
    </xdr:sp>
    <xdr:clientData/>
  </xdr:twoCellAnchor>
  <xdr:twoCellAnchor>
    <xdr:from>
      <xdr:col>18</xdr:col>
      <xdr:colOff>150588</xdr:colOff>
      <xdr:row>12</xdr:row>
      <xdr:rowOff>54429</xdr:rowOff>
    </xdr:from>
    <xdr:to>
      <xdr:col>21</xdr:col>
      <xdr:colOff>564246</xdr:colOff>
      <xdr:row>15</xdr:row>
      <xdr:rowOff>10887</xdr:rowOff>
    </xdr:to>
    <xdr:sp macro="" textlink="Processing!A4">
      <xdr:nvSpPr>
        <xdr:cNvPr id="19" name="TextBox 18">
          <a:extLst>
            <a:ext uri="{FF2B5EF4-FFF2-40B4-BE49-F238E27FC236}">
              <a16:creationId xmlns:a16="http://schemas.microsoft.com/office/drawing/2014/main" id="{C1AD9647-4DC5-45F2-AE82-977579100440}"/>
            </a:ext>
          </a:extLst>
        </xdr:cNvPr>
        <xdr:cNvSpPr txBox="1"/>
      </xdr:nvSpPr>
      <xdr:spPr>
        <a:xfrm>
          <a:off x="11123388"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A9DEBBE-8346-447D-BB37-708CEF2642B0}" type="TxLink">
            <a:rPr lang="en-US" sz="2000" b="0" i="0" u="none" strike="noStrike">
              <a:solidFill>
                <a:srgbClr val="006966"/>
              </a:solidFill>
              <a:latin typeface="Aptos Narrow"/>
              <a:ea typeface="+mn-ea"/>
              <a:cs typeface="+mn-cs"/>
            </a:rPr>
            <a:pPr marL="0" indent="0" algn="ctr"/>
            <a:t>Profit</a:t>
          </a:fld>
          <a:endParaRPr lang="ru-RU" sz="2000" b="0" i="0" u="none" strike="noStrike">
            <a:solidFill>
              <a:srgbClr val="006966"/>
            </a:solidFill>
            <a:latin typeface="Aptos Narrow"/>
            <a:ea typeface="+mn-ea"/>
            <a:cs typeface="+mn-cs"/>
          </a:endParaRPr>
        </a:p>
      </xdr:txBody>
    </xdr:sp>
    <xdr:clientData/>
  </xdr:twoCellAnchor>
  <xdr:twoCellAnchor>
    <xdr:from>
      <xdr:col>12</xdr:col>
      <xdr:colOff>154216</xdr:colOff>
      <xdr:row>12</xdr:row>
      <xdr:rowOff>54429</xdr:rowOff>
    </xdr:from>
    <xdr:to>
      <xdr:col>15</xdr:col>
      <xdr:colOff>567874</xdr:colOff>
      <xdr:row>15</xdr:row>
      <xdr:rowOff>10887</xdr:rowOff>
    </xdr:to>
    <xdr:sp macro="" textlink="Processing!A3">
      <xdr:nvSpPr>
        <xdr:cNvPr id="20" name="TextBox 19">
          <a:extLst>
            <a:ext uri="{FF2B5EF4-FFF2-40B4-BE49-F238E27FC236}">
              <a16:creationId xmlns:a16="http://schemas.microsoft.com/office/drawing/2014/main" id="{FD282804-ABE5-414C-B969-DD0B145A6EEA}"/>
            </a:ext>
          </a:extLst>
        </xdr:cNvPr>
        <xdr:cNvSpPr txBox="1"/>
      </xdr:nvSpPr>
      <xdr:spPr>
        <a:xfrm>
          <a:off x="7469416"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E57684-9217-4499-B71C-F68E1CC46AAC}" type="TxLink">
            <a:rPr lang="en-US" sz="2000" b="0" i="0" u="none" strike="noStrike">
              <a:solidFill>
                <a:srgbClr val="006966"/>
              </a:solidFill>
              <a:latin typeface="Aptos Narrow"/>
              <a:ea typeface="+mn-ea"/>
              <a:cs typeface="+mn-cs"/>
            </a:rPr>
            <a:pPr marL="0" indent="0" algn="ctr"/>
            <a:t>Conversion</a:t>
          </a:fld>
          <a:endParaRPr lang="ru-RU" sz="2000" b="0" i="0" u="none" strike="noStrike">
            <a:solidFill>
              <a:srgbClr val="006966"/>
            </a:solidFill>
            <a:latin typeface="Aptos Narrow"/>
            <a:ea typeface="+mn-ea"/>
            <a:cs typeface="+mn-cs"/>
          </a:endParaRPr>
        </a:p>
      </xdr:txBody>
    </xdr:sp>
    <xdr:clientData/>
  </xdr:twoCellAnchor>
  <xdr:twoCellAnchor>
    <xdr:from>
      <xdr:col>24</xdr:col>
      <xdr:colOff>146959</xdr:colOff>
      <xdr:row>12</xdr:row>
      <xdr:rowOff>54429</xdr:rowOff>
    </xdr:from>
    <xdr:to>
      <xdr:col>27</xdr:col>
      <xdr:colOff>560617</xdr:colOff>
      <xdr:row>15</xdr:row>
      <xdr:rowOff>10887</xdr:rowOff>
    </xdr:to>
    <xdr:sp macro="" textlink="Processing!A5">
      <xdr:nvSpPr>
        <xdr:cNvPr id="21" name="TextBox 20">
          <a:extLst>
            <a:ext uri="{FF2B5EF4-FFF2-40B4-BE49-F238E27FC236}">
              <a16:creationId xmlns:a16="http://schemas.microsoft.com/office/drawing/2014/main" id="{851DBB12-92F1-493E-9F5E-D99562D99468}"/>
            </a:ext>
          </a:extLst>
        </xdr:cNvPr>
        <xdr:cNvSpPr txBox="1"/>
      </xdr:nvSpPr>
      <xdr:spPr>
        <a:xfrm>
          <a:off x="14777359"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820461C-9777-4679-AB52-370EB19E43D2}" type="TxLink">
            <a:rPr lang="en-US" sz="2000" b="0" i="0" u="none" strike="noStrike">
              <a:solidFill>
                <a:srgbClr val="006966"/>
              </a:solidFill>
              <a:latin typeface="Aptos Narrow"/>
              <a:ea typeface="+mn-ea"/>
              <a:cs typeface="+mn-cs"/>
            </a:rPr>
            <a:pPr marL="0" indent="0" algn="ctr"/>
            <a:t>Tasks</a:t>
          </a:fld>
          <a:endParaRPr lang="ru-RU" sz="2000" b="0" i="0" u="none" strike="noStrike">
            <a:solidFill>
              <a:srgbClr val="006966"/>
            </a:solidFill>
            <a:latin typeface="Aptos Narrow"/>
            <a:ea typeface="+mn-ea"/>
            <a:cs typeface="+mn-cs"/>
          </a:endParaRPr>
        </a:p>
      </xdr:txBody>
    </xdr:sp>
    <xdr:clientData/>
  </xdr:twoCellAnchor>
  <xdr:twoCellAnchor>
    <xdr:from>
      <xdr:col>23</xdr:col>
      <xdr:colOff>236197</xdr:colOff>
      <xdr:row>8</xdr:row>
      <xdr:rowOff>65315</xdr:rowOff>
    </xdr:from>
    <xdr:to>
      <xdr:col>28</xdr:col>
      <xdr:colOff>471379</xdr:colOff>
      <xdr:row>12</xdr:row>
      <xdr:rowOff>130629</xdr:rowOff>
    </xdr:to>
    <xdr:sp macro="" textlink="Processing!B5">
      <xdr:nvSpPr>
        <xdr:cNvPr id="22" name="TextBox 21">
          <a:extLst>
            <a:ext uri="{FF2B5EF4-FFF2-40B4-BE49-F238E27FC236}">
              <a16:creationId xmlns:a16="http://schemas.microsoft.com/office/drawing/2014/main" id="{CEC101DE-5FB2-442C-9F25-E9D37A5D9983}"/>
            </a:ext>
          </a:extLst>
        </xdr:cNvPr>
        <xdr:cNvSpPr txBox="1"/>
      </xdr:nvSpPr>
      <xdr:spPr>
        <a:xfrm>
          <a:off x="14256997" y="1528355"/>
          <a:ext cx="3283182"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0F5DE64-5D30-46C9-8D72-8469227D94C4}" type="TxLink">
            <a:rPr lang="en-US" sz="4000" b="0" i="0" u="none" strike="noStrike">
              <a:solidFill>
                <a:srgbClr val="006966"/>
              </a:solidFill>
              <a:latin typeface="Aptos Narrow"/>
              <a:ea typeface="+mn-ea"/>
              <a:cs typeface="+mn-cs"/>
            </a:rPr>
            <a:pPr marL="0" indent="0" algn="ctr"/>
            <a:t>13%</a:t>
          </a:fld>
          <a:endParaRPr lang="ru-RU" sz="4000" b="0" i="0" u="none" strike="noStrike">
            <a:solidFill>
              <a:srgbClr val="006966"/>
            </a:solidFill>
            <a:latin typeface="Aptos Narrow"/>
            <a:ea typeface="+mn-ea"/>
            <a:cs typeface="+mn-cs"/>
          </a:endParaRPr>
        </a:p>
      </xdr:txBody>
    </xdr:sp>
    <xdr:clientData/>
  </xdr:twoCellAnchor>
  <xdr:twoCellAnchor>
    <xdr:from>
      <xdr:col>13</xdr:col>
      <xdr:colOff>515021</xdr:colOff>
      <xdr:row>8</xdr:row>
      <xdr:rowOff>87086</xdr:rowOff>
    </xdr:from>
    <xdr:to>
      <xdr:col>15</xdr:col>
      <xdr:colOff>446556</xdr:colOff>
      <xdr:row>12</xdr:row>
      <xdr:rowOff>152400</xdr:rowOff>
    </xdr:to>
    <xdr:sp macro="" textlink="Processing!B3">
      <xdr:nvSpPr>
        <xdr:cNvPr id="23" name="TextBox 22">
          <a:extLst>
            <a:ext uri="{FF2B5EF4-FFF2-40B4-BE49-F238E27FC236}">
              <a16:creationId xmlns:a16="http://schemas.microsoft.com/office/drawing/2014/main" id="{6E8C6EC6-C026-478D-844A-CAE3613DA087}"/>
            </a:ext>
          </a:extLst>
        </xdr:cNvPr>
        <xdr:cNvSpPr txBox="1"/>
      </xdr:nvSpPr>
      <xdr:spPr>
        <a:xfrm>
          <a:off x="8439821" y="1550126"/>
          <a:ext cx="1150735"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34A42E-9298-41DF-B854-5D07C1F7CD8F}" type="TxLink">
            <a:rPr lang="en-US" sz="4000" b="0" i="0" u="none" strike="noStrike">
              <a:solidFill>
                <a:srgbClr val="006966"/>
              </a:solidFill>
              <a:latin typeface="Aptos Narrow"/>
              <a:ea typeface="+mn-ea"/>
              <a:cs typeface="+mn-cs"/>
            </a:rPr>
            <a:pPr marL="0" indent="0" algn="ctr"/>
            <a:t>16%</a:t>
          </a:fld>
          <a:endParaRPr lang="ru-RU" sz="4000" b="0" i="0" u="none" strike="noStrike">
            <a:solidFill>
              <a:srgbClr val="006966"/>
            </a:solidFill>
            <a:latin typeface="Aptos Narrow"/>
            <a:ea typeface="+mn-ea"/>
            <a:cs typeface="+mn-cs"/>
          </a:endParaRPr>
        </a:p>
      </xdr:txBody>
    </xdr:sp>
    <xdr:clientData/>
  </xdr:twoCellAnchor>
  <xdr:twoCellAnchor>
    <xdr:from>
      <xdr:col>12</xdr:col>
      <xdr:colOff>304683</xdr:colOff>
      <xdr:row>8</xdr:row>
      <xdr:rowOff>10887</xdr:rowOff>
    </xdr:from>
    <xdr:to>
      <xdr:col>13</xdr:col>
      <xdr:colOff>563763</xdr:colOff>
      <xdr:row>12</xdr:row>
      <xdr:rowOff>139338</xdr:rowOff>
    </xdr:to>
    <xdr:graphicFrame macro="">
      <xdr:nvGraphicFramePr>
        <xdr:cNvPr id="24" name="Chart 23">
          <a:extLst>
            <a:ext uri="{FF2B5EF4-FFF2-40B4-BE49-F238E27FC236}">
              <a16:creationId xmlns:a16="http://schemas.microsoft.com/office/drawing/2014/main" id="{7D5EE54D-028E-4631-BE04-BC5FDE259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597628</xdr:colOff>
      <xdr:row>7</xdr:row>
      <xdr:rowOff>1</xdr:rowOff>
    </xdr:from>
    <xdr:to>
      <xdr:col>28</xdr:col>
      <xdr:colOff>109948</xdr:colOff>
      <xdr:row>9</xdr:row>
      <xdr:rowOff>87087</xdr:rowOff>
    </xdr:to>
    <xdr:graphicFrame macro="">
      <xdr:nvGraphicFramePr>
        <xdr:cNvPr id="25" name="Chart 24">
          <a:extLst>
            <a:ext uri="{FF2B5EF4-FFF2-40B4-BE49-F238E27FC236}">
              <a16:creationId xmlns:a16="http://schemas.microsoft.com/office/drawing/2014/main" id="{42CCC688-49E2-4E61-99E6-462C3E0E8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424544</xdr:colOff>
      <xdr:row>18</xdr:row>
      <xdr:rowOff>17930</xdr:rowOff>
    </xdr:from>
    <xdr:to>
      <xdr:col>28</xdr:col>
      <xdr:colOff>540444</xdr:colOff>
      <xdr:row>37</xdr:row>
      <xdr:rowOff>143435</xdr:rowOff>
    </xdr:to>
    <xdr:graphicFrame macro="">
      <xdr:nvGraphicFramePr>
        <xdr:cNvPr id="26" name="Chart 25">
          <a:extLst>
            <a:ext uri="{FF2B5EF4-FFF2-40B4-BE49-F238E27FC236}">
              <a16:creationId xmlns:a16="http://schemas.microsoft.com/office/drawing/2014/main" id="{3B41B998-8F1D-4DA1-A7B4-0230E7EAA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413657</xdr:colOff>
      <xdr:row>16</xdr:row>
      <xdr:rowOff>119742</xdr:rowOff>
    </xdr:from>
    <xdr:to>
      <xdr:col>20</xdr:col>
      <xdr:colOff>596537</xdr:colOff>
      <xdr:row>43</xdr:row>
      <xdr:rowOff>60959</xdr:rowOff>
    </xdr:to>
    <xdr:graphicFrame macro="">
      <xdr:nvGraphicFramePr>
        <xdr:cNvPr id="27" name="Chart 26">
          <a:extLst>
            <a:ext uri="{FF2B5EF4-FFF2-40B4-BE49-F238E27FC236}">
              <a16:creationId xmlns:a16="http://schemas.microsoft.com/office/drawing/2014/main" id="{83325DFB-65A7-4C82-8D5E-4E889BA2C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261257</xdr:colOff>
      <xdr:row>41</xdr:row>
      <xdr:rowOff>65311</xdr:rowOff>
    </xdr:from>
    <xdr:to>
      <xdr:col>28</xdr:col>
      <xdr:colOff>30753</xdr:colOff>
      <xdr:row>44</xdr:row>
      <xdr:rowOff>58780</xdr:rowOff>
    </xdr:to>
    <mc:AlternateContent xmlns:mc="http://schemas.openxmlformats.org/markup-compatibility/2006" xmlns:a14="http://schemas.microsoft.com/office/drawing/2010/main">
      <mc:Choice Requires="a14">
        <xdr:graphicFrame macro="">
          <xdr:nvGraphicFramePr>
            <xdr:cNvPr id="28" name="Year">
              <a:extLst>
                <a:ext uri="{FF2B5EF4-FFF2-40B4-BE49-F238E27FC236}">
                  <a16:creationId xmlns:a16="http://schemas.microsoft.com/office/drawing/2014/main" id="{439F265D-7098-4103-B7F1-DC708C17FE3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282057" y="7652654"/>
              <a:ext cx="2817496" cy="5486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435429</xdr:colOff>
      <xdr:row>42</xdr:row>
      <xdr:rowOff>11974</xdr:rowOff>
    </xdr:from>
    <xdr:to>
      <xdr:col>21</xdr:col>
      <xdr:colOff>69669</xdr:colOff>
      <xdr:row>44</xdr:row>
      <xdr:rowOff>65315</xdr:rowOff>
    </xdr:to>
    <mc:AlternateContent xmlns:mc="http://schemas.openxmlformats.org/markup-compatibility/2006" xmlns:a14="http://schemas.microsoft.com/office/drawing/2010/main">
      <mc:Choice Requires="a14">
        <xdr:graphicFrame macro="">
          <xdr:nvGraphicFramePr>
            <xdr:cNvPr id="29" name="Month">
              <a:extLst>
                <a:ext uri="{FF2B5EF4-FFF2-40B4-BE49-F238E27FC236}">
                  <a16:creationId xmlns:a16="http://schemas.microsoft.com/office/drawing/2014/main" id="{A2A817AE-C89E-4257-97CE-57E7EEAE5D1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093029" y="7784374"/>
              <a:ext cx="8778240" cy="42345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348341</xdr:colOff>
      <xdr:row>16</xdr:row>
      <xdr:rowOff>141515</xdr:rowOff>
    </xdr:from>
    <xdr:to>
      <xdr:col>11</xdr:col>
      <xdr:colOff>575130</xdr:colOff>
      <xdr:row>18</xdr:row>
      <xdr:rowOff>174173</xdr:rowOff>
    </xdr:to>
    <xdr:sp macro="" textlink="Processing!D29">
      <xdr:nvSpPr>
        <xdr:cNvPr id="30" name="TextBox 29">
          <a:extLst>
            <a:ext uri="{FF2B5EF4-FFF2-40B4-BE49-F238E27FC236}">
              <a16:creationId xmlns:a16="http://schemas.microsoft.com/office/drawing/2014/main" id="{BABD254A-B4D8-0177-992A-E3CC589DD001}"/>
            </a:ext>
          </a:extLst>
        </xdr:cNvPr>
        <xdr:cNvSpPr txBox="1"/>
      </xdr:nvSpPr>
      <xdr:spPr>
        <a:xfrm>
          <a:off x="5834741" y="3102429"/>
          <a:ext cx="1445989" cy="402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94FBD47C-6276-4B69-9D4B-845C6BBB6A33}" type="TxLink">
            <a:rPr lang="en-US" sz="2000" b="0" i="0" u="none" strike="noStrike">
              <a:solidFill>
                <a:srgbClr val="2C78A7"/>
              </a:solidFill>
              <a:latin typeface="Aptos Narrow"/>
              <a:ea typeface="+mn-ea"/>
              <a:cs typeface="+mn-cs"/>
            </a:rPr>
            <a:pPr marL="0" indent="0" algn="r"/>
            <a:t> 8 333</a:t>
          </a:fld>
          <a:endParaRPr lang="ru-RU" sz="4000" b="0" i="0" u="none" strike="noStrike">
            <a:solidFill>
              <a:srgbClr val="2C78A7"/>
            </a:solidFill>
            <a:latin typeface="Aptos Narrow"/>
            <a:ea typeface="+mn-ea"/>
            <a:cs typeface="+mn-cs"/>
          </a:endParaRPr>
        </a:p>
      </xdr:txBody>
    </xdr:sp>
    <xdr:clientData/>
  </xdr:twoCellAnchor>
  <xdr:twoCellAnchor>
    <xdr:from>
      <xdr:col>14</xdr:col>
      <xdr:colOff>413655</xdr:colOff>
      <xdr:row>16</xdr:row>
      <xdr:rowOff>141515</xdr:rowOff>
    </xdr:from>
    <xdr:to>
      <xdr:col>17</xdr:col>
      <xdr:colOff>30844</xdr:colOff>
      <xdr:row>18</xdr:row>
      <xdr:rowOff>174173</xdr:rowOff>
    </xdr:to>
    <xdr:sp macro="" textlink="Processing!E29">
      <xdr:nvSpPr>
        <xdr:cNvPr id="31" name="TextBox 30">
          <a:extLst>
            <a:ext uri="{FF2B5EF4-FFF2-40B4-BE49-F238E27FC236}">
              <a16:creationId xmlns:a16="http://schemas.microsoft.com/office/drawing/2014/main" id="{92BF1C85-9690-24A0-C9E2-B2F4CF04602D}"/>
            </a:ext>
          </a:extLst>
        </xdr:cNvPr>
        <xdr:cNvSpPr txBox="1"/>
      </xdr:nvSpPr>
      <xdr:spPr>
        <a:xfrm>
          <a:off x="8948055" y="3102429"/>
          <a:ext cx="1445989" cy="402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89D622A3-309B-4F10-8E1D-D1D928F721DF}" type="TxLink">
            <a:rPr lang="en-US" sz="2000" b="0" i="0" u="none" strike="noStrike">
              <a:solidFill>
                <a:srgbClr val="297F73"/>
              </a:solidFill>
              <a:latin typeface="Aptos Narrow"/>
              <a:ea typeface="+mn-ea"/>
              <a:cs typeface="+mn-cs"/>
            </a:rPr>
            <a:pPr marL="0" indent="0" algn="l"/>
            <a:t> 4 500</a:t>
          </a:fld>
          <a:endParaRPr lang="ru-RU" sz="2000" b="0" i="0" u="none" strike="noStrike">
            <a:solidFill>
              <a:srgbClr val="297F73"/>
            </a:solidFill>
            <a:latin typeface="Aptos Narrow"/>
            <a:ea typeface="+mn-ea"/>
            <a:cs typeface="+mn-cs"/>
          </a:endParaRPr>
        </a:p>
      </xdr:txBody>
    </xdr:sp>
    <xdr:clientData/>
  </xdr:twoCellAnchor>
  <xdr:twoCellAnchor>
    <xdr:from>
      <xdr:col>11</xdr:col>
      <xdr:colOff>272142</xdr:colOff>
      <xdr:row>7</xdr:row>
      <xdr:rowOff>21772</xdr:rowOff>
    </xdr:from>
    <xdr:to>
      <xdr:col>16</xdr:col>
      <xdr:colOff>446313</xdr:colOff>
      <xdr:row>14</xdr:row>
      <xdr:rowOff>130630</xdr:rowOff>
    </xdr:to>
    <xdr:sp macro="" textlink="">
      <xdr:nvSpPr>
        <xdr:cNvPr id="33" name="Rectangle 32">
          <a:hlinkClick xmlns:r="http://schemas.openxmlformats.org/officeDocument/2006/relationships" r:id="rId7"/>
          <a:extLst>
            <a:ext uri="{FF2B5EF4-FFF2-40B4-BE49-F238E27FC236}">
              <a16:creationId xmlns:a16="http://schemas.microsoft.com/office/drawing/2014/main" id="{D7D7377C-1BDA-4789-9D19-F9A2021F5BD5}"/>
            </a:ext>
          </a:extLst>
        </xdr:cNvPr>
        <xdr:cNvSpPr/>
      </xdr:nvSpPr>
      <xdr:spPr>
        <a:xfrm>
          <a:off x="6977742" y="1317172"/>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250370</xdr:colOff>
      <xdr:row>7</xdr:row>
      <xdr:rowOff>21772</xdr:rowOff>
    </xdr:from>
    <xdr:to>
      <xdr:col>22</xdr:col>
      <xdr:colOff>424541</xdr:colOff>
      <xdr:row>14</xdr:row>
      <xdr:rowOff>130630</xdr:rowOff>
    </xdr:to>
    <xdr:sp macro="" textlink="">
      <xdr:nvSpPr>
        <xdr:cNvPr id="34" name="Rectangle 33">
          <a:hlinkClick xmlns:r="http://schemas.openxmlformats.org/officeDocument/2006/relationships" r:id="rId8"/>
          <a:extLst>
            <a:ext uri="{FF2B5EF4-FFF2-40B4-BE49-F238E27FC236}">
              <a16:creationId xmlns:a16="http://schemas.microsoft.com/office/drawing/2014/main" id="{CAEBB5E3-C0C0-4656-B83D-59CB4CD47375}"/>
            </a:ext>
          </a:extLst>
        </xdr:cNvPr>
        <xdr:cNvSpPr/>
      </xdr:nvSpPr>
      <xdr:spPr>
        <a:xfrm>
          <a:off x="10613570" y="1317172"/>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261256</xdr:colOff>
      <xdr:row>7</xdr:row>
      <xdr:rowOff>21772</xdr:rowOff>
    </xdr:from>
    <xdr:to>
      <xdr:col>28</xdr:col>
      <xdr:colOff>435427</xdr:colOff>
      <xdr:row>14</xdr:row>
      <xdr:rowOff>130630</xdr:rowOff>
    </xdr:to>
    <xdr:sp macro="" textlink="">
      <xdr:nvSpPr>
        <xdr:cNvPr id="35" name="Rectangle 34">
          <a:hlinkClick xmlns:r="http://schemas.openxmlformats.org/officeDocument/2006/relationships" r:id="rId9"/>
          <a:extLst>
            <a:ext uri="{FF2B5EF4-FFF2-40B4-BE49-F238E27FC236}">
              <a16:creationId xmlns:a16="http://schemas.microsoft.com/office/drawing/2014/main" id="{292C8F6A-2893-48AF-8E2E-CA55D57AD2BC}"/>
            </a:ext>
          </a:extLst>
        </xdr:cNvPr>
        <xdr:cNvSpPr/>
      </xdr:nvSpPr>
      <xdr:spPr>
        <a:xfrm>
          <a:off x="14282056" y="1317172"/>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3</xdr:col>
      <xdr:colOff>424541</xdr:colOff>
      <xdr:row>17</xdr:row>
      <xdr:rowOff>163285</xdr:rowOff>
    </xdr:from>
    <xdr:to>
      <xdr:col>4</xdr:col>
      <xdr:colOff>363581</xdr:colOff>
      <xdr:row>20</xdr:row>
      <xdr:rowOff>156753</xdr:rowOff>
    </xdr:to>
    <xdr:pic>
      <xdr:nvPicPr>
        <xdr:cNvPr id="37" name="Graphic 36" descr="Bar chart outline">
          <a:hlinkClick xmlns:r="http://schemas.openxmlformats.org/officeDocument/2006/relationships" r:id="rId10"/>
          <a:extLst>
            <a:ext uri="{FF2B5EF4-FFF2-40B4-BE49-F238E27FC236}">
              <a16:creationId xmlns:a16="http://schemas.microsoft.com/office/drawing/2014/main" id="{8C9309E6-D3DD-B0BF-3E45-388DD25D940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253341" y="3309256"/>
          <a:ext cx="548640" cy="548640"/>
        </a:xfrm>
        <a:prstGeom prst="rect">
          <a:avLst/>
        </a:prstGeom>
      </xdr:spPr>
    </xdr:pic>
    <xdr:clientData/>
  </xdr:twoCellAnchor>
  <xdr:twoCellAnchor>
    <xdr:from>
      <xdr:col>3</xdr:col>
      <xdr:colOff>337459</xdr:colOff>
      <xdr:row>24</xdr:row>
      <xdr:rowOff>129541</xdr:rowOff>
    </xdr:from>
    <xdr:to>
      <xdr:col>4</xdr:col>
      <xdr:colOff>459379</xdr:colOff>
      <xdr:row>28</xdr:row>
      <xdr:rowOff>120832</xdr:rowOff>
    </xdr:to>
    <xdr:graphicFrame macro="">
      <xdr:nvGraphicFramePr>
        <xdr:cNvPr id="38" name="Chart 37">
          <a:extLst>
            <a:ext uri="{FF2B5EF4-FFF2-40B4-BE49-F238E27FC236}">
              <a16:creationId xmlns:a16="http://schemas.microsoft.com/office/drawing/2014/main" id="{AD6F4F7C-37F8-48B1-8059-B92B0B7E7C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3</xdr:col>
      <xdr:colOff>424543</xdr:colOff>
      <xdr:row>29</xdr:row>
      <xdr:rowOff>9253</xdr:rowOff>
    </xdr:from>
    <xdr:to>
      <xdr:col>4</xdr:col>
      <xdr:colOff>363583</xdr:colOff>
      <xdr:row>32</xdr:row>
      <xdr:rowOff>2721</xdr:rowOff>
    </xdr:to>
    <xdr:pic>
      <xdr:nvPicPr>
        <xdr:cNvPr id="42" name="Graphic 41" descr="Money outline">
          <a:hlinkClick xmlns:r="http://schemas.openxmlformats.org/officeDocument/2006/relationships" r:id="rId8"/>
          <a:extLst>
            <a:ext uri="{FF2B5EF4-FFF2-40B4-BE49-F238E27FC236}">
              <a16:creationId xmlns:a16="http://schemas.microsoft.com/office/drawing/2014/main" id="{863D68D6-D119-3C92-EDD2-7431198FCE5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253343" y="5375910"/>
          <a:ext cx="548640" cy="548640"/>
        </a:xfrm>
        <a:prstGeom prst="rect">
          <a:avLst/>
        </a:prstGeom>
      </xdr:spPr>
    </xdr:pic>
    <xdr:clientData/>
  </xdr:twoCellAnchor>
  <xdr:twoCellAnchor>
    <xdr:from>
      <xdr:col>3</xdr:col>
      <xdr:colOff>468085</xdr:colOff>
      <xdr:row>21</xdr:row>
      <xdr:rowOff>99604</xdr:rowOff>
    </xdr:from>
    <xdr:to>
      <xdr:col>4</xdr:col>
      <xdr:colOff>407125</xdr:colOff>
      <xdr:row>24</xdr:row>
      <xdr:rowOff>1633</xdr:rowOff>
    </xdr:to>
    <xdr:grpSp>
      <xdr:nvGrpSpPr>
        <xdr:cNvPr id="43" name="Group 42">
          <a:hlinkClick xmlns:r="http://schemas.openxmlformats.org/officeDocument/2006/relationships" r:id="rId16"/>
          <a:extLst>
            <a:ext uri="{FF2B5EF4-FFF2-40B4-BE49-F238E27FC236}">
              <a16:creationId xmlns:a16="http://schemas.microsoft.com/office/drawing/2014/main" id="{29034034-CA28-463E-82D7-0A6714921C3F}"/>
            </a:ext>
          </a:extLst>
        </xdr:cNvPr>
        <xdr:cNvGrpSpPr/>
      </xdr:nvGrpSpPr>
      <xdr:grpSpPr>
        <a:xfrm>
          <a:off x="2226547" y="4070796"/>
          <a:ext cx="525193" cy="473529"/>
          <a:chOff x="6520543" y="3673855"/>
          <a:chExt cx="923590" cy="804672"/>
        </a:xfrm>
        <a:solidFill>
          <a:schemeClr val="bg1"/>
        </a:solidFill>
      </xdr:grpSpPr>
      <xdr:pic>
        <xdr:nvPicPr>
          <xdr:cNvPr id="44" name="Graphic 43" descr="User with solid fill">
            <a:extLst>
              <a:ext uri="{FF2B5EF4-FFF2-40B4-BE49-F238E27FC236}">
                <a16:creationId xmlns:a16="http://schemas.microsoft.com/office/drawing/2014/main" id="{1EDDC6F3-6D63-D574-C06A-3CEB4A3DC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39461" y="3673855"/>
            <a:ext cx="804672" cy="804672"/>
          </a:xfrm>
          <a:prstGeom prst="rect">
            <a:avLst/>
          </a:prstGeom>
        </xdr:spPr>
      </xdr:pic>
      <xdr:grpSp>
        <xdr:nvGrpSpPr>
          <xdr:cNvPr id="45" name="Graphic 15" descr="User with solid fill">
            <a:extLst>
              <a:ext uri="{FF2B5EF4-FFF2-40B4-BE49-F238E27FC236}">
                <a16:creationId xmlns:a16="http://schemas.microsoft.com/office/drawing/2014/main" id="{52CB99B6-CBE6-56F2-1E36-5329D7DE242E}"/>
              </a:ext>
            </a:extLst>
          </xdr:cNvPr>
          <xdr:cNvGrpSpPr/>
        </xdr:nvGrpSpPr>
        <xdr:grpSpPr>
          <a:xfrm>
            <a:off x="6520543" y="3801837"/>
            <a:ext cx="609600" cy="604156"/>
            <a:chOff x="8164286" y="3867151"/>
            <a:chExt cx="609600" cy="604156"/>
          </a:xfrm>
          <a:grpFill/>
        </xdr:grpSpPr>
        <xdr:sp macro="" textlink="">
          <xdr:nvSpPr>
            <xdr:cNvPr id="46" name="Freeform: Shape 45">
              <a:extLst>
                <a:ext uri="{FF2B5EF4-FFF2-40B4-BE49-F238E27FC236}">
                  <a16:creationId xmlns:a16="http://schemas.microsoft.com/office/drawing/2014/main" id="{DBFE10C0-FC7A-6B03-3B01-9CA4A0194EA9}"/>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06966"/>
              </a:solidFill>
              <a:prstDash val="solid"/>
              <a:miter/>
            </a:ln>
          </xdr:spPr>
          <xdr:txBody>
            <a:bodyPr rtlCol="0" anchor="ctr"/>
            <a:lstStyle/>
            <a:p>
              <a:endParaRPr lang="ru-RU"/>
            </a:p>
          </xdr:txBody>
        </xdr:sp>
        <xdr:sp macro="" textlink="">
          <xdr:nvSpPr>
            <xdr:cNvPr id="47" name="Freeform: Shape 46">
              <a:extLst>
                <a:ext uri="{FF2B5EF4-FFF2-40B4-BE49-F238E27FC236}">
                  <a16:creationId xmlns:a16="http://schemas.microsoft.com/office/drawing/2014/main" id="{DB7FD0D9-D64C-D6CB-8BB4-4AE482082100}"/>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06966"/>
              </a:solidFill>
              <a:prstDash val="solid"/>
              <a:miter/>
            </a:ln>
          </xdr:spPr>
          <xdr:txBody>
            <a:bodyPr rtlCol="0" anchor="ctr"/>
            <a:lstStyle/>
            <a:p>
              <a:endParaRPr lang="ru-RU"/>
            </a:p>
          </xdr:txBody>
        </xdr:sp>
      </xdr:grpSp>
    </xdr:grpSp>
    <xdr:clientData/>
  </xdr:twoCellAnchor>
  <xdr:twoCellAnchor editAs="oneCell">
    <xdr:from>
      <xdr:col>3</xdr:col>
      <xdr:colOff>424543</xdr:colOff>
      <xdr:row>33</xdr:row>
      <xdr:rowOff>0</xdr:rowOff>
    </xdr:from>
    <xdr:to>
      <xdr:col>4</xdr:col>
      <xdr:colOff>363583</xdr:colOff>
      <xdr:row>35</xdr:row>
      <xdr:rowOff>178526</xdr:rowOff>
    </xdr:to>
    <xdr:pic>
      <xdr:nvPicPr>
        <xdr:cNvPr id="49" name="Graphic 48" descr="Clipboard Mixed outline">
          <a:hlinkClick xmlns:r="http://schemas.openxmlformats.org/officeDocument/2006/relationships" r:id="rId9"/>
          <a:extLst>
            <a:ext uri="{FF2B5EF4-FFF2-40B4-BE49-F238E27FC236}">
              <a16:creationId xmlns:a16="http://schemas.microsoft.com/office/drawing/2014/main" id="{BEF949B2-0D9A-DE93-E12D-B19676E5D34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253343" y="6106886"/>
          <a:ext cx="548640" cy="548640"/>
        </a:xfrm>
        <a:prstGeom prst="rect">
          <a:avLst/>
        </a:prstGeom>
      </xdr:spPr>
    </xdr:pic>
    <xdr:clientData/>
  </xdr:twoCellAnchor>
  <xdr:twoCellAnchor>
    <xdr:from>
      <xdr:col>3</xdr:col>
      <xdr:colOff>424543</xdr:colOff>
      <xdr:row>25</xdr:row>
      <xdr:rowOff>10887</xdr:rowOff>
    </xdr:from>
    <xdr:to>
      <xdr:col>4</xdr:col>
      <xdr:colOff>391886</xdr:colOff>
      <xdr:row>28</xdr:row>
      <xdr:rowOff>32659</xdr:rowOff>
    </xdr:to>
    <xdr:sp macro="" textlink="">
      <xdr:nvSpPr>
        <xdr:cNvPr id="50" name="Rectangle 49">
          <a:hlinkClick xmlns:r="http://schemas.openxmlformats.org/officeDocument/2006/relationships" r:id="rId7"/>
          <a:extLst>
            <a:ext uri="{FF2B5EF4-FFF2-40B4-BE49-F238E27FC236}">
              <a16:creationId xmlns:a16="http://schemas.microsoft.com/office/drawing/2014/main" id="{C5197143-45AC-3607-7729-F12595E697D2}"/>
            </a:ext>
          </a:extLst>
        </xdr:cNvPr>
        <xdr:cNvSpPr/>
      </xdr:nvSpPr>
      <xdr:spPr>
        <a:xfrm>
          <a:off x="2253343" y="4637316"/>
          <a:ext cx="576943" cy="5769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413658</xdr:colOff>
      <xdr:row>21</xdr:row>
      <xdr:rowOff>65314</xdr:rowOff>
    </xdr:from>
    <xdr:to>
      <xdr:col>4</xdr:col>
      <xdr:colOff>381001</xdr:colOff>
      <xdr:row>24</xdr:row>
      <xdr:rowOff>87086</xdr:rowOff>
    </xdr:to>
    <xdr:sp macro="" textlink="">
      <xdr:nvSpPr>
        <xdr:cNvPr id="51" name="Oval 50">
          <a:extLst>
            <a:ext uri="{FF2B5EF4-FFF2-40B4-BE49-F238E27FC236}">
              <a16:creationId xmlns:a16="http://schemas.microsoft.com/office/drawing/2014/main" id="{7D648D9A-A0DA-47EA-8FB7-2DA797179B49}"/>
            </a:ext>
          </a:extLst>
        </xdr:cNvPr>
        <xdr:cNvSpPr/>
      </xdr:nvSpPr>
      <xdr:spPr>
        <a:xfrm>
          <a:off x="2242458" y="3951514"/>
          <a:ext cx="576943" cy="576943"/>
        </a:xfrm>
        <a:prstGeom prst="ellipse">
          <a:avLst/>
        </a:prstGeom>
        <a:solidFill>
          <a:srgbClr val="9FE1D8">
            <a:alpha val="4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594360</xdr:colOff>
      <xdr:row>33</xdr:row>
      <xdr:rowOff>38100</xdr:rowOff>
    </xdr:to>
    <xdr:sp macro="" textlink="">
      <xdr:nvSpPr>
        <xdr:cNvPr id="2" name="Right Triangle 2">
          <a:extLst>
            <a:ext uri="{FF2B5EF4-FFF2-40B4-BE49-F238E27FC236}">
              <a16:creationId xmlns:a16="http://schemas.microsoft.com/office/drawing/2014/main" id="{FAF2F4C5-F900-4FF3-B572-4F6A3E0EC2AC}"/>
            </a:ext>
          </a:extLst>
        </xdr:cNvPr>
        <xdr:cNvSpPr/>
      </xdr:nvSpPr>
      <xdr:spPr>
        <a:xfrm flipV="1">
          <a:off x="0" y="0"/>
          <a:ext cx="9128760" cy="6073140"/>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0 w 1303214"/>
            <a:gd name="connsiteY0" fmla="*/ 2217420 h 2320684"/>
            <a:gd name="connsiteX1" fmla="*/ 0 w 1303214"/>
            <a:gd name="connsiteY1" fmla="*/ 0 h 2320684"/>
            <a:gd name="connsiteX2" fmla="*/ 655320 w 1303214"/>
            <a:gd name="connsiteY2" fmla="*/ 685800 h 2320684"/>
            <a:gd name="connsiteX3" fmla="*/ 1287780 w 1303214"/>
            <a:gd name="connsiteY3" fmla="*/ 2217420 h 2320684"/>
            <a:gd name="connsiteX4" fmla="*/ 0 w 1303214"/>
            <a:gd name="connsiteY4" fmla="*/ 2217420 h 2320684"/>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249987"/>
        </a:solidFill>
        <a:ln w="9525">
          <a:solidFill>
            <a:srgbClr val="73C3A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10</xdr:col>
      <xdr:colOff>175260</xdr:colOff>
      <xdr:row>20</xdr:row>
      <xdr:rowOff>81836</xdr:rowOff>
    </xdr:to>
    <xdr:sp macro="" textlink="">
      <xdr:nvSpPr>
        <xdr:cNvPr id="3" name="Right Triangle 2">
          <a:extLst>
            <a:ext uri="{FF2B5EF4-FFF2-40B4-BE49-F238E27FC236}">
              <a16:creationId xmlns:a16="http://schemas.microsoft.com/office/drawing/2014/main" id="{5CCBB7AF-0CFA-4CB0-860C-CC164482339C}"/>
            </a:ext>
          </a:extLst>
        </xdr:cNvPr>
        <xdr:cNvSpPr/>
      </xdr:nvSpPr>
      <xdr:spPr>
        <a:xfrm flipV="1">
          <a:off x="0" y="0"/>
          <a:ext cx="6271260" cy="3739436"/>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0 w 1303214"/>
            <a:gd name="connsiteY0" fmla="*/ 2217420 h 2320684"/>
            <a:gd name="connsiteX1" fmla="*/ 0 w 1303214"/>
            <a:gd name="connsiteY1" fmla="*/ 0 h 2320684"/>
            <a:gd name="connsiteX2" fmla="*/ 655320 w 1303214"/>
            <a:gd name="connsiteY2" fmla="*/ 685800 h 2320684"/>
            <a:gd name="connsiteX3" fmla="*/ 1287780 w 1303214"/>
            <a:gd name="connsiteY3" fmla="*/ 2217420 h 2320684"/>
            <a:gd name="connsiteX4" fmla="*/ 0 w 1303214"/>
            <a:gd name="connsiteY4" fmla="*/ 2217420 h 2320684"/>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3FA48E"/>
        </a:solidFill>
        <a:ln w="9525">
          <a:solidFill>
            <a:srgbClr val="73C3A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2</xdr:col>
      <xdr:colOff>487680</xdr:colOff>
      <xdr:row>11</xdr:row>
      <xdr:rowOff>107222</xdr:rowOff>
    </xdr:to>
    <xdr:sp macro="" textlink="">
      <xdr:nvSpPr>
        <xdr:cNvPr id="4" name="Right Triangle 2">
          <a:extLst>
            <a:ext uri="{FF2B5EF4-FFF2-40B4-BE49-F238E27FC236}">
              <a16:creationId xmlns:a16="http://schemas.microsoft.com/office/drawing/2014/main" id="{352212EF-56A5-40A3-846E-ECFBDCEFF194}"/>
            </a:ext>
          </a:extLst>
        </xdr:cNvPr>
        <xdr:cNvSpPr/>
      </xdr:nvSpPr>
      <xdr:spPr>
        <a:xfrm flipV="1">
          <a:off x="0" y="0"/>
          <a:ext cx="1706880" cy="2118902"/>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49AA91"/>
        </a:solidFill>
        <a:ln w="9525">
          <a:solidFill>
            <a:srgbClr val="73C3AE"/>
          </a:solidFill>
        </a:ln>
        <a:effectLst>
          <a:outerShdw blurRad="50800" dist="38100" dir="30000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315686</xdr:colOff>
      <xdr:row>4</xdr:row>
      <xdr:rowOff>10885</xdr:rowOff>
    </xdr:from>
    <xdr:to>
      <xdr:col>29</xdr:col>
      <xdr:colOff>489858</xdr:colOff>
      <xdr:row>47</xdr:row>
      <xdr:rowOff>100148</xdr:rowOff>
    </xdr:to>
    <xdr:sp macro="" textlink="">
      <xdr:nvSpPr>
        <xdr:cNvPr id="5" name="Rectangle: Rounded Corners 4">
          <a:extLst>
            <a:ext uri="{FF2B5EF4-FFF2-40B4-BE49-F238E27FC236}">
              <a16:creationId xmlns:a16="http://schemas.microsoft.com/office/drawing/2014/main" id="{9F95813E-C6A3-4E3D-B071-6ABDEBFA2FF3}"/>
            </a:ext>
          </a:extLst>
        </xdr:cNvPr>
        <xdr:cNvSpPr/>
      </xdr:nvSpPr>
      <xdr:spPr>
        <a:xfrm>
          <a:off x="2144486" y="742405"/>
          <a:ext cx="16023772" cy="7953103"/>
        </a:xfrm>
        <a:prstGeom prst="roundRect">
          <a:avLst>
            <a:gd name="adj" fmla="val 6838"/>
          </a:avLst>
        </a:prstGeom>
        <a:solidFill>
          <a:schemeClr val="bg1"/>
        </a:solidFill>
        <a:ln w="12700">
          <a:solidFill>
            <a:srgbClr val="73C3AE"/>
          </a:solidFill>
        </a:ln>
        <a:effectLst>
          <a:outerShdw blurRad="1003300" dist="63500" dir="33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342901</xdr:colOff>
      <xdr:row>13</xdr:row>
      <xdr:rowOff>108859</xdr:rowOff>
    </xdr:from>
    <xdr:to>
      <xdr:col>4</xdr:col>
      <xdr:colOff>506187</xdr:colOff>
      <xdr:row>40</xdr:row>
      <xdr:rowOff>65317</xdr:rowOff>
    </xdr:to>
    <xdr:sp macro="" textlink="">
      <xdr:nvSpPr>
        <xdr:cNvPr id="6" name="Flowchart: Manual Operation 6">
          <a:extLst>
            <a:ext uri="{FF2B5EF4-FFF2-40B4-BE49-F238E27FC236}">
              <a16:creationId xmlns:a16="http://schemas.microsoft.com/office/drawing/2014/main" id="{F42727F4-FE85-434E-A4ED-A4A0900EE397}"/>
            </a:ext>
          </a:extLst>
        </xdr:cNvPr>
        <xdr:cNvSpPr/>
      </xdr:nvSpPr>
      <xdr:spPr>
        <a:xfrm rot="16200000">
          <a:off x="111035" y="4546965"/>
          <a:ext cx="4894218" cy="772886"/>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959" y="2935"/>
                <a:pt x="9333" y="8333"/>
                <a:pt x="8000" y="10000"/>
              </a:cubicBezTo>
              <a:lnTo>
                <a:pt x="2000" y="10000"/>
              </a:lnTo>
              <a:cubicBezTo>
                <a:pt x="667" y="8333"/>
                <a:pt x="953" y="2230"/>
                <a:pt x="0" y="0"/>
              </a:cubicBezTo>
              <a:close/>
            </a:path>
          </a:pathLst>
        </a:custGeom>
        <a:solidFill>
          <a:srgbClr val="0682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185059</xdr:colOff>
      <xdr:row>6</xdr:row>
      <xdr:rowOff>141512</xdr:rowOff>
    </xdr:from>
    <xdr:to>
      <xdr:col>10</xdr:col>
      <xdr:colOff>544287</xdr:colOff>
      <xdr:row>15</xdr:row>
      <xdr:rowOff>21770</xdr:rowOff>
    </xdr:to>
    <xdr:sp macro="" textlink="">
      <xdr:nvSpPr>
        <xdr:cNvPr id="7" name="Rectangle: Rounded Corners 6">
          <a:extLst>
            <a:ext uri="{FF2B5EF4-FFF2-40B4-BE49-F238E27FC236}">
              <a16:creationId xmlns:a16="http://schemas.microsoft.com/office/drawing/2014/main" id="{C202937D-79A9-493E-BE8C-07D30C9CE782}"/>
            </a:ext>
          </a:extLst>
        </xdr:cNvPr>
        <xdr:cNvSpPr/>
      </xdr:nvSpPr>
      <xdr:spPr>
        <a:xfrm>
          <a:off x="3233059"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11</xdr:col>
      <xdr:colOff>181431</xdr:colOff>
      <xdr:row>6</xdr:row>
      <xdr:rowOff>141512</xdr:rowOff>
    </xdr:from>
    <xdr:to>
      <xdr:col>16</xdr:col>
      <xdr:colOff>540659</xdr:colOff>
      <xdr:row>15</xdr:row>
      <xdr:rowOff>21770</xdr:rowOff>
    </xdr:to>
    <xdr:sp macro="" textlink="">
      <xdr:nvSpPr>
        <xdr:cNvPr id="8" name="Rectangle: Rounded Corners 7">
          <a:extLst>
            <a:ext uri="{FF2B5EF4-FFF2-40B4-BE49-F238E27FC236}">
              <a16:creationId xmlns:a16="http://schemas.microsoft.com/office/drawing/2014/main" id="{7639F302-1517-4F74-9DC1-45856DE1707D}"/>
            </a:ext>
          </a:extLst>
        </xdr:cNvPr>
        <xdr:cNvSpPr/>
      </xdr:nvSpPr>
      <xdr:spPr>
        <a:xfrm>
          <a:off x="6887031" y="1238792"/>
          <a:ext cx="3407228" cy="1526178"/>
        </a:xfrm>
        <a:prstGeom prst="roundRect">
          <a:avLst>
            <a:gd name="adj" fmla="val 14554"/>
          </a:avLst>
        </a:prstGeom>
        <a:gradFill>
          <a:gsLst>
            <a:gs pos="14000">
              <a:srgbClr val="249987"/>
            </a:gs>
            <a:gs pos="100000">
              <a:srgbClr val="70D2C3"/>
            </a:gs>
          </a:gsLst>
          <a:lin ang="2700000" scaled="0"/>
        </a:gra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17</xdr:col>
      <xdr:colOff>177803</xdr:colOff>
      <xdr:row>6</xdr:row>
      <xdr:rowOff>141512</xdr:rowOff>
    </xdr:from>
    <xdr:to>
      <xdr:col>22</xdr:col>
      <xdr:colOff>537031</xdr:colOff>
      <xdr:row>15</xdr:row>
      <xdr:rowOff>21770</xdr:rowOff>
    </xdr:to>
    <xdr:sp macro="" textlink="">
      <xdr:nvSpPr>
        <xdr:cNvPr id="9" name="Rectangle: Rounded Corners 8">
          <a:extLst>
            <a:ext uri="{FF2B5EF4-FFF2-40B4-BE49-F238E27FC236}">
              <a16:creationId xmlns:a16="http://schemas.microsoft.com/office/drawing/2014/main" id="{047FD09C-0E6E-4C02-A043-9881640B80DB}"/>
            </a:ext>
          </a:extLst>
        </xdr:cNvPr>
        <xdr:cNvSpPr/>
      </xdr:nvSpPr>
      <xdr:spPr>
        <a:xfrm>
          <a:off x="10541003"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174174</xdr:colOff>
      <xdr:row>6</xdr:row>
      <xdr:rowOff>141512</xdr:rowOff>
    </xdr:from>
    <xdr:to>
      <xdr:col>28</xdr:col>
      <xdr:colOff>533402</xdr:colOff>
      <xdr:row>15</xdr:row>
      <xdr:rowOff>21770</xdr:rowOff>
    </xdr:to>
    <xdr:sp macro="" textlink="">
      <xdr:nvSpPr>
        <xdr:cNvPr id="10" name="Rectangle: Rounded Corners 9">
          <a:extLst>
            <a:ext uri="{FF2B5EF4-FFF2-40B4-BE49-F238E27FC236}">
              <a16:creationId xmlns:a16="http://schemas.microsoft.com/office/drawing/2014/main" id="{FF98A4B0-40BF-4AEE-B067-FDE8E76309AE}"/>
            </a:ext>
          </a:extLst>
        </xdr:cNvPr>
        <xdr:cNvSpPr/>
      </xdr:nvSpPr>
      <xdr:spPr>
        <a:xfrm>
          <a:off x="14194974"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541630</xdr:colOff>
      <xdr:row>8</xdr:row>
      <xdr:rowOff>91268</xdr:rowOff>
    </xdr:from>
    <xdr:to>
      <xdr:col>7</xdr:col>
      <xdr:colOff>41535</xdr:colOff>
      <xdr:row>11</xdr:row>
      <xdr:rowOff>162612</xdr:rowOff>
    </xdr:to>
    <xdr:grpSp>
      <xdr:nvGrpSpPr>
        <xdr:cNvPr id="11" name="Group 10">
          <a:extLst>
            <a:ext uri="{FF2B5EF4-FFF2-40B4-BE49-F238E27FC236}">
              <a16:creationId xmlns:a16="http://schemas.microsoft.com/office/drawing/2014/main" id="{BE664BED-2425-441C-A01C-9124E6B79918}"/>
            </a:ext>
          </a:extLst>
        </xdr:cNvPr>
        <xdr:cNvGrpSpPr/>
      </xdr:nvGrpSpPr>
      <xdr:grpSpPr>
        <a:xfrm>
          <a:off x="3472399" y="1585960"/>
          <a:ext cx="672213" cy="642844"/>
          <a:chOff x="6520543" y="3673855"/>
          <a:chExt cx="923590" cy="804672"/>
        </a:xfrm>
        <a:solidFill>
          <a:srgbClr val="006966"/>
        </a:solidFill>
      </xdr:grpSpPr>
      <xdr:pic>
        <xdr:nvPicPr>
          <xdr:cNvPr id="12" name="Graphic 11" descr="User with solid fill">
            <a:extLst>
              <a:ext uri="{FF2B5EF4-FFF2-40B4-BE49-F238E27FC236}">
                <a16:creationId xmlns:a16="http://schemas.microsoft.com/office/drawing/2014/main" id="{0EFE718F-BA5F-7E61-44E4-DA4DC86B44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39461" y="3673855"/>
            <a:ext cx="804672" cy="804672"/>
          </a:xfrm>
          <a:prstGeom prst="rect">
            <a:avLst/>
          </a:prstGeom>
        </xdr:spPr>
      </xdr:pic>
      <xdr:grpSp>
        <xdr:nvGrpSpPr>
          <xdr:cNvPr id="13" name="Graphic 15" descr="User with solid fill">
            <a:extLst>
              <a:ext uri="{FF2B5EF4-FFF2-40B4-BE49-F238E27FC236}">
                <a16:creationId xmlns:a16="http://schemas.microsoft.com/office/drawing/2014/main" id="{5CEE438C-A087-A9AE-1447-39590720FBBE}"/>
              </a:ext>
            </a:extLst>
          </xdr:cNvPr>
          <xdr:cNvGrpSpPr/>
        </xdr:nvGrpSpPr>
        <xdr:grpSpPr>
          <a:xfrm>
            <a:off x="6520543" y="3801837"/>
            <a:ext cx="609600" cy="604156"/>
            <a:chOff x="8164286" y="3867151"/>
            <a:chExt cx="609600" cy="604156"/>
          </a:xfrm>
          <a:grpFill/>
        </xdr:grpSpPr>
        <xdr:sp macro="" textlink="">
          <xdr:nvSpPr>
            <xdr:cNvPr id="14" name="Freeform: Shape 13">
              <a:extLst>
                <a:ext uri="{FF2B5EF4-FFF2-40B4-BE49-F238E27FC236}">
                  <a16:creationId xmlns:a16="http://schemas.microsoft.com/office/drawing/2014/main" id="{EB20A6EA-E4CC-6CC8-096E-6C1AE1361014}"/>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chemeClr val="bg1"/>
              </a:solidFill>
              <a:prstDash val="solid"/>
              <a:miter/>
            </a:ln>
          </xdr:spPr>
          <xdr:txBody>
            <a:bodyPr rtlCol="0" anchor="ctr"/>
            <a:lstStyle/>
            <a:p>
              <a:endParaRPr lang="ru-RU"/>
            </a:p>
          </xdr:txBody>
        </xdr:sp>
        <xdr:sp macro="" textlink="">
          <xdr:nvSpPr>
            <xdr:cNvPr id="15" name="Freeform: Shape 14">
              <a:extLst>
                <a:ext uri="{FF2B5EF4-FFF2-40B4-BE49-F238E27FC236}">
                  <a16:creationId xmlns:a16="http://schemas.microsoft.com/office/drawing/2014/main" id="{762BA0B0-0068-EDE5-1BF6-DC8D3F996E18}"/>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chemeClr val="bg1"/>
              </a:solidFill>
              <a:prstDash val="solid"/>
              <a:miter/>
            </a:ln>
          </xdr:spPr>
          <xdr:txBody>
            <a:bodyPr rtlCol="0" anchor="ctr"/>
            <a:lstStyle/>
            <a:p>
              <a:endParaRPr lang="ru-RU"/>
            </a:p>
          </xdr:txBody>
        </xdr:sp>
      </xdr:grpSp>
    </xdr:grpSp>
    <xdr:clientData/>
  </xdr:twoCellAnchor>
  <xdr:twoCellAnchor>
    <xdr:from>
      <xdr:col>17</xdr:col>
      <xdr:colOff>239826</xdr:colOff>
      <xdr:row>8</xdr:row>
      <xdr:rowOff>65315</xdr:rowOff>
    </xdr:from>
    <xdr:to>
      <xdr:col>22</xdr:col>
      <xdr:colOff>475008</xdr:colOff>
      <xdr:row>12</xdr:row>
      <xdr:rowOff>130629</xdr:rowOff>
    </xdr:to>
    <xdr:sp macro="" textlink="Processing!B4">
      <xdr:nvSpPr>
        <xdr:cNvPr id="16" name="TextBox 15">
          <a:extLst>
            <a:ext uri="{FF2B5EF4-FFF2-40B4-BE49-F238E27FC236}">
              <a16:creationId xmlns:a16="http://schemas.microsoft.com/office/drawing/2014/main" id="{05C18B6B-DF98-41E9-BCBE-F4D4131EC3FF}"/>
            </a:ext>
          </a:extLst>
        </xdr:cNvPr>
        <xdr:cNvSpPr txBox="1"/>
      </xdr:nvSpPr>
      <xdr:spPr>
        <a:xfrm>
          <a:off x="10603026" y="1528355"/>
          <a:ext cx="3283182"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36422D-0FC2-41A2-BD2B-94815EC06F19}" type="TxLink">
            <a:rPr lang="en-US" sz="4000" b="0" i="0" u="none" strike="noStrike">
              <a:solidFill>
                <a:srgbClr val="006966"/>
              </a:solidFill>
              <a:latin typeface="Aptos Narrow"/>
            </a:rPr>
            <a:pPr algn="ctr"/>
            <a:t> $5,000 </a:t>
          </a:fld>
          <a:endParaRPr lang="ru-RU" sz="4000" b="0">
            <a:solidFill>
              <a:srgbClr val="006966"/>
            </a:solidFill>
          </a:endParaRPr>
        </a:p>
      </xdr:txBody>
    </xdr:sp>
    <xdr:clientData/>
  </xdr:twoCellAnchor>
  <xdr:twoCellAnchor>
    <xdr:from>
      <xdr:col>6</xdr:col>
      <xdr:colOff>157844</xdr:colOff>
      <xdr:row>12</xdr:row>
      <xdr:rowOff>54429</xdr:rowOff>
    </xdr:from>
    <xdr:to>
      <xdr:col>9</xdr:col>
      <xdr:colOff>571502</xdr:colOff>
      <xdr:row>15</xdr:row>
      <xdr:rowOff>10887</xdr:rowOff>
    </xdr:to>
    <xdr:sp macro="" textlink="Processing!A2">
      <xdr:nvSpPr>
        <xdr:cNvPr id="17" name="TextBox 16">
          <a:extLst>
            <a:ext uri="{FF2B5EF4-FFF2-40B4-BE49-F238E27FC236}">
              <a16:creationId xmlns:a16="http://schemas.microsoft.com/office/drawing/2014/main" id="{C83D5D22-374A-4464-8D5E-34A2301D9537}"/>
            </a:ext>
          </a:extLst>
        </xdr:cNvPr>
        <xdr:cNvSpPr txBox="1"/>
      </xdr:nvSpPr>
      <xdr:spPr>
        <a:xfrm>
          <a:off x="3815444"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FD6D120-AE2D-4647-992D-328FDEDCAD81}" type="TxLink">
            <a:rPr lang="en-US" sz="2000" b="0" i="0" u="none" strike="noStrike">
              <a:solidFill>
                <a:srgbClr val="006966"/>
              </a:solidFill>
              <a:latin typeface="Aptos Narrow"/>
              <a:ea typeface="+mn-ea"/>
              <a:cs typeface="+mn-cs"/>
            </a:rPr>
            <a:pPr marL="0" indent="0" algn="ctr"/>
            <a:t>Visitors &amp; Buyers</a:t>
          </a:fld>
          <a:endParaRPr lang="ru-RU" sz="2000" b="0" i="0" u="none" strike="noStrike">
            <a:solidFill>
              <a:srgbClr val="006966"/>
            </a:solidFill>
            <a:latin typeface="Aptos Narrow"/>
            <a:ea typeface="+mn-ea"/>
            <a:cs typeface="+mn-cs"/>
          </a:endParaRPr>
        </a:p>
      </xdr:txBody>
    </xdr:sp>
    <xdr:clientData/>
  </xdr:twoCellAnchor>
  <xdr:twoCellAnchor>
    <xdr:from>
      <xdr:col>7</xdr:col>
      <xdr:colOff>87085</xdr:colOff>
      <xdr:row>8</xdr:row>
      <xdr:rowOff>87086</xdr:rowOff>
    </xdr:from>
    <xdr:to>
      <xdr:col>10</xdr:col>
      <xdr:colOff>500743</xdr:colOff>
      <xdr:row>12</xdr:row>
      <xdr:rowOff>152400</xdr:rowOff>
    </xdr:to>
    <xdr:sp macro="" textlink="Processing!B2">
      <xdr:nvSpPr>
        <xdr:cNvPr id="18" name="TextBox 17">
          <a:extLst>
            <a:ext uri="{FF2B5EF4-FFF2-40B4-BE49-F238E27FC236}">
              <a16:creationId xmlns:a16="http://schemas.microsoft.com/office/drawing/2014/main" id="{DF9A4FFB-7325-4524-B86A-C81047843371}"/>
            </a:ext>
          </a:extLst>
        </xdr:cNvPr>
        <xdr:cNvSpPr txBox="1"/>
      </xdr:nvSpPr>
      <xdr:spPr>
        <a:xfrm>
          <a:off x="4354285" y="1550126"/>
          <a:ext cx="2242458"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240F2C31-A97C-41B3-8A16-9FDA3F3B6158}" type="TxLink">
            <a:rPr lang="en-US" sz="4000" b="0" i="0" u="none" strike="noStrike">
              <a:solidFill>
                <a:srgbClr val="006966"/>
              </a:solidFill>
              <a:latin typeface="Aptos Narrow"/>
              <a:ea typeface="+mn-ea"/>
              <a:cs typeface="+mn-cs"/>
            </a:rPr>
            <a:pPr marL="0" indent="0"/>
            <a:t> 8 333</a:t>
          </a:fld>
          <a:endParaRPr lang="ru-RU" sz="4000" b="0" i="0" u="none" strike="noStrike">
            <a:solidFill>
              <a:srgbClr val="006966"/>
            </a:solidFill>
            <a:latin typeface="Aptos Narrow"/>
            <a:ea typeface="+mn-ea"/>
            <a:cs typeface="+mn-cs"/>
          </a:endParaRPr>
        </a:p>
      </xdr:txBody>
    </xdr:sp>
    <xdr:clientData/>
  </xdr:twoCellAnchor>
  <xdr:twoCellAnchor>
    <xdr:from>
      <xdr:col>18</xdr:col>
      <xdr:colOff>150588</xdr:colOff>
      <xdr:row>12</xdr:row>
      <xdr:rowOff>54429</xdr:rowOff>
    </xdr:from>
    <xdr:to>
      <xdr:col>21</xdr:col>
      <xdr:colOff>564246</xdr:colOff>
      <xdr:row>15</xdr:row>
      <xdr:rowOff>10887</xdr:rowOff>
    </xdr:to>
    <xdr:sp macro="" textlink="Processing!A4">
      <xdr:nvSpPr>
        <xdr:cNvPr id="19" name="TextBox 18">
          <a:extLst>
            <a:ext uri="{FF2B5EF4-FFF2-40B4-BE49-F238E27FC236}">
              <a16:creationId xmlns:a16="http://schemas.microsoft.com/office/drawing/2014/main" id="{1565B496-9212-41C7-B5DB-C99B3901F2FE}"/>
            </a:ext>
          </a:extLst>
        </xdr:cNvPr>
        <xdr:cNvSpPr txBox="1"/>
      </xdr:nvSpPr>
      <xdr:spPr>
        <a:xfrm>
          <a:off x="11123388"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A9DEBBE-8346-447D-BB37-708CEF2642B0}" type="TxLink">
            <a:rPr lang="en-US" sz="2000" b="0" i="0" u="none" strike="noStrike">
              <a:solidFill>
                <a:srgbClr val="006966"/>
              </a:solidFill>
              <a:latin typeface="Aptos Narrow"/>
              <a:ea typeface="+mn-ea"/>
              <a:cs typeface="+mn-cs"/>
            </a:rPr>
            <a:pPr marL="0" indent="0" algn="ctr"/>
            <a:t>Profit</a:t>
          </a:fld>
          <a:endParaRPr lang="ru-RU" sz="2000" b="0" i="0" u="none" strike="noStrike">
            <a:solidFill>
              <a:srgbClr val="006966"/>
            </a:solidFill>
            <a:latin typeface="Aptos Narrow"/>
            <a:ea typeface="+mn-ea"/>
            <a:cs typeface="+mn-cs"/>
          </a:endParaRPr>
        </a:p>
      </xdr:txBody>
    </xdr:sp>
    <xdr:clientData/>
  </xdr:twoCellAnchor>
  <xdr:twoCellAnchor>
    <xdr:from>
      <xdr:col>12</xdr:col>
      <xdr:colOff>154216</xdr:colOff>
      <xdr:row>12</xdr:row>
      <xdr:rowOff>54429</xdr:rowOff>
    </xdr:from>
    <xdr:to>
      <xdr:col>15</xdr:col>
      <xdr:colOff>567874</xdr:colOff>
      <xdr:row>15</xdr:row>
      <xdr:rowOff>10887</xdr:rowOff>
    </xdr:to>
    <xdr:sp macro="" textlink="Processing!A3">
      <xdr:nvSpPr>
        <xdr:cNvPr id="20" name="TextBox 19">
          <a:extLst>
            <a:ext uri="{FF2B5EF4-FFF2-40B4-BE49-F238E27FC236}">
              <a16:creationId xmlns:a16="http://schemas.microsoft.com/office/drawing/2014/main" id="{6504E09A-5D4C-47C6-B667-C2EF82B1ABA9}"/>
            </a:ext>
          </a:extLst>
        </xdr:cNvPr>
        <xdr:cNvSpPr txBox="1"/>
      </xdr:nvSpPr>
      <xdr:spPr>
        <a:xfrm>
          <a:off x="7469416"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E57684-9217-4499-B71C-F68E1CC46AAC}" type="TxLink">
            <a:rPr lang="en-US" sz="2000" b="0" i="0" u="none" strike="noStrike">
              <a:solidFill>
                <a:schemeClr val="tx1"/>
              </a:solidFill>
              <a:latin typeface="Aptos Narrow"/>
              <a:ea typeface="+mn-ea"/>
              <a:cs typeface="+mn-cs"/>
            </a:rPr>
            <a:pPr marL="0" indent="0" algn="ctr"/>
            <a:t>Conversion</a:t>
          </a:fld>
          <a:endParaRPr lang="ru-RU" sz="2000" b="0" i="0" u="none" strike="noStrike">
            <a:solidFill>
              <a:schemeClr val="tx1"/>
            </a:solidFill>
            <a:latin typeface="Aptos Narrow"/>
            <a:ea typeface="+mn-ea"/>
            <a:cs typeface="+mn-cs"/>
          </a:endParaRPr>
        </a:p>
      </xdr:txBody>
    </xdr:sp>
    <xdr:clientData/>
  </xdr:twoCellAnchor>
  <xdr:twoCellAnchor>
    <xdr:from>
      <xdr:col>24</xdr:col>
      <xdr:colOff>146959</xdr:colOff>
      <xdr:row>12</xdr:row>
      <xdr:rowOff>54429</xdr:rowOff>
    </xdr:from>
    <xdr:to>
      <xdr:col>27</xdr:col>
      <xdr:colOff>560617</xdr:colOff>
      <xdr:row>15</xdr:row>
      <xdr:rowOff>10887</xdr:rowOff>
    </xdr:to>
    <xdr:sp macro="" textlink="Processing!A5">
      <xdr:nvSpPr>
        <xdr:cNvPr id="21" name="TextBox 20">
          <a:extLst>
            <a:ext uri="{FF2B5EF4-FFF2-40B4-BE49-F238E27FC236}">
              <a16:creationId xmlns:a16="http://schemas.microsoft.com/office/drawing/2014/main" id="{AF5EFCED-DB6B-4EA6-BAA6-0E525D4D607B}"/>
            </a:ext>
          </a:extLst>
        </xdr:cNvPr>
        <xdr:cNvSpPr txBox="1"/>
      </xdr:nvSpPr>
      <xdr:spPr>
        <a:xfrm>
          <a:off x="14777359"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820461C-9777-4679-AB52-370EB19E43D2}" type="TxLink">
            <a:rPr lang="en-US" sz="2000" b="0" i="0" u="none" strike="noStrike">
              <a:solidFill>
                <a:srgbClr val="006966"/>
              </a:solidFill>
              <a:latin typeface="Aptos Narrow"/>
              <a:ea typeface="+mn-ea"/>
              <a:cs typeface="+mn-cs"/>
            </a:rPr>
            <a:pPr marL="0" indent="0" algn="ctr"/>
            <a:t>Tasks</a:t>
          </a:fld>
          <a:endParaRPr lang="ru-RU" sz="2000" b="0" i="0" u="none" strike="noStrike">
            <a:solidFill>
              <a:srgbClr val="006966"/>
            </a:solidFill>
            <a:latin typeface="Aptos Narrow"/>
            <a:ea typeface="+mn-ea"/>
            <a:cs typeface="+mn-cs"/>
          </a:endParaRPr>
        </a:p>
      </xdr:txBody>
    </xdr:sp>
    <xdr:clientData/>
  </xdr:twoCellAnchor>
  <xdr:twoCellAnchor>
    <xdr:from>
      <xdr:col>23</xdr:col>
      <xdr:colOff>236197</xdr:colOff>
      <xdr:row>8</xdr:row>
      <xdr:rowOff>65315</xdr:rowOff>
    </xdr:from>
    <xdr:to>
      <xdr:col>28</xdr:col>
      <xdr:colOff>471379</xdr:colOff>
      <xdr:row>12</xdr:row>
      <xdr:rowOff>130629</xdr:rowOff>
    </xdr:to>
    <xdr:sp macro="" textlink="Processing!B5">
      <xdr:nvSpPr>
        <xdr:cNvPr id="22" name="TextBox 21">
          <a:extLst>
            <a:ext uri="{FF2B5EF4-FFF2-40B4-BE49-F238E27FC236}">
              <a16:creationId xmlns:a16="http://schemas.microsoft.com/office/drawing/2014/main" id="{5C79B028-FE72-48D2-B4E4-2E80C91C7BB2}"/>
            </a:ext>
          </a:extLst>
        </xdr:cNvPr>
        <xdr:cNvSpPr txBox="1"/>
      </xdr:nvSpPr>
      <xdr:spPr>
        <a:xfrm>
          <a:off x="14256997" y="1528355"/>
          <a:ext cx="3283182"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0F5DE64-5D30-46C9-8D72-8469227D94C4}" type="TxLink">
            <a:rPr lang="en-US" sz="4000" b="0" i="0" u="none" strike="noStrike">
              <a:solidFill>
                <a:srgbClr val="006966"/>
              </a:solidFill>
              <a:latin typeface="Aptos Narrow"/>
              <a:ea typeface="+mn-ea"/>
              <a:cs typeface="+mn-cs"/>
            </a:rPr>
            <a:pPr marL="0" indent="0" algn="ctr"/>
            <a:t>13%</a:t>
          </a:fld>
          <a:endParaRPr lang="ru-RU" sz="4000" b="0" i="0" u="none" strike="noStrike">
            <a:solidFill>
              <a:srgbClr val="006966"/>
            </a:solidFill>
            <a:latin typeface="Aptos Narrow"/>
            <a:ea typeface="+mn-ea"/>
            <a:cs typeface="+mn-cs"/>
          </a:endParaRPr>
        </a:p>
      </xdr:txBody>
    </xdr:sp>
    <xdr:clientData/>
  </xdr:twoCellAnchor>
  <xdr:twoCellAnchor>
    <xdr:from>
      <xdr:col>13</xdr:col>
      <xdr:colOff>515021</xdr:colOff>
      <xdr:row>8</xdr:row>
      <xdr:rowOff>87086</xdr:rowOff>
    </xdr:from>
    <xdr:to>
      <xdr:col>15</xdr:col>
      <xdr:colOff>446556</xdr:colOff>
      <xdr:row>12</xdr:row>
      <xdr:rowOff>152400</xdr:rowOff>
    </xdr:to>
    <xdr:sp macro="" textlink="Processing!B3">
      <xdr:nvSpPr>
        <xdr:cNvPr id="23" name="TextBox 22">
          <a:extLst>
            <a:ext uri="{FF2B5EF4-FFF2-40B4-BE49-F238E27FC236}">
              <a16:creationId xmlns:a16="http://schemas.microsoft.com/office/drawing/2014/main" id="{EEC1BA0B-FFED-4CC3-9DED-5CA35E0D6421}"/>
            </a:ext>
          </a:extLst>
        </xdr:cNvPr>
        <xdr:cNvSpPr txBox="1"/>
      </xdr:nvSpPr>
      <xdr:spPr>
        <a:xfrm>
          <a:off x="8439821" y="1550126"/>
          <a:ext cx="1150735"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34A42E-9298-41DF-B854-5D07C1F7CD8F}" type="TxLink">
            <a:rPr lang="en-US" sz="4000" b="0" i="0" u="none" strike="noStrike">
              <a:solidFill>
                <a:schemeClr val="bg1"/>
              </a:solidFill>
              <a:latin typeface="Aptos Narrow"/>
              <a:ea typeface="+mn-ea"/>
              <a:cs typeface="+mn-cs"/>
            </a:rPr>
            <a:pPr marL="0" indent="0" algn="ctr"/>
            <a:t>16%</a:t>
          </a:fld>
          <a:endParaRPr lang="ru-RU" sz="4000" b="0" i="0" u="none" strike="noStrike">
            <a:solidFill>
              <a:schemeClr val="bg1"/>
            </a:solidFill>
            <a:latin typeface="Aptos Narrow"/>
            <a:ea typeface="+mn-ea"/>
            <a:cs typeface="+mn-cs"/>
          </a:endParaRPr>
        </a:p>
      </xdr:txBody>
    </xdr:sp>
    <xdr:clientData/>
  </xdr:twoCellAnchor>
  <xdr:twoCellAnchor>
    <xdr:from>
      <xdr:col>12</xdr:col>
      <xdr:colOff>304683</xdr:colOff>
      <xdr:row>8</xdr:row>
      <xdr:rowOff>10887</xdr:rowOff>
    </xdr:from>
    <xdr:to>
      <xdr:col>13</xdr:col>
      <xdr:colOff>563763</xdr:colOff>
      <xdr:row>12</xdr:row>
      <xdr:rowOff>139338</xdr:rowOff>
    </xdr:to>
    <xdr:graphicFrame macro="">
      <xdr:nvGraphicFramePr>
        <xdr:cNvPr id="24" name="Chart 23">
          <a:extLst>
            <a:ext uri="{FF2B5EF4-FFF2-40B4-BE49-F238E27FC236}">
              <a16:creationId xmlns:a16="http://schemas.microsoft.com/office/drawing/2014/main" id="{6F4B7AC6-D8C6-4229-8BE5-7B3D244E3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597628</xdr:colOff>
      <xdr:row>7</xdr:row>
      <xdr:rowOff>1</xdr:rowOff>
    </xdr:from>
    <xdr:to>
      <xdr:col>28</xdr:col>
      <xdr:colOff>109948</xdr:colOff>
      <xdr:row>9</xdr:row>
      <xdr:rowOff>87087</xdr:rowOff>
    </xdr:to>
    <xdr:graphicFrame macro="">
      <xdr:nvGraphicFramePr>
        <xdr:cNvPr id="25" name="Chart 24">
          <a:extLst>
            <a:ext uri="{FF2B5EF4-FFF2-40B4-BE49-F238E27FC236}">
              <a16:creationId xmlns:a16="http://schemas.microsoft.com/office/drawing/2014/main" id="{5D400475-5ADE-4EA1-B8B0-8AB46884B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424544</xdr:colOff>
      <xdr:row>18</xdr:row>
      <xdr:rowOff>17930</xdr:rowOff>
    </xdr:from>
    <xdr:to>
      <xdr:col>28</xdr:col>
      <xdr:colOff>540444</xdr:colOff>
      <xdr:row>37</xdr:row>
      <xdr:rowOff>143435</xdr:rowOff>
    </xdr:to>
    <xdr:graphicFrame macro="">
      <xdr:nvGraphicFramePr>
        <xdr:cNvPr id="26" name="Chart 25">
          <a:extLst>
            <a:ext uri="{FF2B5EF4-FFF2-40B4-BE49-F238E27FC236}">
              <a16:creationId xmlns:a16="http://schemas.microsoft.com/office/drawing/2014/main" id="{7BA1F376-5EC2-4FD4-A215-1CB546648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326571</xdr:colOff>
      <xdr:row>16</xdr:row>
      <xdr:rowOff>2</xdr:rowOff>
    </xdr:from>
    <xdr:to>
      <xdr:col>17</xdr:col>
      <xdr:colOff>448491</xdr:colOff>
      <xdr:row>39</xdr:row>
      <xdr:rowOff>132807</xdr:rowOff>
    </xdr:to>
    <xdr:graphicFrame macro="">
      <xdr:nvGraphicFramePr>
        <xdr:cNvPr id="28" name="Chart 27">
          <a:extLst>
            <a:ext uri="{FF2B5EF4-FFF2-40B4-BE49-F238E27FC236}">
              <a16:creationId xmlns:a16="http://schemas.microsoft.com/office/drawing/2014/main" id="{5BC47895-7C7F-4470-BB50-D4C609C86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553174</xdr:colOff>
      <xdr:row>26</xdr:row>
      <xdr:rowOff>46810</xdr:rowOff>
    </xdr:from>
    <xdr:to>
      <xdr:col>15</xdr:col>
      <xdr:colOff>256003</xdr:colOff>
      <xdr:row>31</xdr:row>
      <xdr:rowOff>7622</xdr:rowOff>
    </xdr:to>
    <xdr:sp macro="" textlink="Processing!B3">
      <xdr:nvSpPr>
        <xdr:cNvPr id="29" name="TextBox 28">
          <a:extLst>
            <a:ext uri="{FF2B5EF4-FFF2-40B4-BE49-F238E27FC236}">
              <a16:creationId xmlns:a16="http://schemas.microsoft.com/office/drawing/2014/main" id="{F0CF3AE1-E11C-E1E1-681E-C365BD2B55B1}"/>
            </a:ext>
          </a:extLst>
        </xdr:cNvPr>
        <xdr:cNvSpPr txBox="1"/>
      </xdr:nvSpPr>
      <xdr:spPr>
        <a:xfrm>
          <a:off x="7868374" y="4858296"/>
          <a:ext cx="1531629" cy="886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34A42E-9298-41DF-B854-5D07C1F7CD8F}" type="TxLink">
            <a:rPr lang="en-US" sz="5400" b="0" i="0" u="none" strike="noStrike">
              <a:solidFill>
                <a:srgbClr val="006966"/>
              </a:solidFill>
              <a:latin typeface="Aptos Narrow"/>
              <a:ea typeface="+mn-ea"/>
              <a:cs typeface="+mn-cs"/>
            </a:rPr>
            <a:pPr marL="0" indent="0" algn="ctr"/>
            <a:t>16%</a:t>
          </a:fld>
          <a:endParaRPr lang="ru-RU" sz="5400" b="0" i="0" u="none" strike="noStrike">
            <a:solidFill>
              <a:srgbClr val="006966"/>
            </a:solidFill>
            <a:latin typeface="Aptos Narrow"/>
            <a:ea typeface="+mn-ea"/>
            <a:cs typeface="+mn-cs"/>
          </a:endParaRPr>
        </a:p>
      </xdr:txBody>
    </xdr:sp>
    <xdr:clientData/>
  </xdr:twoCellAnchor>
  <xdr:twoCellAnchor editAs="oneCell">
    <xdr:from>
      <xdr:col>23</xdr:col>
      <xdr:colOff>261259</xdr:colOff>
      <xdr:row>41</xdr:row>
      <xdr:rowOff>65313</xdr:rowOff>
    </xdr:from>
    <xdr:to>
      <xdr:col>28</xdr:col>
      <xdr:colOff>30755</xdr:colOff>
      <xdr:row>44</xdr:row>
      <xdr:rowOff>58782</xdr:rowOff>
    </xdr:to>
    <mc:AlternateContent xmlns:mc="http://schemas.openxmlformats.org/markup-compatibility/2006" xmlns:a14="http://schemas.microsoft.com/office/drawing/2010/main">
      <mc:Choice Requires="a14">
        <xdr:graphicFrame macro="">
          <xdr:nvGraphicFramePr>
            <xdr:cNvPr id="27" name="Year 1">
              <a:extLst>
                <a:ext uri="{FF2B5EF4-FFF2-40B4-BE49-F238E27FC236}">
                  <a16:creationId xmlns:a16="http://schemas.microsoft.com/office/drawing/2014/main" id="{2DA214E8-0194-428B-8C3C-63B68A68AB0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282059" y="7652656"/>
              <a:ext cx="2817496" cy="5486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435431</xdr:colOff>
      <xdr:row>42</xdr:row>
      <xdr:rowOff>11976</xdr:rowOff>
    </xdr:from>
    <xdr:to>
      <xdr:col>21</xdr:col>
      <xdr:colOff>69671</xdr:colOff>
      <xdr:row>44</xdr:row>
      <xdr:rowOff>65317</xdr:rowOff>
    </xdr:to>
    <mc:AlternateContent xmlns:mc="http://schemas.openxmlformats.org/markup-compatibility/2006" xmlns:a14="http://schemas.microsoft.com/office/drawing/2010/main">
      <mc:Choice Requires="a14">
        <xdr:graphicFrame macro="">
          <xdr:nvGraphicFramePr>
            <xdr:cNvPr id="30" name="Month 1">
              <a:extLst>
                <a:ext uri="{FF2B5EF4-FFF2-40B4-BE49-F238E27FC236}">
                  <a16:creationId xmlns:a16="http://schemas.microsoft.com/office/drawing/2014/main" id="{BFAD2E0D-220D-4E16-89CD-258F0B79DF6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4093031" y="7784376"/>
              <a:ext cx="8778240" cy="42345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261257</xdr:colOff>
      <xdr:row>7</xdr:row>
      <xdr:rowOff>21771</xdr:rowOff>
    </xdr:from>
    <xdr:to>
      <xdr:col>10</xdr:col>
      <xdr:colOff>435428</xdr:colOff>
      <xdr:row>14</xdr:row>
      <xdr:rowOff>130629</xdr:rowOff>
    </xdr:to>
    <xdr:sp macro="" textlink="">
      <xdr:nvSpPr>
        <xdr:cNvPr id="31" name="Rectangle 30">
          <a:hlinkClick xmlns:r="http://schemas.openxmlformats.org/officeDocument/2006/relationships" r:id="rId7"/>
          <a:extLst>
            <a:ext uri="{FF2B5EF4-FFF2-40B4-BE49-F238E27FC236}">
              <a16:creationId xmlns:a16="http://schemas.microsoft.com/office/drawing/2014/main" id="{0D0C5E80-A11D-4476-BF40-4DFBFE6C4EA7}"/>
            </a:ext>
          </a:extLst>
        </xdr:cNvPr>
        <xdr:cNvSpPr/>
      </xdr:nvSpPr>
      <xdr:spPr>
        <a:xfrm>
          <a:off x="3309257" y="1317171"/>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239485</xdr:colOff>
      <xdr:row>7</xdr:row>
      <xdr:rowOff>21771</xdr:rowOff>
    </xdr:from>
    <xdr:to>
      <xdr:col>22</xdr:col>
      <xdr:colOff>413656</xdr:colOff>
      <xdr:row>14</xdr:row>
      <xdr:rowOff>130629</xdr:rowOff>
    </xdr:to>
    <xdr:sp macro="" textlink="">
      <xdr:nvSpPr>
        <xdr:cNvPr id="33" name="Rectangle 32">
          <a:hlinkClick xmlns:r="http://schemas.openxmlformats.org/officeDocument/2006/relationships" r:id="rId8"/>
          <a:extLst>
            <a:ext uri="{FF2B5EF4-FFF2-40B4-BE49-F238E27FC236}">
              <a16:creationId xmlns:a16="http://schemas.microsoft.com/office/drawing/2014/main" id="{FC368F3B-D1F0-4697-A98D-822E26A93D98}"/>
            </a:ext>
          </a:extLst>
        </xdr:cNvPr>
        <xdr:cNvSpPr/>
      </xdr:nvSpPr>
      <xdr:spPr>
        <a:xfrm>
          <a:off x="10602685" y="1317171"/>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250371</xdr:colOff>
      <xdr:row>7</xdr:row>
      <xdr:rowOff>21771</xdr:rowOff>
    </xdr:from>
    <xdr:to>
      <xdr:col>28</xdr:col>
      <xdr:colOff>424542</xdr:colOff>
      <xdr:row>14</xdr:row>
      <xdr:rowOff>130629</xdr:rowOff>
    </xdr:to>
    <xdr:sp macro="" textlink="">
      <xdr:nvSpPr>
        <xdr:cNvPr id="34" name="Rectangle 33">
          <a:hlinkClick xmlns:r="http://schemas.openxmlformats.org/officeDocument/2006/relationships" r:id="rId9"/>
          <a:extLst>
            <a:ext uri="{FF2B5EF4-FFF2-40B4-BE49-F238E27FC236}">
              <a16:creationId xmlns:a16="http://schemas.microsoft.com/office/drawing/2014/main" id="{BDDB3637-E44D-42E2-AF06-F4A5DA327325}"/>
            </a:ext>
          </a:extLst>
        </xdr:cNvPr>
        <xdr:cNvSpPr/>
      </xdr:nvSpPr>
      <xdr:spPr>
        <a:xfrm>
          <a:off x="14271171" y="1317171"/>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3</xdr:col>
      <xdr:colOff>424541</xdr:colOff>
      <xdr:row>17</xdr:row>
      <xdr:rowOff>163283</xdr:rowOff>
    </xdr:from>
    <xdr:to>
      <xdr:col>4</xdr:col>
      <xdr:colOff>363581</xdr:colOff>
      <xdr:row>20</xdr:row>
      <xdr:rowOff>156751</xdr:rowOff>
    </xdr:to>
    <xdr:pic>
      <xdr:nvPicPr>
        <xdr:cNvPr id="35" name="Graphic 34" descr="Bar chart outline">
          <a:hlinkClick xmlns:r="http://schemas.openxmlformats.org/officeDocument/2006/relationships" r:id="rId10"/>
          <a:extLst>
            <a:ext uri="{FF2B5EF4-FFF2-40B4-BE49-F238E27FC236}">
              <a16:creationId xmlns:a16="http://schemas.microsoft.com/office/drawing/2014/main" id="{15938DA4-3B9C-4689-8F26-C5513A91E8F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253341" y="3309254"/>
          <a:ext cx="548640" cy="548640"/>
        </a:xfrm>
        <a:prstGeom prst="rect">
          <a:avLst/>
        </a:prstGeom>
      </xdr:spPr>
    </xdr:pic>
    <xdr:clientData/>
  </xdr:twoCellAnchor>
  <xdr:twoCellAnchor>
    <xdr:from>
      <xdr:col>3</xdr:col>
      <xdr:colOff>337459</xdr:colOff>
      <xdr:row>24</xdr:row>
      <xdr:rowOff>129539</xdr:rowOff>
    </xdr:from>
    <xdr:to>
      <xdr:col>4</xdr:col>
      <xdr:colOff>459379</xdr:colOff>
      <xdr:row>28</xdr:row>
      <xdr:rowOff>120830</xdr:rowOff>
    </xdr:to>
    <xdr:graphicFrame macro="">
      <xdr:nvGraphicFramePr>
        <xdr:cNvPr id="36" name="Chart 35">
          <a:extLst>
            <a:ext uri="{FF2B5EF4-FFF2-40B4-BE49-F238E27FC236}">
              <a16:creationId xmlns:a16="http://schemas.microsoft.com/office/drawing/2014/main" id="{5A455ACA-23FE-4777-8F89-0C64A326A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3</xdr:col>
      <xdr:colOff>424543</xdr:colOff>
      <xdr:row>29</xdr:row>
      <xdr:rowOff>9251</xdr:rowOff>
    </xdr:from>
    <xdr:to>
      <xdr:col>4</xdr:col>
      <xdr:colOff>363583</xdr:colOff>
      <xdr:row>32</xdr:row>
      <xdr:rowOff>2719</xdr:rowOff>
    </xdr:to>
    <xdr:pic>
      <xdr:nvPicPr>
        <xdr:cNvPr id="37" name="Graphic 36" descr="Money outline">
          <a:hlinkClick xmlns:r="http://schemas.openxmlformats.org/officeDocument/2006/relationships" r:id="rId8"/>
          <a:extLst>
            <a:ext uri="{FF2B5EF4-FFF2-40B4-BE49-F238E27FC236}">
              <a16:creationId xmlns:a16="http://schemas.microsoft.com/office/drawing/2014/main" id="{B7E7ED84-8184-4E29-A08E-38860373FE4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253343" y="5375908"/>
          <a:ext cx="548640" cy="548640"/>
        </a:xfrm>
        <a:prstGeom prst="rect">
          <a:avLst/>
        </a:prstGeom>
      </xdr:spPr>
    </xdr:pic>
    <xdr:clientData/>
  </xdr:twoCellAnchor>
  <xdr:twoCellAnchor>
    <xdr:from>
      <xdr:col>3</xdr:col>
      <xdr:colOff>468085</xdr:colOff>
      <xdr:row>21</xdr:row>
      <xdr:rowOff>99602</xdr:rowOff>
    </xdr:from>
    <xdr:to>
      <xdr:col>4</xdr:col>
      <xdr:colOff>407125</xdr:colOff>
      <xdr:row>24</xdr:row>
      <xdr:rowOff>1631</xdr:rowOff>
    </xdr:to>
    <xdr:grpSp>
      <xdr:nvGrpSpPr>
        <xdr:cNvPr id="38" name="Group 37">
          <a:hlinkClick xmlns:r="http://schemas.openxmlformats.org/officeDocument/2006/relationships" r:id="rId7"/>
          <a:extLst>
            <a:ext uri="{FF2B5EF4-FFF2-40B4-BE49-F238E27FC236}">
              <a16:creationId xmlns:a16="http://schemas.microsoft.com/office/drawing/2014/main" id="{BB2656D8-2311-4AD3-90D9-E0FDF19BC3EE}"/>
            </a:ext>
          </a:extLst>
        </xdr:cNvPr>
        <xdr:cNvGrpSpPr/>
      </xdr:nvGrpSpPr>
      <xdr:grpSpPr>
        <a:xfrm>
          <a:off x="2226547" y="4070794"/>
          <a:ext cx="525193" cy="473529"/>
          <a:chOff x="6520543" y="3673855"/>
          <a:chExt cx="923590" cy="804672"/>
        </a:xfrm>
        <a:solidFill>
          <a:schemeClr val="bg1"/>
        </a:solidFill>
      </xdr:grpSpPr>
      <xdr:pic>
        <xdr:nvPicPr>
          <xdr:cNvPr id="39" name="Graphic 38" descr="User with solid fill">
            <a:extLst>
              <a:ext uri="{FF2B5EF4-FFF2-40B4-BE49-F238E27FC236}">
                <a16:creationId xmlns:a16="http://schemas.microsoft.com/office/drawing/2014/main" id="{19D67169-809B-FA98-DBDD-5E7961FA07B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639461" y="3673855"/>
            <a:ext cx="804672" cy="804672"/>
          </a:xfrm>
          <a:prstGeom prst="rect">
            <a:avLst/>
          </a:prstGeom>
        </xdr:spPr>
      </xdr:pic>
      <xdr:grpSp>
        <xdr:nvGrpSpPr>
          <xdr:cNvPr id="40" name="Graphic 15" descr="User with solid fill">
            <a:extLst>
              <a:ext uri="{FF2B5EF4-FFF2-40B4-BE49-F238E27FC236}">
                <a16:creationId xmlns:a16="http://schemas.microsoft.com/office/drawing/2014/main" id="{1A5E3F7C-3734-11A0-8EE9-84ED3F853029}"/>
              </a:ext>
            </a:extLst>
          </xdr:cNvPr>
          <xdr:cNvGrpSpPr/>
        </xdr:nvGrpSpPr>
        <xdr:grpSpPr>
          <a:xfrm>
            <a:off x="6520543" y="3801837"/>
            <a:ext cx="609600" cy="604156"/>
            <a:chOff x="8164286" y="3867151"/>
            <a:chExt cx="609600" cy="604156"/>
          </a:xfrm>
          <a:grpFill/>
        </xdr:grpSpPr>
        <xdr:sp macro="" textlink="">
          <xdr:nvSpPr>
            <xdr:cNvPr id="41" name="Freeform: Shape 40">
              <a:extLst>
                <a:ext uri="{FF2B5EF4-FFF2-40B4-BE49-F238E27FC236}">
                  <a16:creationId xmlns:a16="http://schemas.microsoft.com/office/drawing/2014/main" id="{C1B9B941-E7D2-9B64-5A3C-BC7049BC8421}"/>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06966"/>
              </a:solidFill>
              <a:prstDash val="solid"/>
              <a:miter/>
            </a:ln>
          </xdr:spPr>
          <xdr:txBody>
            <a:bodyPr rtlCol="0" anchor="ctr"/>
            <a:lstStyle/>
            <a:p>
              <a:endParaRPr lang="ru-RU"/>
            </a:p>
          </xdr:txBody>
        </xdr:sp>
        <xdr:sp macro="" textlink="">
          <xdr:nvSpPr>
            <xdr:cNvPr id="42" name="Freeform: Shape 41">
              <a:extLst>
                <a:ext uri="{FF2B5EF4-FFF2-40B4-BE49-F238E27FC236}">
                  <a16:creationId xmlns:a16="http://schemas.microsoft.com/office/drawing/2014/main" id="{920BFB65-8168-C80E-0571-B72BC11A2764}"/>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06966"/>
              </a:solidFill>
              <a:prstDash val="solid"/>
              <a:miter/>
            </a:ln>
          </xdr:spPr>
          <xdr:txBody>
            <a:bodyPr rtlCol="0" anchor="ctr"/>
            <a:lstStyle/>
            <a:p>
              <a:endParaRPr lang="ru-RU"/>
            </a:p>
          </xdr:txBody>
        </xdr:sp>
      </xdr:grpSp>
    </xdr:grpSp>
    <xdr:clientData/>
  </xdr:twoCellAnchor>
  <xdr:twoCellAnchor editAs="oneCell">
    <xdr:from>
      <xdr:col>3</xdr:col>
      <xdr:colOff>424543</xdr:colOff>
      <xdr:row>32</xdr:row>
      <xdr:rowOff>185055</xdr:rowOff>
    </xdr:from>
    <xdr:to>
      <xdr:col>4</xdr:col>
      <xdr:colOff>363583</xdr:colOff>
      <xdr:row>35</xdr:row>
      <xdr:rowOff>178524</xdr:rowOff>
    </xdr:to>
    <xdr:pic>
      <xdr:nvPicPr>
        <xdr:cNvPr id="43" name="Graphic 42" descr="Clipboard Mixed outline">
          <a:hlinkClick xmlns:r="http://schemas.openxmlformats.org/officeDocument/2006/relationships" r:id="rId9"/>
          <a:extLst>
            <a:ext uri="{FF2B5EF4-FFF2-40B4-BE49-F238E27FC236}">
              <a16:creationId xmlns:a16="http://schemas.microsoft.com/office/drawing/2014/main" id="{90E1B279-43B2-4E23-BD2B-778AB28BFD0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253343" y="6106884"/>
          <a:ext cx="548640" cy="548640"/>
        </a:xfrm>
        <a:prstGeom prst="rect">
          <a:avLst/>
        </a:prstGeom>
      </xdr:spPr>
    </xdr:pic>
    <xdr:clientData/>
  </xdr:twoCellAnchor>
  <xdr:twoCellAnchor>
    <xdr:from>
      <xdr:col>3</xdr:col>
      <xdr:colOff>424543</xdr:colOff>
      <xdr:row>25</xdr:row>
      <xdr:rowOff>10885</xdr:rowOff>
    </xdr:from>
    <xdr:to>
      <xdr:col>4</xdr:col>
      <xdr:colOff>391886</xdr:colOff>
      <xdr:row>28</xdr:row>
      <xdr:rowOff>32657</xdr:rowOff>
    </xdr:to>
    <xdr:sp macro="" textlink="">
      <xdr:nvSpPr>
        <xdr:cNvPr id="44" name="Rectangle 43">
          <a:hlinkClick xmlns:r="http://schemas.openxmlformats.org/officeDocument/2006/relationships" r:id="rId20"/>
          <a:extLst>
            <a:ext uri="{FF2B5EF4-FFF2-40B4-BE49-F238E27FC236}">
              <a16:creationId xmlns:a16="http://schemas.microsoft.com/office/drawing/2014/main" id="{5EF10ED1-237F-4012-AAFB-F3420B521F5E}"/>
            </a:ext>
          </a:extLst>
        </xdr:cNvPr>
        <xdr:cNvSpPr/>
      </xdr:nvSpPr>
      <xdr:spPr>
        <a:xfrm>
          <a:off x="2253343" y="4637314"/>
          <a:ext cx="576943" cy="5769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413656</xdr:colOff>
      <xdr:row>25</xdr:row>
      <xdr:rowOff>21772</xdr:rowOff>
    </xdr:from>
    <xdr:to>
      <xdr:col>4</xdr:col>
      <xdr:colOff>380999</xdr:colOff>
      <xdr:row>28</xdr:row>
      <xdr:rowOff>43544</xdr:rowOff>
    </xdr:to>
    <xdr:sp macro="" textlink="">
      <xdr:nvSpPr>
        <xdr:cNvPr id="45" name="Oval 44">
          <a:extLst>
            <a:ext uri="{FF2B5EF4-FFF2-40B4-BE49-F238E27FC236}">
              <a16:creationId xmlns:a16="http://schemas.microsoft.com/office/drawing/2014/main" id="{2AA9DFF7-4086-4840-B3B1-DD4896A8F91E}"/>
            </a:ext>
          </a:extLst>
        </xdr:cNvPr>
        <xdr:cNvSpPr/>
      </xdr:nvSpPr>
      <xdr:spPr>
        <a:xfrm>
          <a:off x="2242456" y="4648201"/>
          <a:ext cx="576943" cy="576943"/>
        </a:xfrm>
        <a:prstGeom prst="ellipse">
          <a:avLst/>
        </a:prstGeom>
        <a:solidFill>
          <a:srgbClr val="9FE1D8">
            <a:alpha val="4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594360</xdr:colOff>
      <xdr:row>33</xdr:row>
      <xdr:rowOff>38100</xdr:rowOff>
    </xdr:to>
    <xdr:sp macro="" textlink="">
      <xdr:nvSpPr>
        <xdr:cNvPr id="2" name="Right Triangle 2">
          <a:extLst>
            <a:ext uri="{FF2B5EF4-FFF2-40B4-BE49-F238E27FC236}">
              <a16:creationId xmlns:a16="http://schemas.microsoft.com/office/drawing/2014/main" id="{2011EA73-781E-4982-9460-FF33E77BE35D}"/>
            </a:ext>
          </a:extLst>
        </xdr:cNvPr>
        <xdr:cNvSpPr/>
      </xdr:nvSpPr>
      <xdr:spPr>
        <a:xfrm flipV="1">
          <a:off x="0" y="0"/>
          <a:ext cx="9128760" cy="6073140"/>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0 w 1303214"/>
            <a:gd name="connsiteY0" fmla="*/ 2217420 h 2320684"/>
            <a:gd name="connsiteX1" fmla="*/ 0 w 1303214"/>
            <a:gd name="connsiteY1" fmla="*/ 0 h 2320684"/>
            <a:gd name="connsiteX2" fmla="*/ 655320 w 1303214"/>
            <a:gd name="connsiteY2" fmla="*/ 685800 h 2320684"/>
            <a:gd name="connsiteX3" fmla="*/ 1287780 w 1303214"/>
            <a:gd name="connsiteY3" fmla="*/ 2217420 h 2320684"/>
            <a:gd name="connsiteX4" fmla="*/ 0 w 1303214"/>
            <a:gd name="connsiteY4" fmla="*/ 2217420 h 2320684"/>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249987"/>
        </a:solidFill>
        <a:ln w="9525">
          <a:solidFill>
            <a:srgbClr val="73C3A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10</xdr:col>
      <xdr:colOff>175260</xdr:colOff>
      <xdr:row>20</xdr:row>
      <xdr:rowOff>81836</xdr:rowOff>
    </xdr:to>
    <xdr:sp macro="" textlink="">
      <xdr:nvSpPr>
        <xdr:cNvPr id="3" name="Right Triangle 2">
          <a:extLst>
            <a:ext uri="{FF2B5EF4-FFF2-40B4-BE49-F238E27FC236}">
              <a16:creationId xmlns:a16="http://schemas.microsoft.com/office/drawing/2014/main" id="{B1DE0F91-34B6-4C3F-939B-A40C99F22FA1}"/>
            </a:ext>
          </a:extLst>
        </xdr:cNvPr>
        <xdr:cNvSpPr/>
      </xdr:nvSpPr>
      <xdr:spPr>
        <a:xfrm flipV="1">
          <a:off x="0" y="0"/>
          <a:ext cx="6271260" cy="3739436"/>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0 w 1303214"/>
            <a:gd name="connsiteY0" fmla="*/ 2217420 h 2320684"/>
            <a:gd name="connsiteX1" fmla="*/ 0 w 1303214"/>
            <a:gd name="connsiteY1" fmla="*/ 0 h 2320684"/>
            <a:gd name="connsiteX2" fmla="*/ 655320 w 1303214"/>
            <a:gd name="connsiteY2" fmla="*/ 685800 h 2320684"/>
            <a:gd name="connsiteX3" fmla="*/ 1287780 w 1303214"/>
            <a:gd name="connsiteY3" fmla="*/ 2217420 h 2320684"/>
            <a:gd name="connsiteX4" fmla="*/ 0 w 1303214"/>
            <a:gd name="connsiteY4" fmla="*/ 2217420 h 2320684"/>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3FA48E"/>
        </a:solidFill>
        <a:ln w="9525">
          <a:solidFill>
            <a:srgbClr val="73C3A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2</xdr:col>
      <xdr:colOff>487680</xdr:colOff>
      <xdr:row>11</xdr:row>
      <xdr:rowOff>107222</xdr:rowOff>
    </xdr:to>
    <xdr:sp macro="" textlink="">
      <xdr:nvSpPr>
        <xdr:cNvPr id="4" name="Right Triangle 2">
          <a:extLst>
            <a:ext uri="{FF2B5EF4-FFF2-40B4-BE49-F238E27FC236}">
              <a16:creationId xmlns:a16="http://schemas.microsoft.com/office/drawing/2014/main" id="{3B68558B-62DC-4BDB-A00E-46E85B969BAD}"/>
            </a:ext>
          </a:extLst>
        </xdr:cNvPr>
        <xdr:cNvSpPr/>
      </xdr:nvSpPr>
      <xdr:spPr>
        <a:xfrm flipV="1">
          <a:off x="0" y="0"/>
          <a:ext cx="1706880" cy="2118902"/>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49AA91"/>
        </a:solidFill>
        <a:ln w="9525">
          <a:solidFill>
            <a:srgbClr val="73C3AE"/>
          </a:solidFill>
        </a:ln>
        <a:effectLst>
          <a:outerShdw blurRad="50800" dist="38100" dir="30000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315686</xdr:colOff>
      <xdr:row>4</xdr:row>
      <xdr:rowOff>10885</xdr:rowOff>
    </xdr:from>
    <xdr:to>
      <xdr:col>29</xdr:col>
      <xdr:colOff>489858</xdr:colOff>
      <xdr:row>47</xdr:row>
      <xdr:rowOff>100148</xdr:rowOff>
    </xdr:to>
    <xdr:sp macro="" textlink="">
      <xdr:nvSpPr>
        <xdr:cNvPr id="5" name="Rectangle: Rounded Corners 4">
          <a:extLst>
            <a:ext uri="{FF2B5EF4-FFF2-40B4-BE49-F238E27FC236}">
              <a16:creationId xmlns:a16="http://schemas.microsoft.com/office/drawing/2014/main" id="{9447E3E8-8BD0-4B7D-ACAB-8CBD45937B2F}"/>
            </a:ext>
          </a:extLst>
        </xdr:cNvPr>
        <xdr:cNvSpPr/>
      </xdr:nvSpPr>
      <xdr:spPr>
        <a:xfrm>
          <a:off x="2144486" y="742405"/>
          <a:ext cx="16023772" cy="7953103"/>
        </a:xfrm>
        <a:prstGeom prst="roundRect">
          <a:avLst>
            <a:gd name="adj" fmla="val 6838"/>
          </a:avLst>
        </a:prstGeom>
        <a:solidFill>
          <a:schemeClr val="bg1"/>
        </a:solidFill>
        <a:ln w="12700">
          <a:solidFill>
            <a:srgbClr val="73C3AE"/>
          </a:solidFill>
        </a:ln>
        <a:effectLst>
          <a:outerShdw blurRad="1003300" dist="63500" dir="33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342901</xdr:colOff>
      <xdr:row>13</xdr:row>
      <xdr:rowOff>108859</xdr:rowOff>
    </xdr:from>
    <xdr:to>
      <xdr:col>4</xdr:col>
      <xdr:colOff>506187</xdr:colOff>
      <xdr:row>40</xdr:row>
      <xdr:rowOff>65317</xdr:rowOff>
    </xdr:to>
    <xdr:sp macro="" textlink="">
      <xdr:nvSpPr>
        <xdr:cNvPr id="6" name="Flowchart: Manual Operation 6">
          <a:extLst>
            <a:ext uri="{FF2B5EF4-FFF2-40B4-BE49-F238E27FC236}">
              <a16:creationId xmlns:a16="http://schemas.microsoft.com/office/drawing/2014/main" id="{0D7EC25F-DFDF-49EA-93A3-838D70650950}"/>
            </a:ext>
          </a:extLst>
        </xdr:cNvPr>
        <xdr:cNvSpPr/>
      </xdr:nvSpPr>
      <xdr:spPr>
        <a:xfrm rot="16200000">
          <a:off x="111035" y="4546965"/>
          <a:ext cx="4894218" cy="772886"/>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959" y="2935"/>
                <a:pt x="9333" y="8333"/>
                <a:pt x="8000" y="10000"/>
              </a:cubicBezTo>
              <a:lnTo>
                <a:pt x="2000" y="10000"/>
              </a:lnTo>
              <a:cubicBezTo>
                <a:pt x="667" y="8333"/>
                <a:pt x="953" y="2230"/>
                <a:pt x="0" y="0"/>
              </a:cubicBezTo>
              <a:close/>
            </a:path>
          </a:pathLst>
        </a:custGeom>
        <a:solidFill>
          <a:srgbClr val="0682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185059</xdr:colOff>
      <xdr:row>6</xdr:row>
      <xdr:rowOff>141512</xdr:rowOff>
    </xdr:from>
    <xdr:to>
      <xdr:col>10</xdr:col>
      <xdr:colOff>544287</xdr:colOff>
      <xdr:row>15</xdr:row>
      <xdr:rowOff>21770</xdr:rowOff>
    </xdr:to>
    <xdr:sp macro="" textlink="">
      <xdr:nvSpPr>
        <xdr:cNvPr id="7" name="Rectangle: Rounded Corners 6">
          <a:extLst>
            <a:ext uri="{FF2B5EF4-FFF2-40B4-BE49-F238E27FC236}">
              <a16:creationId xmlns:a16="http://schemas.microsoft.com/office/drawing/2014/main" id="{D7188BE2-F88E-47AF-A277-6C3922460C7E}"/>
            </a:ext>
          </a:extLst>
        </xdr:cNvPr>
        <xdr:cNvSpPr/>
      </xdr:nvSpPr>
      <xdr:spPr>
        <a:xfrm>
          <a:off x="3233059"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11</xdr:col>
      <xdr:colOff>181431</xdr:colOff>
      <xdr:row>6</xdr:row>
      <xdr:rowOff>141512</xdr:rowOff>
    </xdr:from>
    <xdr:to>
      <xdr:col>16</xdr:col>
      <xdr:colOff>540659</xdr:colOff>
      <xdr:row>15</xdr:row>
      <xdr:rowOff>21770</xdr:rowOff>
    </xdr:to>
    <xdr:sp macro="" textlink="">
      <xdr:nvSpPr>
        <xdr:cNvPr id="8" name="Rectangle: Rounded Corners 7">
          <a:extLst>
            <a:ext uri="{FF2B5EF4-FFF2-40B4-BE49-F238E27FC236}">
              <a16:creationId xmlns:a16="http://schemas.microsoft.com/office/drawing/2014/main" id="{C08515F7-C99E-4127-94C9-CC133DAB6D86}"/>
            </a:ext>
          </a:extLst>
        </xdr:cNvPr>
        <xdr:cNvSpPr/>
      </xdr:nvSpPr>
      <xdr:spPr>
        <a:xfrm>
          <a:off x="6887031"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17</xdr:col>
      <xdr:colOff>177803</xdr:colOff>
      <xdr:row>6</xdr:row>
      <xdr:rowOff>141512</xdr:rowOff>
    </xdr:from>
    <xdr:to>
      <xdr:col>22</xdr:col>
      <xdr:colOff>537031</xdr:colOff>
      <xdr:row>15</xdr:row>
      <xdr:rowOff>21770</xdr:rowOff>
    </xdr:to>
    <xdr:sp macro="" textlink="">
      <xdr:nvSpPr>
        <xdr:cNvPr id="9" name="Rectangle: Rounded Corners 8">
          <a:extLst>
            <a:ext uri="{FF2B5EF4-FFF2-40B4-BE49-F238E27FC236}">
              <a16:creationId xmlns:a16="http://schemas.microsoft.com/office/drawing/2014/main" id="{9C6E65E7-FDA9-4588-AD2E-FEB5564A7194}"/>
            </a:ext>
          </a:extLst>
        </xdr:cNvPr>
        <xdr:cNvSpPr/>
      </xdr:nvSpPr>
      <xdr:spPr>
        <a:xfrm>
          <a:off x="10541003" y="1238792"/>
          <a:ext cx="3407228" cy="1526178"/>
        </a:xfrm>
        <a:prstGeom prst="roundRect">
          <a:avLst>
            <a:gd name="adj" fmla="val 14554"/>
          </a:avLst>
        </a:prstGeom>
        <a:gradFill>
          <a:gsLst>
            <a:gs pos="14000">
              <a:srgbClr val="249987"/>
            </a:gs>
            <a:gs pos="100000">
              <a:srgbClr val="70D2C3"/>
            </a:gs>
          </a:gsLst>
          <a:lin ang="2700000" scaled="0"/>
        </a:gra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23</xdr:col>
      <xdr:colOff>174174</xdr:colOff>
      <xdr:row>6</xdr:row>
      <xdr:rowOff>141512</xdr:rowOff>
    </xdr:from>
    <xdr:to>
      <xdr:col>28</xdr:col>
      <xdr:colOff>533402</xdr:colOff>
      <xdr:row>15</xdr:row>
      <xdr:rowOff>21770</xdr:rowOff>
    </xdr:to>
    <xdr:sp macro="" textlink="">
      <xdr:nvSpPr>
        <xdr:cNvPr id="10" name="Rectangle: Rounded Corners 9">
          <a:extLst>
            <a:ext uri="{FF2B5EF4-FFF2-40B4-BE49-F238E27FC236}">
              <a16:creationId xmlns:a16="http://schemas.microsoft.com/office/drawing/2014/main" id="{5BC6E74F-E6E3-4ADE-AEA9-2A18315449CE}"/>
            </a:ext>
          </a:extLst>
        </xdr:cNvPr>
        <xdr:cNvSpPr/>
      </xdr:nvSpPr>
      <xdr:spPr>
        <a:xfrm>
          <a:off x="14194974"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541630</xdr:colOff>
      <xdr:row>8</xdr:row>
      <xdr:rowOff>91268</xdr:rowOff>
    </xdr:from>
    <xdr:to>
      <xdr:col>7</xdr:col>
      <xdr:colOff>41535</xdr:colOff>
      <xdr:row>11</xdr:row>
      <xdr:rowOff>162612</xdr:rowOff>
    </xdr:to>
    <xdr:grpSp>
      <xdr:nvGrpSpPr>
        <xdr:cNvPr id="11" name="Group 10">
          <a:extLst>
            <a:ext uri="{FF2B5EF4-FFF2-40B4-BE49-F238E27FC236}">
              <a16:creationId xmlns:a16="http://schemas.microsoft.com/office/drawing/2014/main" id="{52E14BCE-E46A-4CEF-BDFD-F8BB81BCD942}"/>
            </a:ext>
          </a:extLst>
        </xdr:cNvPr>
        <xdr:cNvGrpSpPr/>
      </xdr:nvGrpSpPr>
      <xdr:grpSpPr>
        <a:xfrm>
          <a:off x="3472399" y="1585960"/>
          <a:ext cx="672213" cy="642844"/>
          <a:chOff x="6520543" y="3673855"/>
          <a:chExt cx="923590" cy="804672"/>
        </a:xfrm>
        <a:solidFill>
          <a:srgbClr val="006966"/>
        </a:solidFill>
      </xdr:grpSpPr>
      <xdr:pic>
        <xdr:nvPicPr>
          <xdr:cNvPr id="12" name="Graphic 11" descr="User with solid fill">
            <a:extLst>
              <a:ext uri="{FF2B5EF4-FFF2-40B4-BE49-F238E27FC236}">
                <a16:creationId xmlns:a16="http://schemas.microsoft.com/office/drawing/2014/main" id="{FB61EE8A-2DBE-3577-4328-4FF46E3C36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39461" y="3673855"/>
            <a:ext cx="804672" cy="804672"/>
          </a:xfrm>
          <a:prstGeom prst="rect">
            <a:avLst/>
          </a:prstGeom>
        </xdr:spPr>
      </xdr:pic>
      <xdr:grpSp>
        <xdr:nvGrpSpPr>
          <xdr:cNvPr id="13" name="Graphic 15" descr="User with solid fill">
            <a:extLst>
              <a:ext uri="{FF2B5EF4-FFF2-40B4-BE49-F238E27FC236}">
                <a16:creationId xmlns:a16="http://schemas.microsoft.com/office/drawing/2014/main" id="{41FB7BF5-D770-BBF4-12C1-493BE845B7A6}"/>
              </a:ext>
            </a:extLst>
          </xdr:cNvPr>
          <xdr:cNvGrpSpPr/>
        </xdr:nvGrpSpPr>
        <xdr:grpSpPr>
          <a:xfrm>
            <a:off x="6520543" y="3801837"/>
            <a:ext cx="609600" cy="604156"/>
            <a:chOff x="8164286" y="3867151"/>
            <a:chExt cx="609600" cy="604156"/>
          </a:xfrm>
          <a:grpFill/>
        </xdr:grpSpPr>
        <xdr:sp macro="" textlink="">
          <xdr:nvSpPr>
            <xdr:cNvPr id="14" name="Freeform: Shape 13">
              <a:extLst>
                <a:ext uri="{FF2B5EF4-FFF2-40B4-BE49-F238E27FC236}">
                  <a16:creationId xmlns:a16="http://schemas.microsoft.com/office/drawing/2014/main" id="{2031F682-0CE0-E135-93A9-14DCBC0FD029}"/>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chemeClr val="bg1"/>
              </a:solidFill>
              <a:prstDash val="solid"/>
              <a:miter/>
            </a:ln>
          </xdr:spPr>
          <xdr:txBody>
            <a:bodyPr rtlCol="0" anchor="ctr"/>
            <a:lstStyle/>
            <a:p>
              <a:endParaRPr lang="ru-RU"/>
            </a:p>
          </xdr:txBody>
        </xdr:sp>
        <xdr:sp macro="" textlink="">
          <xdr:nvSpPr>
            <xdr:cNvPr id="15" name="Freeform: Shape 14">
              <a:extLst>
                <a:ext uri="{FF2B5EF4-FFF2-40B4-BE49-F238E27FC236}">
                  <a16:creationId xmlns:a16="http://schemas.microsoft.com/office/drawing/2014/main" id="{D93B64B7-C8DA-A4FC-4903-EC7F6A6858E6}"/>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chemeClr val="bg1"/>
              </a:solidFill>
              <a:prstDash val="solid"/>
              <a:miter/>
            </a:ln>
          </xdr:spPr>
          <xdr:txBody>
            <a:bodyPr rtlCol="0" anchor="ctr"/>
            <a:lstStyle/>
            <a:p>
              <a:endParaRPr lang="ru-RU"/>
            </a:p>
          </xdr:txBody>
        </xdr:sp>
      </xdr:grpSp>
    </xdr:grpSp>
    <xdr:clientData/>
  </xdr:twoCellAnchor>
  <xdr:twoCellAnchor>
    <xdr:from>
      <xdr:col>17</xdr:col>
      <xdr:colOff>239826</xdr:colOff>
      <xdr:row>8</xdr:row>
      <xdr:rowOff>65315</xdr:rowOff>
    </xdr:from>
    <xdr:to>
      <xdr:col>22</xdr:col>
      <xdr:colOff>475008</xdr:colOff>
      <xdr:row>12</xdr:row>
      <xdr:rowOff>130629</xdr:rowOff>
    </xdr:to>
    <xdr:sp macro="" textlink="Processing!B4">
      <xdr:nvSpPr>
        <xdr:cNvPr id="16" name="TextBox 15">
          <a:extLst>
            <a:ext uri="{FF2B5EF4-FFF2-40B4-BE49-F238E27FC236}">
              <a16:creationId xmlns:a16="http://schemas.microsoft.com/office/drawing/2014/main" id="{A396D8C3-13C8-47A9-B528-1396B2A78B96}"/>
            </a:ext>
          </a:extLst>
        </xdr:cNvPr>
        <xdr:cNvSpPr txBox="1"/>
      </xdr:nvSpPr>
      <xdr:spPr>
        <a:xfrm>
          <a:off x="10603026" y="1528355"/>
          <a:ext cx="3283182"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36422D-0FC2-41A2-BD2B-94815EC06F19}" type="TxLink">
            <a:rPr lang="en-US" sz="4000" b="0" i="0" u="none" strike="noStrike">
              <a:solidFill>
                <a:schemeClr val="bg1"/>
              </a:solidFill>
              <a:latin typeface="Aptos Narrow"/>
            </a:rPr>
            <a:pPr algn="ctr"/>
            <a:t> $5,000 </a:t>
          </a:fld>
          <a:endParaRPr lang="ru-RU" sz="4000" b="0">
            <a:solidFill>
              <a:schemeClr val="bg1"/>
            </a:solidFill>
          </a:endParaRPr>
        </a:p>
      </xdr:txBody>
    </xdr:sp>
    <xdr:clientData/>
  </xdr:twoCellAnchor>
  <xdr:twoCellAnchor>
    <xdr:from>
      <xdr:col>6</xdr:col>
      <xdr:colOff>157844</xdr:colOff>
      <xdr:row>12</xdr:row>
      <xdr:rowOff>54429</xdr:rowOff>
    </xdr:from>
    <xdr:to>
      <xdr:col>9</xdr:col>
      <xdr:colOff>571502</xdr:colOff>
      <xdr:row>15</xdr:row>
      <xdr:rowOff>10887</xdr:rowOff>
    </xdr:to>
    <xdr:sp macro="" textlink="Processing!A2">
      <xdr:nvSpPr>
        <xdr:cNvPr id="17" name="TextBox 16">
          <a:extLst>
            <a:ext uri="{FF2B5EF4-FFF2-40B4-BE49-F238E27FC236}">
              <a16:creationId xmlns:a16="http://schemas.microsoft.com/office/drawing/2014/main" id="{1408A18C-EEA7-4016-9739-2C9BE5CD4B47}"/>
            </a:ext>
          </a:extLst>
        </xdr:cNvPr>
        <xdr:cNvSpPr txBox="1"/>
      </xdr:nvSpPr>
      <xdr:spPr>
        <a:xfrm>
          <a:off x="3815444"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FD6D120-AE2D-4647-992D-328FDEDCAD81}" type="TxLink">
            <a:rPr lang="en-US" sz="2000" b="0" i="0" u="none" strike="noStrike">
              <a:solidFill>
                <a:srgbClr val="006966"/>
              </a:solidFill>
              <a:latin typeface="Aptos Narrow"/>
              <a:ea typeface="+mn-ea"/>
              <a:cs typeface="+mn-cs"/>
            </a:rPr>
            <a:pPr marL="0" indent="0" algn="ctr"/>
            <a:t>Visitors &amp; Buyers</a:t>
          </a:fld>
          <a:endParaRPr lang="ru-RU" sz="2000" b="0" i="0" u="none" strike="noStrike">
            <a:solidFill>
              <a:srgbClr val="006966"/>
            </a:solidFill>
            <a:latin typeface="Aptos Narrow"/>
            <a:ea typeface="+mn-ea"/>
            <a:cs typeface="+mn-cs"/>
          </a:endParaRPr>
        </a:p>
      </xdr:txBody>
    </xdr:sp>
    <xdr:clientData/>
  </xdr:twoCellAnchor>
  <xdr:twoCellAnchor>
    <xdr:from>
      <xdr:col>7</xdr:col>
      <xdr:colOff>87085</xdr:colOff>
      <xdr:row>8</xdr:row>
      <xdr:rowOff>87086</xdr:rowOff>
    </xdr:from>
    <xdr:to>
      <xdr:col>10</xdr:col>
      <xdr:colOff>500743</xdr:colOff>
      <xdr:row>12</xdr:row>
      <xdr:rowOff>152400</xdr:rowOff>
    </xdr:to>
    <xdr:sp macro="" textlink="Processing!B2">
      <xdr:nvSpPr>
        <xdr:cNvPr id="18" name="TextBox 17">
          <a:extLst>
            <a:ext uri="{FF2B5EF4-FFF2-40B4-BE49-F238E27FC236}">
              <a16:creationId xmlns:a16="http://schemas.microsoft.com/office/drawing/2014/main" id="{4D4D9931-9495-4DEE-BC0B-EBE411167262}"/>
            </a:ext>
          </a:extLst>
        </xdr:cNvPr>
        <xdr:cNvSpPr txBox="1"/>
      </xdr:nvSpPr>
      <xdr:spPr>
        <a:xfrm>
          <a:off x="4354285" y="1550126"/>
          <a:ext cx="2242458"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240F2C31-A97C-41B3-8A16-9FDA3F3B6158}" type="TxLink">
            <a:rPr lang="en-US" sz="4000" b="0" i="0" u="none" strike="noStrike">
              <a:solidFill>
                <a:srgbClr val="006966"/>
              </a:solidFill>
              <a:latin typeface="Aptos Narrow"/>
              <a:ea typeface="+mn-ea"/>
              <a:cs typeface="+mn-cs"/>
            </a:rPr>
            <a:pPr marL="0" indent="0"/>
            <a:t> 8 333</a:t>
          </a:fld>
          <a:endParaRPr lang="ru-RU" sz="4000" b="0" i="0" u="none" strike="noStrike">
            <a:solidFill>
              <a:srgbClr val="006966"/>
            </a:solidFill>
            <a:latin typeface="Aptos Narrow"/>
            <a:ea typeface="+mn-ea"/>
            <a:cs typeface="+mn-cs"/>
          </a:endParaRPr>
        </a:p>
      </xdr:txBody>
    </xdr:sp>
    <xdr:clientData/>
  </xdr:twoCellAnchor>
  <xdr:twoCellAnchor>
    <xdr:from>
      <xdr:col>18</xdr:col>
      <xdr:colOff>150588</xdr:colOff>
      <xdr:row>12</xdr:row>
      <xdr:rowOff>54429</xdr:rowOff>
    </xdr:from>
    <xdr:to>
      <xdr:col>21</xdr:col>
      <xdr:colOff>564246</xdr:colOff>
      <xdr:row>15</xdr:row>
      <xdr:rowOff>10887</xdr:rowOff>
    </xdr:to>
    <xdr:sp macro="" textlink="Processing!A4">
      <xdr:nvSpPr>
        <xdr:cNvPr id="19" name="TextBox 18">
          <a:extLst>
            <a:ext uri="{FF2B5EF4-FFF2-40B4-BE49-F238E27FC236}">
              <a16:creationId xmlns:a16="http://schemas.microsoft.com/office/drawing/2014/main" id="{37A2CAFC-EB03-40F2-B6E6-9D032770FCC4}"/>
            </a:ext>
          </a:extLst>
        </xdr:cNvPr>
        <xdr:cNvSpPr txBox="1"/>
      </xdr:nvSpPr>
      <xdr:spPr>
        <a:xfrm>
          <a:off x="11123388"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A9DEBBE-8346-447D-BB37-708CEF2642B0}" type="TxLink">
            <a:rPr lang="en-US" sz="2000" b="0" i="0" u="none" strike="noStrike">
              <a:solidFill>
                <a:schemeClr val="tx1"/>
              </a:solidFill>
              <a:latin typeface="Aptos Narrow"/>
              <a:ea typeface="+mn-ea"/>
              <a:cs typeface="+mn-cs"/>
            </a:rPr>
            <a:pPr marL="0" indent="0" algn="ctr"/>
            <a:t>Profit</a:t>
          </a:fld>
          <a:endParaRPr lang="ru-RU" sz="2000" b="0" i="0" u="none" strike="noStrike">
            <a:solidFill>
              <a:schemeClr val="tx1"/>
            </a:solidFill>
            <a:latin typeface="Aptos Narrow"/>
            <a:ea typeface="+mn-ea"/>
            <a:cs typeface="+mn-cs"/>
          </a:endParaRPr>
        </a:p>
      </xdr:txBody>
    </xdr:sp>
    <xdr:clientData/>
  </xdr:twoCellAnchor>
  <xdr:twoCellAnchor>
    <xdr:from>
      <xdr:col>12</xdr:col>
      <xdr:colOff>154216</xdr:colOff>
      <xdr:row>12</xdr:row>
      <xdr:rowOff>54429</xdr:rowOff>
    </xdr:from>
    <xdr:to>
      <xdr:col>15</xdr:col>
      <xdr:colOff>567874</xdr:colOff>
      <xdr:row>15</xdr:row>
      <xdr:rowOff>10887</xdr:rowOff>
    </xdr:to>
    <xdr:sp macro="" textlink="Processing!A3">
      <xdr:nvSpPr>
        <xdr:cNvPr id="20" name="TextBox 19">
          <a:extLst>
            <a:ext uri="{FF2B5EF4-FFF2-40B4-BE49-F238E27FC236}">
              <a16:creationId xmlns:a16="http://schemas.microsoft.com/office/drawing/2014/main" id="{528CABAF-8B7C-4999-8F8A-DC4C6ABF58CA}"/>
            </a:ext>
          </a:extLst>
        </xdr:cNvPr>
        <xdr:cNvSpPr txBox="1"/>
      </xdr:nvSpPr>
      <xdr:spPr>
        <a:xfrm>
          <a:off x="7469416"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E57684-9217-4499-B71C-F68E1CC46AAC}" type="TxLink">
            <a:rPr lang="en-US" sz="2000" b="0" i="0" u="none" strike="noStrike">
              <a:solidFill>
                <a:srgbClr val="006966"/>
              </a:solidFill>
              <a:latin typeface="Aptos Narrow"/>
              <a:ea typeface="+mn-ea"/>
              <a:cs typeface="+mn-cs"/>
            </a:rPr>
            <a:pPr marL="0" indent="0" algn="ctr"/>
            <a:t>Conversion</a:t>
          </a:fld>
          <a:endParaRPr lang="ru-RU" sz="2000" b="0" i="0" u="none" strike="noStrike">
            <a:solidFill>
              <a:srgbClr val="006966"/>
            </a:solidFill>
            <a:latin typeface="Aptos Narrow"/>
            <a:ea typeface="+mn-ea"/>
            <a:cs typeface="+mn-cs"/>
          </a:endParaRPr>
        </a:p>
      </xdr:txBody>
    </xdr:sp>
    <xdr:clientData/>
  </xdr:twoCellAnchor>
  <xdr:twoCellAnchor>
    <xdr:from>
      <xdr:col>24</xdr:col>
      <xdr:colOff>146959</xdr:colOff>
      <xdr:row>12</xdr:row>
      <xdr:rowOff>54429</xdr:rowOff>
    </xdr:from>
    <xdr:to>
      <xdr:col>27</xdr:col>
      <xdr:colOff>560617</xdr:colOff>
      <xdr:row>15</xdr:row>
      <xdr:rowOff>10887</xdr:rowOff>
    </xdr:to>
    <xdr:sp macro="" textlink="Processing!A5">
      <xdr:nvSpPr>
        <xdr:cNvPr id="21" name="TextBox 20">
          <a:extLst>
            <a:ext uri="{FF2B5EF4-FFF2-40B4-BE49-F238E27FC236}">
              <a16:creationId xmlns:a16="http://schemas.microsoft.com/office/drawing/2014/main" id="{B4E2A068-450C-41C8-8C00-C1ACF65A8DA3}"/>
            </a:ext>
          </a:extLst>
        </xdr:cNvPr>
        <xdr:cNvSpPr txBox="1"/>
      </xdr:nvSpPr>
      <xdr:spPr>
        <a:xfrm>
          <a:off x="14777359"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820461C-9777-4679-AB52-370EB19E43D2}" type="TxLink">
            <a:rPr lang="en-US" sz="2000" b="0" i="0" u="none" strike="noStrike">
              <a:solidFill>
                <a:srgbClr val="006966"/>
              </a:solidFill>
              <a:latin typeface="Aptos Narrow"/>
              <a:ea typeface="+mn-ea"/>
              <a:cs typeface="+mn-cs"/>
            </a:rPr>
            <a:pPr marL="0" indent="0" algn="ctr"/>
            <a:t>Tasks</a:t>
          </a:fld>
          <a:endParaRPr lang="ru-RU" sz="2000" b="0" i="0" u="none" strike="noStrike">
            <a:solidFill>
              <a:srgbClr val="006966"/>
            </a:solidFill>
            <a:latin typeface="Aptos Narrow"/>
            <a:ea typeface="+mn-ea"/>
            <a:cs typeface="+mn-cs"/>
          </a:endParaRPr>
        </a:p>
      </xdr:txBody>
    </xdr:sp>
    <xdr:clientData/>
  </xdr:twoCellAnchor>
  <xdr:twoCellAnchor>
    <xdr:from>
      <xdr:col>23</xdr:col>
      <xdr:colOff>236197</xdr:colOff>
      <xdr:row>8</xdr:row>
      <xdr:rowOff>65315</xdr:rowOff>
    </xdr:from>
    <xdr:to>
      <xdr:col>28</xdr:col>
      <xdr:colOff>471379</xdr:colOff>
      <xdr:row>12</xdr:row>
      <xdr:rowOff>130629</xdr:rowOff>
    </xdr:to>
    <xdr:sp macro="" textlink="Processing!B5">
      <xdr:nvSpPr>
        <xdr:cNvPr id="22" name="TextBox 21">
          <a:extLst>
            <a:ext uri="{FF2B5EF4-FFF2-40B4-BE49-F238E27FC236}">
              <a16:creationId xmlns:a16="http://schemas.microsoft.com/office/drawing/2014/main" id="{EEA3C1FE-ED0B-48EE-A4D0-29C1F93DE661}"/>
            </a:ext>
          </a:extLst>
        </xdr:cNvPr>
        <xdr:cNvSpPr txBox="1"/>
      </xdr:nvSpPr>
      <xdr:spPr>
        <a:xfrm>
          <a:off x="14256997" y="1528355"/>
          <a:ext cx="3283182"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0F5DE64-5D30-46C9-8D72-8469227D94C4}" type="TxLink">
            <a:rPr lang="en-US" sz="4000" b="0" i="0" u="none" strike="noStrike">
              <a:solidFill>
                <a:srgbClr val="006966"/>
              </a:solidFill>
              <a:latin typeface="Aptos Narrow"/>
              <a:ea typeface="+mn-ea"/>
              <a:cs typeface="+mn-cs"/>
            </a:rPr>
            <a:pPr marL="0" indent="0" algn="ctr"/>
            <a:t>13%</a:t>
          </a:fld>
          <a:endParaRPr lang="ru-RU" sz="4000" b="0" i="0" u="none" strike="noStrike">
            <a:solidFill>
              <a:srgbClr val="006966"/>
            </a:solidFill>
            <a:latin typeface="Aptos Narrow"/>
            <a:ea typeface="+mn-ea"/>
            <a:cs typeface="+mn-cs"/>
          </a:endParaRPr>
        </a:p>
      </xdr:txBody>
    </xdr:sp>
    <xdr:clientData/>
  </xdr:twoCellAnchor>
  <xdr:twoCellAnchor>
    <xdr:from>
      <xdr:col>13</xdr:col>
      <xdr:colOff>515021</xdr:colOff>
      <xdr:row>8</xdr:row>
      <xdr:rowOff>87086</xdr:rowOff>
    </xdr:from>
    <xdr:to>
      <xdr:col>15</xdr:col>
      <xdr:colOff>446556</xdr:colOff>
      <xdr:row>12</xdr:row>
      <xdr:rowOff>152400</xdr:rowOff>
    </xdr:to>
    <xdr:sp macro="" textlink="Processing!B3">
      <xdr:nvSpPr>
        <xdr:cNvPr id="23" name="TextBox 22">
          <a:extLst>
            <a:ext uri="{FF2B5EF4-FFF2-40B4-BE49-F238E27FC236}">
              <a16:creationId xmlns:a16="http://schemas.microsoft.com/office/drawing/2014/main" id="{88877007-B7EC-40B9-BD72-1420C704D970}"/>
            </a:ext>
          </a:extLst>
        </xdr:cNvPr>
        <xdr:cNvSpPr txBox="1"/>
      </xdr:nvSpPr>
      <xdr:spPr>
        <a:xfrm>
          <a:off x="8439821" y="1550126"/>
          <a:ext cx="1150735"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34A42E-9298-41DF-B854-5D07C1F7CD8F}" type="TxLink">
            <a:rPr lang="en-US" sz="4000" b="0" i="0" u="none" strike="noStrike">
              <a:solidFill>
                <a:srgbClr val="006966"/>
              </a:solidFill>
              <a:latin typeface="Aptos Narrow"/>
              <a:ea typeface="+mn-ea"/>
              <a:cs typeface="+mn-cs"/>
            </a:rPr>
            <a:pPr marL="0" indent="0" algn="ctr"/>
            <a:t>16%</a:t>
          </a:fld>
          <a:endParaRPr lang="ru-RU" sz="4000" b="0" i="0" u="none" strike="noStrike">
            <a:solidFill>
              <a:srgbClr val="006966"/>
            </a:solidFill>
            <a:latin typeface="Aptos Narrow"/>
            <a:ea typeface="+mn-ea"/>
            <a:cs typeface="+mn-cs"/>
          </a:endParaRPr>
        </a:p>
      </xdr:txBody>
    </xdr:sp>
    <xdr:clientData/>
  </xdr:twoCellAnchor>
  <xdr:twoCellAnchor>
    <xdr:from>
      <xdr:col>12</xdr:col>
      <xdr:colOff>304683</xdr:colOff>
      <xdr:row>8</xdr:row>
      <xdr:rowOff>10887</xdr:rowOff>
    </xdr:from>
    <xdr:to>
      <xdr:col>13</xdr:col>
      <xdr:colOff>563763</xdr:colOff>
      <xdr:row>12</xdr:row>
      <xdr:rowOff>139338</xdr:rowOff>
    </xdr:to>
    <xdr:graphicFrame macro="">
      <xdr:nvGraphicFramePr>
        <xdr:cNvPr id="24" name="Chart 23">
          <a:extLst>
            <a:ext uri="{FF2B5EF4-FFF2-40B4-BE49-F238E27FC236}">
              <a16:creationId xmlns:a16="http://schemas.microsoft.com/office/drawing/2014/main" id="{526D2B2A-D33F-4CB5-95F2-84CA1909E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597628</xdr:colOff>
      <xdr:row>7</xdr:row>
      <xdr:rowOff>1</xdr:rowOff>
    </xdr:from>
    <xdr:to>
      <xdr:col>28</xdr:col>
      <xdr:colOff>109948</xdr:colOff>
      <xdr:row>9</xdr:row>
      <xdr:rowOff>87087</xdr:rowOff>
    </xdr:to>
    <xdr:graphicFrame macro="">
      <xdr:nvGraphicFramePr>
        <xdr:cNvPr id="25" name="Chart 24">
          <a:extLst>
            <a:ext uri="{FF2B5EF4-FFF2-40B4-BE49-F238E27FC236}">
              <a16:creationId xmlns:a16="http://schemas.microsoft.com/office/drawing/2014/main" id="{756685E5-8D18-4420-ABDE-18D6DE7AA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424544</xdr:colOff>
      <xdr:row>18</xdr:row>
      <xdr:rowOff>17930</xdr:rowOff>
    </xdr:from>
    <xdr:to>
      <xdr:col>28</xdr:col>
      <xdr:colOff>540444</xdr:colOff>
      <xdr:row>37</xdr:row>
      <xdr:rowOff>143435</xdr:rowOff>
    </xdr:to>
    <xdr:graphicFrame macro="">
      <xdr:nvGraphicFramePr>
        <xdr:cNvPr id="26" name="Chart 25">
          <a:extLst>
            <a:ext uri="{FF2B5EF4-FFF2-40B4-BE49-F238E27FC236}">
              <a16:creationId xmlns:a16="http://schemas.microsoft.com/office/drawing/2014/main" id="{55B371A4-F5AC-4B8A-B7D0-C04010497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249775</xdr:colOff>
      <xdr:row>16</xdr:row>
      <xdr:rowOff>152405</xdr:rowOff>
    </xdr:from>
    <xdr:to>
      <xdr:col>20</xdr:col>
      <xdr:colOff>585055</xdr:colOff>
      <xdr:row>43</xdr:row>
      <xdr:rowOff>93622</xdr:rowOff>
    </xdr:to>
    <xdr:graphicFrame macro="">
      <xdr:nvGraphicFramePr>
        <xdr:cNvPr id="30" name="Chart 29">
          <a:extLst>
            <a:ext uri="{FF2B5EF4-FFF2-40B4-BE49-F238E27FC236}">
              <a16:creationId xmlns:a16="http://schemas.microsoft.com/office/drawing/2014/main" id="{06C5376E-AEAE-4CB4-B0C3-263C928FC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261260</xdr:colOff>
      <xdr:row>41</xdr:row>
      <xdr:rowOff>65317</xdr:rowOff>
    </xdr:from>
    <xdr:to>
      <xdr:col>28</xdr:col>
      <xdr:colOff>30756</xdr:colOff>
      <xdr:row>44</xdr:row>
      <xdr:rowOff>58786</xdr:rowOff>
    </xdr:to>
    <mc:AlternateContent xmlns:mc="http://schemas.openxmlformats.org/markup-compatibility/2006" xmlns:a14="http://schemas.microsoft.com/office/drawing/2010/main">
      <mc:Choice Requires="a14">
        <xdr:graphicFrame macro="">
          <xdr:nvGraphicFramePr>
            <xdr:cNvPr id="27" name="Year 2">
              <a:extLst>
                <a:ext uri="{FF2B5EF4-FFF2-40B4-BE49-F238E27FC236}">
                  <a16:creationId xmlns:a16="http://schemas.microsoft.com/office/drawing/2014/main" id="{0D3E7DD5-77AF-48BD-86AD-254FF4B3D053}"/>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4282060" y="7652660"/>
              <a:ext cx="2817496" cy="5486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435432</xdr:colOff>
      <xdr:row>42</xdr:row>
      <xdr:rowOff>11980</xdr:rowOff>
    </xdr:from>
    <xdr:to>
      <xdr:col>21</xdr:col>
      <xdr:colOff>69672</xdr:colOff>
      <xdr:row>44</xdr:row>
      <xdr:rowOff>65321</xdr:rowOff>
    </xdr:to>
    <mc:AlternateContent xmlns:mc="http://schemas.openxmlformats.org/markup-compatibility/2006" xmlns:a14="http://schemas.microsoft.com/office/drawing/2010/main">
      <mc:Choice Requires="a14">
        <xdr:graphicFrame macro="">
          <xdr:nvGraphicFramePr>
            <xdr:cNvPr id="28" name="Month 2">
              <a:extLst>
                <a:ext uri="{FF2B5EF4-FFF2-40B4-BE49-F238E27FC236}">
                  <a16:creationId xmlns:a16="http://schemas.microsoft.com/office/drawing/2014/main" id="{F1699371-1EED-4AD6-A65C-045C0DFED27D}"/>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4093032" y="7784380"/>
              <a:ext cx="8778240" cy="42345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239484</xdr:colOff>
      <xdr:row>17</xdr:row>
      <xdr:rowOff>10886</xdr:rowOff>
    </xdr:from>
    <xdr:to>
      <xdr:col>11</xdr:col>
      <xdr:colOff>391884</xdr:colOff>
      <xdr:row>19</xdr:row>
      <xdr:rowOff>43543</xdr:rowOff>
    </xdr:to>
    <xdr:sp macro="" textlink="">
      <xdr:nvSpPr>
        <xdr:cNvPr id="42" name="Rectangle 41">
          <a:extLst>
            <a:ext uri="{FF2B5EF4-FFF2-40B4-BE49-F238E27FC236}">
              <a16:creationId xmlns:a16="http://schemas.microsoft.com/office/drawing/2014/main" id="{95A401BD-A105-03DD-AA8C-F47D6049EDB2}"/>
            </a:ext>
          </a:extLst>
        </xdr:cNvPr>
        <xdr:cNvSpPr/>
      </xdr:nvSpPr>
      <xdr:spPr>
        <a:xfrm>
          <a:off x="5725884" y="3156857"/>
          <a:ext cx="1371600" cy="402772"/>
        </a:xfrm>
        <a:prstGeom prst="rect">
          <a:avLst/>
        </a:prstGeom>
        <a:solidFill>
          <a:srgbClr val="C2F1C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250370</xdr:colOff>
      <xdr:row>17</xdr:row>
      <xdr:rowOff>10886</xdr:rowOff>
    </xdr:from>
    <xdr:to>
      <xdr:col>14</xdr:col>
      <xdr:colOff>402770</xdr:colOff>
      <xdr:row>19</xdr:row>
      <xdr:rowOff>43543</xdr:rowOff>
    </xdr:to>
    <xdr:sp macro="" textlink="">
      <xdr:nvSpPr>
        <xdr:cNvPr id="43" name="Rectangle 42">
          <a:extLst>
            <a:ext uri="{FF2B5EF4-FFF2-40B4-BE49-F238E27FC236}">
              <a16:creationId xmlns:a16="http://schemas.microsoft.com/office/drawing/2014/main" id="{757E9C2C-CAC6-FC3D-580E-41700202E749}"/>
            </a:ext>
          </a:extLst>
        </xdr:cNvPr>
        <xdr:cNvSpPr/>
      </xdr:nvSpPr>
      <xdr:spPr>
        <a:xfrm>
          <a:off x="7565570" y="3156857"/>
          <a:ext cx="1371600" cy="402772"/>
        </a:xfrm>
        <a:prstGeom prst="rect">
          <a:avLst/>
        </a:prstGeom>
        <a:solidFill>
          <a:srgbClr val="70D2C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239486</xdr:colOff>
      <xdr:row>17</xdr:row>
      <xdr:rowOff>10886</xdr:rowOff>
    </xdr:from>
    <xdr:to>
      <xdr:col>18</xdr:col>
      <xdr:colOff>239486</xdr:colOff>
      <xdr:row>19</xdr:row>
      <xdr:rowOff>43543</xdr:rowOff>
    </xdr:to>
    <xdr:sp macro="" textlink="">
      <xdr:nvSpPr>
        <xdr:cNvPr id="44" name="Rectangle 43">
          <a:extLst>
            <a:ext uri="{FF2B5EF4-FFF2-40B4-BE49-F238E27FC236}">
              <a16:creationId xmlns:a16="http://schemas.microsoft.com/office/drawing/2014/main" id="{7E82DF19-96B3-4CD1-DD9C-7D8BAF0C9C4F}"/>
            </a:ext>
          </a:extLst>
        </xdr:cNvPr>
        <xdr:cNvSpPr/>
      </xdr:nvSpPr>
      <xdr:spPr>
        <a:xfrm>
          <a:off x="9383486" y="3156857"/>
          <a:ext cx="1828800" cy="402772"/>
        </a:xfrm>
        <a:prstGeom prst="rect">
          <a:avLst/>
        </a:prstGeom>
        <a:solidFill>
          <a:srgbClr val="329E8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21773</xdr:colOff>
      <xdr:row>17</xdr:row>
      <xdr:rowOff>10886</xdr:rowOff>
    </xdr:from>
    <xdr:to>
      <xdr:col>21</xdr:col>
      <xdr:colOff>82733</xdr:colOff>
      <xdr:row>19</xdr:row>
      <xdr:rowOff>43543</xdr:rowOff>
    </xdr:to>
    <xdr:sp macro="" textlink="">
      <xdr:nvSpPr>
        <xdr:cNvPr id="45" name="Rectangle 44">
          <a:extLst>
            <a:ext uri="{FF2B5EF4-FFF2-40B4-BE49-F238E27FC236}">
              <a16:creationId xmlns:a16="http://schemas.microsoft.com/office/drawing/2014/main" id="{FBCA919A-D6F7-0A94-B9CE-71DC89EF1E07}"/>
            </a:ext>
          </a:extLst>
        </xdr:cNvPr>
        <xdr:cNvSpPr/>
      </xdr:nvSpPr>
      <xdr:spPr>
        <a:xfrm>
          <a:off x="11604173" y="3156857"/>
          <a:ext cx="1280160" cy="402772"/>
        </a:xfrm>
        <a:prstGeom prst="rect">
          <a:avLst/>
        </a:prstGeom>
        <a:solidFill>
          <a:srgbClr val="00C9A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284845</xdr:colOff>
      <xdr:row>17</xdr:row>
      <xdr:rowOff>11740</xdr:rowOff>
    </xdr:from>
    <xdr:to>
      <xdr:col>10</xdr:col>
      <xdr:colOff>435428</xdr:colOff>
      <xdr:row>19</xdr:row>
      <xdr:rowOff>64459</xdr:rowOff>
    </xdr:to>
    <xdr:sp macro="" textlink="Processing!H16">
      <xdr:nvSpPr>
        <xdr:cNvPr id="29" name="TextBox 28">
          <a:extLst>
            <a:ext uri="{FF2B5EF4-FFF2-40B4-BE49-F238E27FC236}">
              <a16:creationId xmlns:a16="http://schemas.microsoft.com/office/drawing/2014/main" id="{0D94245B-21BC-4FA5-8C0F-4A345CBFF8D8}"/>
            </a:ext>
          </a:extLst>
        </xdr:cNvPr>
        <xdr:cNvSpPr txBox="1"/>
      </xdr:nvSpPr>
      <xdr:spPr>
        <a:xfrm>
          <a:off x="5771245" y="3157711"/>
          <a:ext cx="760183" cy="42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B3C0AFF-E321-41A1-9681-4B7887793F34}" type="TxLink">
            <a:rPr lang="en-US" sz="1800" b="0" i="0" u="none" strike="noStrike">
              <a:solidFill>
                <a:srgbClr val="297F73"/>
              </a:solidFill>
              <a:latin typeface="Aptos Narrow"/>
              <a:ea typeface="+mn-ea"/>
              <a:cs typeface="+mn-cs"/>
            </a:rPr>
            <a:pPr marL="0" indent="0" algn="l"/>
            <a:t>Profit</a:t>
          </a:fld>
          <a:endParaRPr lang="ru-RU" sz="1800" b="0" i="0" u="none" strike="noStrike">
            <a:solidFill>
              <a:srgbClr val="297F73"/>
            </a:solidFill>
            <a:latin typeface="Aptos Narrow"/>
            <a:ea typeface="+mn-ea"/>
            <a:cs typeface="+mn-cs"/>
          </a:endParaRPr>
        </a:p>
      </xdr:txBody>
    </xdr:sp>
    <xdr:clientData/>
  </xdr:twoCellAnchor>
  <xdr:twoCellAnchor>
    <xdr:from>
      <xdr:col>10</xdr:col>
      <xdr:colOff>332321</xdr:colOff>
      <xdr:row>17</xdr:row>
      <xdr:rowOff>11740</xdr:rowOff>
    </xdr:from>
    <xdr:to>
      <xdr:col>11</xdr:col>
      <xdr:colOff>485918</xdr:colOff>
      <xdr:row>19</xdr:row>
      <xdr:rowOff>64459</xdr:rowOff>
    </xdr:to>
    <xdr:sp macro="" textlink="Processing!H29">
      <xdr:nvSpPr>
        <xdr:cNvPr id="31" name="TextBox 30">
          <a:extLst>
            <a:ext uri="{FF2B5EF4-FFF2-40B4-BE49-F238E27FC236}">
              <a16:creationId xmlns:a16="http://schemas.microsoft.com/office/drawing/2014/main" id="{A813D915-9390-AB36-96B7-B4B7CD6A1DA8}"/>
            </a:ext>
          </a:extLst>
        </xdr:cNvPr>
        <xdr:cNvSpPr txBox="1"/>
      </xdr:nvSpPr>
      <xdr:spPr>
        <a:xfrm>
          <a:off x="6428321" y="3157711"/>
          <a:ext cx="763197" cy="42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AA68FDE-DAFD-4528-9576-3C74EA5F73F1}" type="TxLink">
            <a:rPr lang="en-US" sz="2000" b="0" i="0" u="none" strike="noStrike">
              <a:solidFill>
                <a:srgbClr val="297F73"/>
              </a:solidFill>
              <a:latin typeface="Aptos Narrow"/>
              <a:ea typeface="+mn-ea"/>
              <a:cs typeface="+mn-cs"/>
            </a:rPr>
            <a:pPr marL="0" indent="0" algn="l"/>
            <a:t>5k</a:t>
          </a:fld>
          <a:endParaRPr lang="ru-RU" sz="2000" b="0" i="0" u="none" strike="noStrike">
            <a:solidFill>
              <a:srgbClr val="297F73"/>
            </a:solidFill>
            <a:latin typeface="Aptos Narrow"/>
            <a:ea typeface="+mn-ea"/>
            <a:cs typeface="+mn-cs"/>
          </a:endParaRPr>
        </a:p>
      </xdr:txBody>
    </xdr:sp>
    <xdr:clientData/>
  </xdr:twoCellAnchor>
  <xdr:twoCellAnchor>
    <xdr:from>
      <xdr:col>12</xdr:col>
      <xdr:colOff>310735</xdr:colOff>
      <xdr:row>17</xdr:row>
      <xdr:rowOff>11740</xdr:rowOff>
    </xdr:from>
    <xdr:to>
      <xdr:col>14</xdr:col>
      <xdr:colOff>15004</xdr:colOff>
      <xdr:row>19</xdr:row>
      <xdr:rowOff>64459</xdr:rowOff>
    </xdr:to>
    <xdr:sp macro="" textlink="Processing!I16">
      <xdr:nvSpPr>
        <xdr:cNvPr id="32" name="TextBox 31">
          <a:extLst>
            <a:ext uri="{FF2B5EF4-FFF2-40B4-BE49-F238E27FC236}">
              <a16:creationId xmlns:a16="http://schemas.microsoft.com/office/drawing/2014/main" id="{C5A4C171-EECD-FE97-2F3F-0CE3AFE18AC0}"/>
            </a:ext>
          </a:extLst>
        </xdr:cNvPr>
        <xdr:cNvSpPr txBox="1"/>
      </xdr:nvSpPr>
      <xdr:spPr>
        <a:xfrm>
          <a:off x="7625935" y="3157711"/>
          <a:ext cx="923469" cy="42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92167AA-2A2E-4DE8-90EF-5A6B5A1B9384}" type="TxLink">
            <a:rPr lang="en-US" sz="1800" b="0" i="0" u="none" strike="noStrike">
              <a:solidFill>
                <a:schemeClr val="bg1"/>
              </a:solidFill>
              <a:latin typeface="Aptos Narrow"/>
              <a:ea typeface="+mn-ea"/>
              <a:cs typeface="+mn-cs"/>
            </a:rPr>
            <a:pPr marL="0" indent="0" algn="l"/>
            <a:t>Plan</a:t>
          </a:fld>
          <a:endParaRPr lang="ru-RU" sz="1800" b="0" i="0" u="none" strike="noStrike">
            <a:solidFill>
              <a:schemeClr val="bg1"/>
            </a:solidFill>
            <a:latin typeface="Aptos Narrow"/>
            <a:ea typeface="+mn-ea"/>
            <a:cs typeface="+mn-cs"/>
          </a:endParaRPr>
        </a:p>
      </xdr:txBody>
    </xdr:sp>
    <xdr:clientData/>
  </xdr:twoCellAnchor>
  <xdr:twoCellAnchor>
    <xdr:from>
      <xdr:col>13</xdr:col>
      <xdr:colOff>254555</xdr:colOff>
      <xdr:row>17</xdr:row>
      <xdr:rowOff>11740</xdr:rowOff>
    </xdr:from>
    <xdr:to>
      <xdr:col>14</xdr:col>
      <xdr:colOff>481849</xdr:colOff>
      <xdr:row>19</xdr:row>
      <xdr:rowOff>64459</xdr:rowOff>
    </xdr:to>
    <xdr:sp macro="" textlink="Processing!I29">
      <xdr:nvSpPr>
        <xdr:cNvPr id="33" name="TextBox 32">
          <a:extLst>
            <a:ext uri="{FF2B5EF4-FFF2-40B4-BE49-F238E27FC236}">
              <a16:creationId xmlns:a16="http://schemas.microsoft.com/office/drawing/2014/main" id="{41360B59-E079-C639-E50F-847103ABFCE8}"/>
            </a:ext>
          </a:extLst>
        </xdr:cNvPr>
        <xdr:cNvSpPr txBox="1"/>
      </xdr:nvSpPr>
      <xdr:spPr>
        <a:xfrm>
          <a:off x="8179355" y="3157711"/>
          <a:ext cx="836894" cy="42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ED2C6C7-689E-4F8D-AE72-4FDED453F287}" type="TxLink">
            <a:rPr lang="en-US" sz="2000" b="0" i="0" u="none" strike="noStrike">
              <a:solidFill>
                <a:schemeClr val="bg1"/>
              </a:solidFill>
              <a:latin typeface="Aptos Narrow"/>
              <a:ea typeface="+mn-ea"/>
              <a:cs typeface="+mn-cs"/>
            </a:rPr>
            <a:pPr marL="0" indent="0" algn="l"/>
            <a:t>14k</a:t>
          </a:fld>
          <a:endParaRPr lang="ru-RU" sz="2000" b="0" i="0" u="none" strike="noStrike">
            <a:solidFill>
              <a:schemeClr val="bg1"/>
            </a:solidFill>
            <a:latin typeface="Aptos Narrow"/>
            <a:ea typeface="+mn-ea"/>
            <a:cs typeface="+mn-cs"/>
          </a:endParaRPr>
        </a:p>
      </xdr:txBody>
    </xdr:sp>
    <xdr:clientData/>
  </xdr:twoCellAnchor>
  <xdr:twoCellAnchor>
    <xdr:from>
      <xdr:col>15</xdr:col>
      <xdr:colOff>278783</xdr:colOff>
      <xdr:row>17</xdr:row>
      <xdr:rowOff>11740</xdr:rowOff>
    </xdr:from>
    <xdr:to>
      <xdr:col>17</xdr:col>
      <xdr:colOff>288721</xdr:colOff>
      <xdr:row>19</xdr:row>
      <xdr:rowOff>64459</xdr:rowOff>
    </xdr:to>
    <xdr:sp macro="" textlink="Processing!J16">
      <xdr:nvSpPr>
        <xdr:cNvPr id="34" name="TextBox 33">
          <a:extLst>
            <a:ext uri="{FF2B5EF4-FFF2-40B4-BE49-F238E27FC236}">
              <a16:creationId xmlns:a16="http://schemas.microsoft.com/office/drawing/2014/main" id="{B0715125-4CC6-FF36-3FA9-D9FCD68C154B}"/>
            </a:ext>
          </a:extLst>
        </xdr:cNvPr>
        <xdr:cNvSpPr txBox="1"/>
      </xdr:nvSpPr>
      <xdr:spPr>
        <a:xfrm>
          <a:off x="9422783" y="3157711"/>
          <a:ext cx="1229138" cy="42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2F8FA62-07D1-48A2-97BC-133D5CB542A9}" type="TxLink">
            <a:rPr lang="en-US" sz="1800" b="0" i="0" u="none" strike="noStrike">
              <a:solidFill>
                <a:schemeClr val="bg1"/>
              </a:solidFill>
              <a:latin typeface="Aptos Narrow"/>
              <a:ea typeface="+mn-ea"/>
              <a:cs typeface="+mn-cs"/>
            </a:rPr>
            <a:pPr marL="0" indent="0" algn="l"/>
            <a:t>Break-Even Point</a:t>
          </a:fld>
          <a:endParaRPr lang="ru-RU" sz="1800" b="0" i="0" u="none" strike="noStrike">
            <a:solidFill>
              <a:schemeClr val="bg1"/>
            </a:solidFill>
            <a:latin typeface="Aptos Narrow"/>
            <a:ea typeface="+mn-ea"/>
            <a:cs typeface="+mn-cs"/>
          </a:endParaRPr>
        </a:p>
      </xdr:txBody>
    </xdr:sp>
    <xdr:clientData/>
  </xdr:twoCellAnchor>
  <xdr:twoCellAnchor>
    <xdr:from>
      <xdr:col>17</xdr:col>
      <xdr:colOff>190385</xdr:colOff>
      <xdr:row>17</xdr:row>
      <xdr:rowOff>11740</xdr:rowOff>
    </xdr:from>
    <xdr:to>
      <xdr:col>18</xdr:col>
      <xdr:colOff>417679</xdr:colOff>
      <xdr:row>19</xdr:row>
      <xdr:rowOff>64459</xdr:rowOff>
    </xdr:to>
    <xdr:sp macro="" textlink="Processing!J29">
      <xdr:nvSpPr>
        <xdr:cNvPr id="35" name="TextBox 34">
          <a:extLst>
            <a:ext uri="{FF2B5EF4-FFF2-40B4-BE49-F238E27FC236}">
              <a16:creationId xmlns:a16="http://schemas.microsoft.com/office/drawing/2014/main" id="{EFB7F485-2A09-26D0-8F83-1D9A48C63F69}"/>
            </a:ext>
          </a:extLst>
        </xdr:cNvPr>
        <xdr:cNvSpPr txBox="1"/>
      </xdr:nvSpPr>
      <xdr:spPr>
        <a:xfrm>
          <a:off x="10553585" y="3157711"/>
          <a:ext cx="836894" cy="42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0370DA8-6EE6-433E-8C03-6D4DFF2BCB50}" type="TxLink">
            <a:rPr lang="en-US" sz="2000" b="0" i="0" u="none" strike="noStrike">
              <a:solidFill>
                <a:schemeClr val="bg1"/>
              </a:solidFill>
              <a:latin typeface="Aptos Narrow"/>
              <a:ea typeface="+mn-ea"/>
              <a:cs typeface="+mn-cs"/>
            </a:rPr>
            <a:pPr marL="0" indent="0" algn="l"/>
            <a:t>5k</a:t>
          </a:fld>
          <a:endParaRPr lang="ru-RU" sz="2000" b="0" i="0" u="none" strike="noStrike">
            <a:solidFill>
              <a:schemeClr val="bg1"/>
            </a:solidFill>
            <a:latin typeface="Aptos Narrow"/>
            <a:ea typeface="+mn-ea"/>
            <a:cs typeface="+mn-cs"/>
          </a:endParaRPr>
        </a:p>
      </xdr:txBody>
    </xdr:sp>
    <xdr:clientData/>
  </xdr:twoCellAnchor>
  <xdr:twoCellAnchor>
    <xdr:from>
      <xdr:col>19</xdr:col>
      <xdr:colOff>83986</xdr:colOff>
      <xdr:row>17</xdr:row>
      <xdr:rowOff>11740</xdr:rowOff>
    </xdr:from>
    <xdr:to>
      <xdr:col>20</xdr:col>
      <xdr:colOff>168201</xdr:colOff>
      <xdr:row>19</xdr:row>
      <xdr:rowOff>64459</xdr:rowOff>
    </xdr:to>
    <xdr:sp macro="" textlink="Processing!K16">
      <xdr:nvSpPr>
        <xdr:cNvPr id="36" name="TextBox 35">
          <a:extLst>
            <a:ext uri="{FF2B5EF4-FFF2-40B4-BE49-F238E27FC236}">
              <a16:creationId xmlns:a16="http://schemas.microsoft.com/office/drawing/2014/main" id="{DBEE75B9-C933-283E-538F-ED1274164D13}"/>
            </a:ext>
          </a:extLst>
        </xdr:cNvPr>
        <xdr:cNvSpPr txBox="1"/>
      </xdr:nvSpPr>
      <xdr:spPr>
        <a:xfrm>
          <a:off x="11666386" y="3157711"/>
          <a:ext cx="693815" cy="42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34B0926-F9FC-4982-8FCC-65BB174A32E7}" type="TxLink">
            <a:rPr lang="en-US" sz="1800" b="0" i="0" u="none" strike="noStrike">
              <a:solidFill>
                <a:schemeClr val="bg1"/>
              </a:solidFill>
              <a:latin typeface="Aptos Narrow"/>
              <a:ea typeface="+mn-ea"/>
              <a:cs typeface="+mn-cs"/>
            </a:rPr>
            <a:pPr marL="0" indent="0" algn="l"/>
            <a:t>Debt</a:t>
          </a:fld>
          <a:endParaRPr lang="ru-RU" sz="1800" b="0" i="0" u="none" strike="noStrike">
            <a:solidFill>
              <a:schemeClr val="bg1"/>
            </a:solidFill>
            <a:latin typeface="Aptos Narrow"/>
            <a:ea typeface="+mn-ea"/>
            <a:cs typeface="+mn-cs"/>
          </a:endParaRPr>
        </a:p>
      </xdr:txBody>
    </xdr:sp>
    <xdr:clientData/>
  </xdr:twoCellAnchor>
  <xdr:twoCellAnchor>
    <xdr:from>
      <xdr:col>20</xdr:col>
      <xdr:colOff>45310</xdr:colOff>
      <xdr:row>17</xdr:row>
      <xdr:rowOff>11740</xdr:rowOff>
    </xdr:from>
    <xdr:to>
      <xdr:col>21</xdr:col>
      <xdr:colOff>356293</xdr:colOff>
      <xdr:row>19</xdr:row>
      <xdr:rowOff>64459</xdr:rowOff>
    </xdr:to>
    <xdr:sp macro="" textlink="Processing!K29">
      <xdr:nvSpPr>
        <xdr:cNvPr id="37" name="TextBox 36">
          <a:extLst>
            <a:ext uri="{FF2B5EF4-FFF2-40B4-BE49-F238E27FC236}">
              <a16:creationId xmlns:a16="http://schemas.microsoft.com/office/drawing/2014/main" id="{43F1E795-5576-1FA6-7455-E5B3228EC990}"/>
            </a:ext>
          </a:extLst>
        </xdr:cNvPr>
        <xdr:cNvSpPr txBox="1"/>
      </xdr:nvSpPr>
      <xdr:spPr>
        <a:xfrm>
          <a:off x="12237310" y="3157711"/>
          <a:ext cx="920583" cy="42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106E38F-D9A5-426F-8B71-DF877FEB000D}" type="TxLink">
            <a:rPr lang="en-US" sz="2000" b="0" i="0" u="none" strike="noStrike">
              <a:solidFill>
                <a:schemeClr val="bg1"/>
              </a:solidFill>
              <a:latin typeface="Aptos Narrow"/>
              <a:ea typeface="+mn-ea"/>
              <a:cs typeface="+mn-cs"/>
            </a:rPr>
            <a:pPr marL="0" indent="0" algn="l"/>
            <a:t>8k</a:t>
          </a:fld>
          <a:endParaRPr lang="ru-RU" sz="2000" b="0" i="0" u="none" strike="noStrike">
            <a:solidFill>
              <a:schemeClr val="bg1"/>
            </a:solidFill>
            <a:latin typeface="Aptos Narrow"/>
            <a:ea typeface="+mn-ea"/>
            <a:cs typeface="+mn-cs"/>
          </a:endParaRPr>
        </a:p>
      </xdr:txBody>
    </xdr:sp>
    <xdr:clientData/>
  </xdr:twoCellAnchor>
  <xdr:twoCellAnchor>
    <xdr:from>
      <xdr:col>5</xdr:col>
      <xdr:colOff>283028</xdr:colOff>
      <xdr:row>7</xdr:row>
      <xdr:rowOff>21772</xdr:rowOff>
    </xdr:from>
    <xdr:to>
      <xdr:col>10</xdr:col>
      <xdr:colOff>457199</xdr:colOff>
      <xdr:row>14</xdr:row>
      <xdr:rowOff>130630</xdr:rowOff>
    </xdr:to>
    <xdr:sp macro="" textlink="">
      <xdr:nvSpPr>
        <xdr:cNvPr id="46" name="Rectangle 45">
          <a:hlinkClick xmlns:r="http://schemas.openxmlformats.org/officeDocument/2006/relationships" r:id="rId7"/>
          <a:extLst>
            <a:ext uri="{FF2B5EF4-FFF2-40B4-BE49-F238E27FC236}">
              <a16:creationId xmlns:a16="http://schemas.microsoft.com/office/drawing/2014/main" id="{C2826995-FF27-4A22-A9FB-259A9C1236B8}"/>
            </a:ext>
          </a:extLst>
        </xdr:cNvPr>
        <xdr:cNvSpPr/>
      </xdr:nvSpPr>
      <xdr:spPr>
        <a:xfrm>
          <a:off x="3331028" y="1317172"/>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283028</xdr:colOff>
      <xdr:row>7</xdr:row>
      <xdr:rowOff>21772</xdr:rowOff>
    </xdr:from>
    <xdr:to>
      <xdr:col>16</xdr:col>
      <xdr:colOff>457199</xdr:colOff>
      <xdr:row>14</xdr:row>
      <xdr:rowOff>130630</xdr:rowOff>
    </xdr:to>
    <xdr:sp macro="" textlink="">
      <xdr:nvSpPr>
        <xdr:cNvPr id="47" name="Rectangle 46">
          <a:hlinkClick xmlns:r="http://schemas.openxmlformats.org/officeDocument/2006/relationships" r:id="rId8"/>
          <a:extLst>
            <a:ext uri="{FF2B5EF4-FFF2-40B4-BE49-F238E27FC236}">
              <a16:creationId xmlns:a16="http://schemas.microsoft.com/office/drawing/2014/main" id="{D838EEB1-1F3E-4F7C-8ED1-955E554542F5}"/>
            </a:ext>
          </a:extLst>
        </xdr:cNvPr>
        <xdr:cNvSpPr/>
      </xdr:nvSpPr>
      <xdr:spPr>
        <a:xfrm>
          <a:off x="6988628" y="1317172"/>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272142</xdr:colOff>
      <xdr:row>7</xdr:row>
      <xdr:rowOff>21772</xdr:rowOff>
    </xdr:from>
    <xdr:to>
      <xdr:col>28</xdr:col>
      <xdr:colOff>446313</xdr:colOff>
      <xdr:row>14</xdr:row>
      <xdr:rowOff>130630</xdr:rowOff>
    </xdr:to>
    <xdr:sp macro="" textlink="">
      <xdr:nvSpPr>
        <xdr:cNvPr id="49" name="Rectangle 48">
          <a:hlinkClick xmlns:r="http://schemas.openxmlformats.org/officeDocument/2006/relationships" r:id="rId9"/>
          <a:extLst>
            <a:ext uri="{FF2B5EF4-FFF2-40B4-BE49-F238E27FC236}">
              <a16:creationId xmlns:a16="http://schemas.microsoft.com/office/drawing/2014/main" id="{DEA342DF-B76B-419A-95C3-6F9E1C5031D0}"/>
            </a:ext>
          </a:extLst>
        </xdr:cNvPr>
        <xdr:cNvSpPr/>
      </xdr:nvSpPr>
      <xdr:spPr>
        <a:xfrm>
          <a:off x="14292942" y="1317172"/>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3</xdr:col>
      <xdr:colOff>424540</xdr:colOff>
      <xdr:row>17</xdr:row>
      <xdr:rowOff>163285</xdr:rowOff>
    </xdr:from>
    <xdr:to>
      <xdr:col>4</xdr:col>
      <xdr:colOff>363580</xdr:colOff>
      <xdr:row>20</xdr:row>
      <xdr:rowOff>156753</xdr:rowOff>
    </xdr:to>
    <xdr:pic>
      <xdr:nvPicPr>
        <xdr:cNvPr id="50" name="Graphic 49" descr="Bar chart outline">
          <a:hlinkClick xmlns:r="http://schemas.openxmlformats.org/officeDocument/2006/relationships" r:id="rId10"/>
          <a:extLst>
            <a:ext uri="{FF2B5EF4-FFF2-40B4-BE49-F238E27FC236}">
              <a16:creationId xmlns:a16="http://schemas.microsoft.com/office/drawing/2014/main" id="{37070F59-B638-4D37-A49D-31C5F9CB063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253340" y="3309256"/>
          <a:ext cx="548640" cy="548640"/>
        </a:xfrm>
        <a:prstGeom prst="rect">
          <a:avLst/>
        </a:prstGeom>
      </xdr:spPr>
    </xdr:pic>
    <xdr:clientData/>
  </xdr:twoCellAnchor>
  <xdr:twoCellAnchor>
    <xdr:from>
      <xdr:col>3</xdr:col>
      <xdr:colOff>337458</xdr:colOff>
      <xdr:row>24</xdr:row>
      <xdr:rowOff>129541</xdr:rowOff>
    </xdr:from>
    <xdr:to>
      <xdr:col>4</xdr:col>
      <xdr:colOff>459378</xdr:colOff>
      <xdr:row>28</xdr:row>
      <xdr:rowOff>120832</xdr:rowOff>
    </xdr:to>
    <xdr:graphicFrame macro="">
      <xdr:nvGraphicFramePr>
        <xdr:cNvPr id="51" name="Chart 50">
          <a:extLst>
            <a:ext uri="{FF2B5EF4-FFF2-40B4-BE49-F238E27FC236}">
              <a16:creationId xmlns:a16="http://schemas.microsoft.com/office/drawing/2014/main" id="{4CC732EB-DA87-40E9-A639-A2779EAEB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3</xdr:col>
      <xdr:colOff>424542</xdr:colOff>
      <xdr:row>29</xdr:row>
      <xdr:rowOff>9253</xdr:rowOff>
    </xdr:from>
    <xdr:to>
      <xdr:col>4</xdr:col>
      <xdr:colOff>363582</xdr:colOff>
      <xdr:row>32</xdr:row>
      <xdr:rowOff>2721</xdr:rowOff>
    </xdr:to>
    <xdr:pic>
      <xdr:nvPicPr>
        <xdr:cNvPr id="52" name="Graphic 51" descr="Money outline">
          <a:hlinkClick xmlns:r="http://schemas.openxmlformats.org/officeDocument/2006/relationships" r:id="rId14"/>
          <a:extLst>
            <a:ext uri="{FF2B5EF4-FFF2-40B4-BE49-F238E27FC236}">
              <a16:creationId xmlns:a16="http://schemas.microsoft.com/office/drawing/2014/main" id="{0372D703-42AF-4317-94A7-E9638C41C01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253342" y="5375910"/>
          <a:ext cx="548640" cy="548640"/>
        </a:xfrm>
        <a:prstGeom prst="rect">
          <a:avLst/>
        </a:prstGeom>
      </xdr:spPr>
    </xdr:pic>
    <xdr:clientData/>
  </xdr:twoCellAnchor>
  <xdr:twoCellAnchor>
    <xdr:from>
      <xdr:col>3</xdr:col>
      <xdr:colOff>468084</xdr:colOff>
      <xdr:row>21</xdr:row>
      <xdr:rowOff>99604</xdr:rowOff>
    </xdr:from>
    <xdr:to>
      <xdr:col>4</xdr:col>
      <xdr:colOff>407124</xdr:colOff>
      <xdr:row>24</xdr:row>
      <xdr:rowOff>1633</xdr:rowOff>
    </xdr:to>
    <xdr:grpSp>
      <xdr:nvGrpSpPr>
        <xdr:cNvPr id="53" name="Group 52">
          <a:hlinkClick xmlns:r="http://schemas.openxmlformats.org/officeDocument/2006/relationships" r:id="rId7"/>
          <a:extLst>
            <a:ext uri="{FF2B5EF4-FFF2-40B4-BE49-F238E27FC236}">
              <a16:creationId xmlns:a16="http://schemas.microsoft.com/office/drawing/2014/main" id="{F53FC94B-4614-4969-8A7A-BBFAC6024D21}"/>
            </a:ext>
          </a:extLst>
        </xdr:cNvPr>
        <xdr:cNvGrpSpPr/>
      </xdr:nvGrpSpPr>
      <xdr:grpSpPr>
        <a:xfrm>
          <a:off x="2226546" y="4070796"/>
          <a:ext cx="525193" cy="473529"/>
          <a:chOff x="6520543" y="3673855"/>
          <a:chExt cx="923590" cy="804672"/>
        </a:xfrm>
        <a:solidFill>
          <a:schemeClr val="bg1"/>
        </a:solidFill>
      </xdr:grpSpPr>
      <xdr:pic>
        <xdr:nvPicPr>
          <xdr:cNvPr id="54" name="Graphic 53" descr="User with solid fill">
            <a:extLst>
              <a:ext uri="{FF2B5EF4-FFF2-40B4-BE49-F238E27FC236}">
                <a16:creationId xmlns:a16="http://schemas.microsoft.com/office/drawing/2014/main" id="{8E1D98BB-9864-3C27-54E4-A69097A42893}"/>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639461" y="3673855"/>
            <a:ext cx="804672" cy="804672"/>
          </a:xfrm>
          <a:prstGeom prst="rect">
            <a:avLst/>
          </a:prstGeom>
        </xdr:spPr>
      </xdr:pic>
      <xdr:grpSp>
        <xdr:nvGrpSpPr>
          <xdr:cNvPr id="55" name="Graphic 15" descr="User with solid fill">
            <a:extLst>
              <a:ext uri="{FF2B5EF4-FFF2-40B4-BE49-F238E27FC236}">
                <a16:creationId xmlns:a16="http://schemas.microsoft.com/office/drawing/2014/main" id="{634B5E70-ED28-A3D2-08CA-F91A6621E9E0}"/>
              </a:ext>
            </a:extLst>
          </xdr:cNvPr>
          <xdr:cNvGrpSpPr/>
        </xdr:nvGrpSpPr>
        <xdr:grpSpPr>
          <a:xfrm>
            <a:off x="6520543" y="3801837"/>
            <a:ext cx="609600" cy="604156"/>
            <a:chOff x="8164286" y="3867151"/>
            <a:chExt cx="609600" cy="604156"/>
          </a:xfrm>
          <a:grpFill/>
        </xdr:grpSpPr>
        <xdr:sp macro="" textlink="">
          <xdr:nvSpPr>
            <xdr:cNvPr id="56" name="Freeform: Shape 55">
              <a:extLst>
                <a:ext uri="{FF2B5EF4-FFF2-40B4-BE49-F238E27FC236}">
                  <a16:creationId xmlns:a16="http://schemas.microsoft.com/office/drawing/2014/main" id="{8937B014-8272-0FC9-7A18-F1BE1DD73D4B}"/>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06966"/>
              </a:solidFill>
              <a:prstDash val="solid"/>
              <a:miter/>
            </a:ln>
          </xdr:spPr>
          <xdr:txBody>
            <a:bodyPr rtlCol="0" anchor="ctr"/>
            <a:lstStyle/>
            <a:p>
              <a:endParaRPr lang="ru-RU"/>
            </a:p>
          </xdr:txBody>
        </xdr:sp>
        <xdr:sp macro="" textlink="">
          <xdr:nvSpPr>
            <xdr:cNvPr id="57" name="Freeform: Shape 56">
              <a:extLst>
                <a:ext uri="{FF2B5EF4-FFF2-40B4-BE49-F238E27FC236}">
                  <a16:creationId xmlns:a16="http://schemas.microsoft.com/office/drawing/2014/main" id="{3542FA6C-DCDA-5A42-336C-E277FC71F365}"/>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06966"/>
              </a:solidFill>
              <a:prstDash val="solid"/>
              <a:miter/>
            </a:ln>
          </xdr:spPr>
          <xdr:txBody>
            <a:bodyPr rtlCol="0" anchor="ctr"/>
            <a:lstStyle/>
            <a:p>
              <a:endParaRPr lang="ru-RU"/>
            </a:p>
          </xdr:txBody>
        </xdr:sp>
      </xdr:grpSp>
    </xdr:grpSp>
    <xdr:clientData/>
  </xdr:twoCellAnchor>
  <xdr:twoCellAnchor editAs="oneCell">
    <xdr:from>
      <xdr:col>3</xdr:col>
      <xdr:colOff>424542</xdr:colOff>
      <xdr:row>33</xdr:row>
      <xdr:rowOff>0</xdr:rowOff>
    </xdr:from>
    <xdr:to>
      <xdr:col>4</xdr:col>
      <xdr:colOff>363582</xdr:colOff>
      <xdr:row>35</xdr:row>
      <xdr:rowOff>178526</xdr:rowOff>
    </xdr:to>
    <xdr:pic>
      <xdr:nvPicPr>
        <xdr:cNvPr id="58" name="Graphic 57" descr="Clipboard Mixed outline">
          <a:hlinkClick xmlns:r="http://schemas.openxmlformats.org/officeDocument/2006/relationships" r:id="rId9"/>
          <a:extLst>
            <a:ext uri="{FF2B5EF4-FFF2-40B4-BE49-F238E27FC236}">
              <a16:creationId xmlns:a16="http://schemas.microsoft.com/office/drawing/2014/main" id="{7A1D002A-55A8-4728-9DDB-B1EBBB46043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253342" y="6106886"/>
          <a:ext cx="548640" cy="548640"/>
        </a:xfrm>
        <a:prstGeom prst="rect">
          <a:avLst/>
        </a:prstGeom>
      </xdr:spPr>
    </xdr:pic>
    <xdr:clientData/>
  </xdr:twoCellAnchor>
  <xdr:twoCellAnchor>
    <xdr:from>
      <xdr:col>3</xdr:col>
      <xdr:colOff>424542</xdr:colOff>
      <xdr:row>25</xdr:row>
      <xdr:rowOff>10887</xdr:rowOff>
    </xdr:from>
    <xdr:to>
      <xdr:col>4</xdr:col>
      <xdr:colOff>391885</xdr:colOff>
      <xdr:row>28</xdr:row>
      <xdr:rowOff>32659</xdr:rowOff>
    </xdr:to>
    <xdr:sp macro="" textlink="">
      <xdr:nvSpPr>
        <xdr:cNvPr id="59" name="Rectangle 58">
          <a:hlinkClick xmlns:r="http://schemas.openxmlformats.org/officeDocument/2006/relationships" r:id="rId8"/>
          <a:extLst>
            <a:ext uri="{FF2B5EF4-FFF2-40B4-BE49-F238E27FC236}">
              <a16:creationId xmlns:a16="http://schemas.microsoft.com/office/drawing/2014/main" id="{B378A2C8-CFC1-412D-AE26-6013A7EBD931}"/>
            </a:ext>
          </a:extLst>
        </xdr:cNvPr>
        <xdr:cNvSpPr/>
      </xdr:nvSpPr>
      <xdr:spPr>
        <a:xfrm>
          <a:off x="2253342" y="4637316"/>
          <a:ext cx="576943" cy="5769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413657</xdr:colOff>
      <xdr:row>29</xdr:row>
      <xdr:rowOff>21771</xdr:rowOff>
    </xdr:from>
    <xdr:to>
      <xdr:col>4</xdr:col>
      <xdr:colOff>381000</xdr:colOff>
      <xdr:row>32</xdr:row>
      <xdr:rowOff>43542</xdr:rowOff>
    </xdr:to>
    <xdr:sp macro="" textlink="">
      <xdr:nvSpPr>
        <xdr:cNvPr id="60" name="Oval 59">
          <a:extLst>
            <a:ext uri="{FF2B5EF4-FFF2-40B4-BE49-F238E27FC236}">
              <a16:creationId xmlns:a16="http://schemas.microsoft.com/office/drawing/2014/main" id="{C8543E9A-7DAC-49D7-8CB2-D6920BE0A218}"/>
            </a:ext>
          </a:extLst>
        </xdr:cNvPr>
        <xdr:cNvSpPr/>
      </xdr:nvSpPr>
      <xdr:spPr>
        <a:xfrm>
          <a:off x="2242457" y="5388428"/>
          <a:ext cx="576943" cy="576943"/>
        </a:xfrm>
        <a:prstGeom prst="ellipse">
          <a:avLst/>
        </a:prstGeom>
        <a:solidFill>
          <a:srgbClr val="9FE1D8">
            <a:alpha val="4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594360</xdr:colOff>
      <xdr:row>33</xdr:row>
      <xdr:rowOff>38100</xdr:rowOff>
    </xdr:to>
    <xdr:sp macro="" textlink="">
      <xdr:nvSpPr>
        <xdr:cNvPr id="2" name="Right Triangle 2">
          <a:extLst>
            <a:ext uri="{FF2B5EF4-FFF2-40B4-BE49-F238E27FC236}">
              <a16:creationId xmlns:a16="http://schemas.microsoft.com/office/drawing/2014/main" id="{DEE4102D-E49E-432B-BF21-8C5A92273650}"/>
            </a:ext>
          </a:extLst>
        </xdr:cNvPr>
        <xdr:cNvSpPr/>
      </xdr:nvSpPr>
      <xdr:spPr>
        <a:xfrm flipV="1">
          <a:off x="0" y="0"/>
          <a:ext cx="9128760" cy="6073140"/>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0 w 1303214"/>
            <a:gd name="connsiteY0" fmla="*/ 2217420 h 2320684"/>
            <a:gd name="connsiteX1" fmla="*/ 0 w 1303214"/>
            <a:gd name="connsiteY1" fmla="*/ 0 h 2320684"/>
            <a:gd name="connsiteX2" fmla="*/ 655320 w 1303214"/>
            <a:gd name="connsiteY2" fmla="*/ 685800 h 2320684"/>
            <a:gd name="connsiteX3" fmla="*/ 1287780 w 1303214"/>
            <a:gd name="connsiteY3" fmla="*/ 2217420 h 2320684"/>
            <a:gd name="connsiteX4" fmla="*/ 0 w 1303214"/>
            <a:gd name="connsiteY4" fmla="*/ 2217420 h 2320684"/>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249987"/>
        </a:solidFill>
        <a:ln w="9525">
          <a:solidFill>
            <a:srgbClr val="73C3A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10</xdr:col>
      <xdr:colOff>175260</xdr:colOff>
      <xdr:row>20</xdr:row>
      <xdr:rowOff>81836</xdr:rowOff>
    </xdr:to>
    <xdr:sp macro="" textlink="">
      <xdr:nvSpPr>
        <xdr:cNvPr id="3" name="Right Triangle 2">
          <a:extLst>
            <a:ext uri="{FF2B5EF4-FFF2-40B4-BE49-F238E27FC236}">
              <a16:creationId xmlns:a16="http://schemas.microsoft.com/office/drawing/2014/main" id="{D14670DB-82ED-4B9E-B4C5-B598FE3117D9}"/>
            </a:ext>
          </a:extLst>
        </xdr:cNvPr>
        <xdr:cNvSpPr/>
      </xdr:nvSpPr>
      <xdr:spPr>
        <a:xfrm flipV="1">
          <a:off x="0" y="0"/>
          <a:ext cx="6271260" cy="3739436"/>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0 w 1303214"/>
            <a:gd name="connsiteY0" fmla="*/ 2217420 h 2320684"/>
            <a:gd name="connsiteX1" fmla="*/ 0 w 1303214"/>
            <a:gd name="connsiteY1" fmla="*/ 0 h 2320684"/>
            <a:gd name="connsiteX2" fmla="*/ 655320 w 1303214"/>
            <a:gd name="connsiteY2" fmla="*/ 685800 h 2320684"/>
            <a:gd name="connsiteX3" fmla="*/ 1287780 w 1303214"/>
            <a:gd name="connsiteY3" fmla="*/ 2217420 h 2320684"/>
            <a:gd name="connsiteX4" fmla="*/ 0 w 1303214"/>
            <a:gd name="connsiteY4" fmla="*/ 2217420 h 2320684"/>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3FA48E"/>
        </a:solidFill>
        <a:ln w="9525">
          <a:solidFill>
            <a:srgbClr val="73C3A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2</xdr:col>
      <xdr:colOff>487680</xdr:colOff>
      <xdr:row>11</xdr:row>
      <xdr:rowOff>107222</xdr:rowOff>
    </xdr:to>
    <xdr:sp macro="" textlink="">
      <xdr:nvSpPr>
        <xdr:cNvPr id="4" name="Right Triangle 2">
          <a:extLst>
            <a:ext uri="{FF2B5EF4-FFF2-40B4-BE49-F238E27FC236}">
              <a16:creationId xmlns:a16="http://schemas.microsoft.com/office/drawing/2014/main" id="{F0B9BDE1-6D93-49D7-B0CA-0D6DF59B0339}"/>
            </a:ext>
          </a:extLst>
        </xdr:cNvPr>
        <xdr:cNvSpPr/>
      </xdr:nvSpPr>
      <xdr:spPr>
        <a:xfrm flipV="1">
          <a:off x="0" y="0"/>
          <a:ext cx="1706880" cy="2118902"/>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49AA91"/>
        </a:solidFill>
        <a:ln w="9525">
          <a:solidFill>
            <a:srgbClr val="73C3AE"/>
          </a:solidFill>
        </a:ln>
        <a:effectLst>
          <a:outerShdw blurRad="50800" dist="38100" dir="30000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315686</xdr:colOff>
      <xdr:row>4</xdr:row>
      <xdr:rowOff>10885</xdr:rowOff>
    </xdr:from>
    <xdr:to>
      <xdr:col>29</xdr:col>
      <xdr:colOff>489858</xdr:colOff>
      <xdr:row>47</xdr:row>
      <xdr:rowOff>100148</xdr:rowOff>
    </xdr:to>
    <xdr:sp macro="" textlink="">
      <xdr:nvSpPr>
        <xdr:cNvPr id="5" name="Rectangle: Rounded Corners 4">
          <a:extLst>
            <a:ext uri="{FF2B5EF4-FFF2-40B4-BE49-F238E27FC236}">
              <a16:creationId xmlns:a16="http://schemas.microsoft.com/office/drawing/2014/main" id="{10E3713E-1368-46A0-A147-DF9B0366E650}"/>
            </a:ext>
          </a:extLst>
        </xdr:cNvPr>
        <xdr:cNvSpPr/>
      </xdr:nvSpPr>
      <xdr:spPr>
        <a:xfrm>
          <a:off x="2144486" y="742405"/>
          <a:ext cx="16023772" cy="7953103"/>
        </a:xfrm>
        <a:prstGeom prst="roundRect">
          <a:avLst>
            <a:gd name="adj" fmla="val 6838"/>
          </a:avLst>
        </a:prstGeom>
        <a:solidFill>
          <a:schemeClr val="bg1"/>
        </a:solidFill>
        <a:ln w="12700">
          <a:solidFill>
            <a:srgbClr val="73C3AE"/>
          </a:solidFill>
        </a:ln>
        <a:effectLst>
          <a:outerShdw blurRad="1003300" dist="63500" dir="33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342901</xdr:colOff>
      <xdr:row>13</xdr:row>
      <xdr:rowOff>108859</xdr:rowOff>
    </xdr:from>
    <xdr:to>
      <xdr:col>4</xdr:col>
      <xdr:colOff>506187</xdr:colOff>
      <xdr:row>40</xdr:row>
      <xdr:rowOff>65317</xdr:rowOff>
    </xdr:to>
    <xdr:sp macro="" textlink="">
      <xdr:nvSpPr>
        <xdr:cNvPr id="6" name="Flowchart: Manual Operation 6">
          <a:extLst>
            <a:ext uri="{FF2B5EF4-FFF2-40B4-BE49-F238E27FC236}">
              <a16:creationId xmlns:a16="http://schemas.microsoft.com/office/drawing/2014/main" id="{9751CDF3-28F3-4A36-8B51-8F863ECAF425}"/>
            </a:ext>
          </a:extLst>
        </xdr:cNvPr>
        <xdr:cNvSpPr/>
      </xdr:nvSpPr>
      <xdr:spPr>
        <a:xfrm rot="16200000">
          <a:off x="111035" y="4546965"/>
          <a:ext cx="4894218" cy="772886"/>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959" y="2935"/>
                <a:pt x="9333" y="8333"/>
                <a:pt x="8000" y="10000"/>
              </a:cubicBezTo>
              <a:lnTo>
                <a:pt x="2000" y="10000"/>
              </a:lnTo>
              <a:cubicBezTo>
                <a:pt x="667" y="8333"/>
                <a:pt x="953" y="2230"/>
                <a:pt x="0" y="0"/>
              </a:cubicBezTo>
              <a:close/>
            </a:path>
          </a:pathLst>
        </a:custGeom>
        <a:solidFill>
          <a:srgbClr val="0682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185059</xdr:colOff>
      <xdr:row>6</xdr:row>
      <xdr:rowOff>141512</xdr:rowOff>
    </xdr:from>
    <xdr:to>
      <xdr:col>10</xdr:col>
      <xdr:colOff>544287</xdr:colOff>
      <xdr:row>15</xdr:row>
      <xdr:rowOff>21770</xdr:rowOff>
    </xdr:to>
    <xdr:sp macro="" textlink="">
      <xdr:nvSpPr>
        <xdr:cNvPr id="7" name="Rectangle: Rounded Corners 6">
          <a:extLst>
            <a:ext uri="{FF2B5EF4-FFF2-40B4-BE49-F238E27FC236}">
              <a16:creationId xmlns:a16="http://schemas.microsoft.com/office/drawing/2014/main" id="{7839BB89-62FB-4BAD-A22B-8713B5733344}"/>
            </a:ext>
          </a:extLst>
        </xdr:cNvPr>
        <xdr:cNvSpPr/>
      </xdr:nvSpPr>
      <xdr:spPr>
        <a:xfrm>
          <a:off x="3233059"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11</xdr:col>
      <xdr:colOff>181431</xdr:colOff>
      <xdr:row>6</xdr:row>
      <xdr:rowOff>141512</xdr:rowOff>
    </xdr:from>
    <xdr:to>
      <xdr:col>16</xdr:col>
      <xdr:colOff>540659</xdr:colOff>
      <xdr:row>15</xdr:row>
      <xdr:rowOff>21770</xdr:rowOff>
    </xdr:to>
    <xdr:sp macro="" textlink="">
      <xdr:nvSpPr>
        <xdr:cNvPr id="8" name="Rectangle: Rounded Corners 7">
          <a:extLst>
            <a:ext uri="{FF2B5EF4-FFF2-40B4-BE49-F238E27FC236}">
              <a16:creationId xmlns:a16="http://schemas.microsoft.com/office/drawing/2014/main" id="{51AABCE9-AA96-4F43-8C45-71C27AE04405}"/>
            </a:ext>
          </a:extLst>
        </xdr:cNvPr>
        <xdr:cNvSpPr/>
      </xdr:nvSpPr>
      <xdr:spPr>
        <a:xfrm>
          <a:off x="6887031"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17</xdr:col>
      <xdr:colOff>177803</xdr:colOff>
      <xdr:row>6</xdr:row>
      <xdr:rowOff>141512</xdr:rowOff>
    </xdr:from>
    <xdr:to>
      <xdr:col>22</xdr:col>
      <xdr:colOff>537031</xdr:colOff>
      <xdr:row>15</xdr:row>
      <xdr:rowOff>21770</xdr:rowOff>
    </xdr:to>
    <xdr:sp macro="" textlink="">
      <xdr:nvSpPr>
        <xdr:cNvPr id="9" name="Rectangle: Rounded Corners 8">
          <a:extLst>
            <a:ext uri="{FF2B5EF4-FFF2-40B4-BE49-F238E27FC236}">
              <a16:creationId xmlns:a16="http://schemas.microsoft.com/office/drawing/2014/main" id="{316597F5-6525-4E27-8878-FA5712132DEA}"/>
            </a:ext>
          </a:extLst>
        </xdr:cNvPr>
        <xdr:cNvSpPr/>
      </xdr:nvSpPr>
      <xdr:spPr>
        <a:xfrm>
          <a:off x="10541003"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23</xdr:col>
      <xdr:colOff>174174</xdr:colOff>
      <xdr:row>6</xdr:row>
      <xdr:rowOff>141512</xdr:rowOff>
    </xdr:from>
    <xdr:to>
      <xdr:col>28</xdr:col>
      <xdr:colOff>533402</xdr:colOff>
      <xdr:row>15</xdr:row>
      <xdr:rowOff>21770</xdr:rowOff>
    </xdr:to>
    <xdr:sp macro="" textlink="">
      <xdr:nvSpPr>
        <xdr:cNvPr id="10" name="Rectangle: Rounded Corners 9">
          <a:extLst>
            <a:ext uri="{FF2B5EF4-FFF2-40B4-BE49-F238E27FC236}">
              <a16:creationId xmlns:a16="http://schemas.microsoft.com/office/drawing/2014/main" id="{823C029A-47D3-4088-9993-EA7595FF5997}"/>
            </a:ext>
          </a:extLst>
        </xdr:cNvPr>
        <xdr:cNvSpPr/>
      </xdr:nvSpPr>
      <xdr:spPr>
        <a:xfrm>
          <a:off x="14194974" y="1238792"/>
          <a:ext cx="3407228" cy="1526178"/>
        </a:xfrm>
        <a:prstGeom prst="roundRect">
          <a:avLst>
            <a:gd name="adj" fmla="val 14554"/>
          </a:avLst>
        </a:prstGeom>
        <a:gradFill>
          <a:gsLst>
            <a:gs pos="14000">
              <a:srgbClr val="249987"/>
            </a:gs>
            <a:gs pos="100000">
              <a:srgbClr val="70D2C3"/>
            </a:gs>
          </a:gsLst>
          <a:lin ang="2700000" scaled="0"/>
        </a:gra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541630</xdr:colOff>
      <xdr:row>8</xdr:row>
      <xdr:rowOff>91268</xdr:rowOff>
    </xdr:from>
    <xdr:to>
      <xdr:col>7</xdr:col>
      <xdr:colOff>41535</xdr:colOff>
      <xdr:row>11</xdr:row>
      <xdr:rowOff>162612</xdr:rowOff>
    </xdr:to>
    <xdr:grpSp>
      <xdr:nvGrpSpPr>
        <xdr:cNvPr id="11" name="Group 10">
          <a:extLst>
            <a:ext uri="{FF2B5EF4-FFF2-40B4-BE49-F238E27FC236}">
              <a16:creationId xmlns:a16="http://schemas.microsoft.com/office/drawing/2014/main" id="{5117BA08-FC86-48D8-B909-47755A7D3DE5}"/>
            </a:ext>
          </a:extLst>
        </xdr:cNvPr>
        <xdr:cNvGrpSpPr/>
      </xdr:nvGrpSpPr>
      <xdr:grpSpPr>
        <a:xfrm>
          <a:off x="3472399" y="1585960"/>
          <a:ext cx="672213" cy="642844"/>
          <a:chOff x="6520543" y="3673855"/>
          <a:chExt cx="923590" cy="804672"/>
        </a:xfrm>
        <a:solidFill>
          <a:srgbClr val="006966"/>
        </a:solidFill>
      </xdr:grpSpPr>
      <xdr:pic>
        <xdr:nvPicPr>
          <xdr:cNvPr id="12" name="Graphic 11" descr="User with solid fill">
            <a:extLst>
              <a:ext uri="{FF2B5EF4-FFF2-40B4-BE49-F238E27FC236}">
                <a16:creationId xmlns:a16="http://schemas.microsoft.com/office/drawing/2014/main" id="{88F460B6-FF56-4ADE-D6B8-37928242A8A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39461" y="3673855"/>
            <a:ext cx="804672" cy="804672"/>
          </a:xfrm>
          <a:prstGeom prst="rect">
            <a:avLst/>
          </a:prstGeom>
        </xdr:spPr>
      </xdr:pic>
      <xdr:grpSp>
        <xdr:nvGrpSpPr>
          <xdr:cNvPr id="13" name="Graphic 15" descr="User with solid fill">
            <a:extLst>
              <a:ext uri="{FF2B5EF4-FFF2-40B4-BE49-F238E27FC236}">
                <a16:creationId xmlns:a16="http://schemas.microsoft.com/office/drawing/2014/main" id="{218B858A-6839-E037-4DA0-7F9104562E09}"/>
              </a:ext>
            </a:extLst>
          </xdr:cNvPr>
          <xdr:cNvGrpSpPr/>
        </xdr:nvGrpSpPr>
        <xdr:grpSpPr>
          <a:xfrm>
            <a:off x="6520543" y="3801837"/>
            <a:ext cx="609600" cy="604156"/>
            <a:chOff x="8164286" y="3867151"/>
            <a:chExt cx="609600" cy="604156"/>
          </a:xfrm>
          <a:grpFill/>
        </xdr:grpSpPr>
        <xdr:sp macro="" textlink="">
          <xdr:nvSpPr>
            <xdr:cNvPr id="14" name="Freeform: Shape 13">
              <a:extLst>
                <a:ext uri="{FF2B5EF4-FFF2-40B4-BE49-F238E27FC236}">
                  <a16:creationId xmlns:a16="http://schemas.microsoft.com/office/drawing/2014/main" id="{89076342-C7E6-84F6-7DC0-7756D19609D2}"/>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chemeClr val="bg1"/>
              </a:solidFill>
              <a:prstDash val="solid"/>
              <a:miter/>
            </a:ln>
          </xdr:spPr>
          <xdr:txBody>
            <a:bodyPr rtlCol="0" anchor="ctr"/>
            <a:lstStyle/>
            <a:p>
              <a:endParaRPr lang="ru-RU"/>
            </a:p>
          </xdr:txBody>
        </xdr:sp>
        <xdr:sp macro="" textlink="">
          <xdr:nvSpPr>
            <xdr:cNvPr id="15" name="Freeform: Shape 14">
              <a:extLst>
                <a:ext uri="{FF2B5EF4-FFF2-40B4-BE49-F238E27FC236}">
                  <a16:creationId xmlns:a16="http://schemas.microsoft.com/office/drawing/2014/main" id="{E7876250-1DE0-3124-D86B-9E0DC292A604}"/>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chemeClr val="bg1"/>
              </a:solidFill>
              <a:prstDash val="solid"/>
              <a:miter/>
            </a:ln>
          </xdr:spPr>
          <xdr:txBody>
            <a:bodyPr rtlCol="0" anchor="ctr"/>
            <a:lstStyle/>
            <a:p>
              <a:endParaRPr lang="ru-RU"/>
            </a:p>
          </xdr:txBody>
        </xdr:sp>
      </xdr:grpSp>
    </xdr:grpSp>
    <xdr:clientData/>
  </xdr:twoCellAnchor>
  <xdr:twoCellAnchor>
    <xdr:from>
      <xdr:col>17</xdr:col>
      <xdr:colOff>239826</xdr:colOff>
      <xdr:row>8</xdr:row>
      <xdr:rowOff>65315</xdr:rowOff>
    </xdr:from>
    <xdr:to>
      <xdr:col>22</xdr:col>
      <xdr:colOff>475008</xdr:colOff>
      <xdr:row>12</xdr:row>
      <xdr:rowOff>130629</xdr:rowOff>
    </xdr:to>
    <xdr:sp macro="" textlink="Processing!B4">
      <xdr:nvSpPr>
        <xdr:cNvPr id="16" name="TextBox 15">
          <a:extLst>
            <a:ext uri="{FF2B5EF4-FFF2-40B4-BE49-F238E27FC236}">
              <a16:creationId xmlns:a16="http://schemas.microsoft.com/office/drawing/2014/main" id="{7223729B-1155-4C0B-BEBB-C5307785225A}"/>
            </a:ext>
          </a:extLst>
        </xdr:cNvPr>
        <xdr:cNvSpPr txBox="1"/>
      </xdr:nvSpPr>
      <xdr:spPr>
        <a:xfrm>
          <a:off x="10603026" y="1528355"/>
          <a:ext cx="3283182"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B36422D-0FC2-41A2-BD2B-94815EC06F19}" type="TxLink">
            <a:rPr lang="en-US" sz="4000" b="0" i="0" u="none" strike="noStrike">
              <a:solidFill>
                <a:srgbClr val="006966"/>
              </a:solidFill>
              <a:latin typeface="Aptos Narrow"/>
              <a:ea typeface="+mn-ea"/>
              <a:cs typeface="+mn-cs"/>
            </a:rPr>
            <a:pPr marL="0" indent="0" algn="ctr"/>
            <a:t> $5,000 </a:t>
          </a:fld>
          <a:endParaRPr lang="ru-RU" sz="4000" b="0" i="0" u="none" strike="noStrike">
            <a:solidFill>
              <a:srgbClr val="006966"/>
            </a:solidFill>
            <a:latin typeface="Aptos Narrow"/>
            <a:ea typeface="+mn-ea"/>
            <a:cs typeface="+mn-cs"/>
          </a:endParaRPr>
        </a:p>
      </xdr:txBody>
    </xdr:sp>
    <xdr:clientData/>
  </xdr:twoCellAnchor>
  <xdr:twoCellAnchor>
    <xdr:from>
      <xdr:col>6</xdr:col>
      <xdr:colOff>157844</xdr:colOff>
      <xdr:row>12</xdr:row>
      <xdr:rowOff>54429</xdr:rowOff>
    </xdr:from>
    <xdr:to>
      <xdr:col>9</xdr:col>
      <xdr:colOff>571502</xdr:colOff>
      <xdr:row>15</xdr:row>
      <xdr:rowOff>10887</xdr:rowOff>
    </xdr:to>
    <xdr:sp macro="" textlink="Processing!A2">
      <xdr:nvSpPr>
        <xdr:cNvPr id="17" name="TextBox 16">
          <a:extLst>
            <a:ext uri="{FF2B5EF4-FFF2-40B4-BE49-F238E27FC236}">
              <a16:creationId xmlns:a16="http://schemas.microsoft.com/office/drawing/2014/main" id="{7B399267-AB9E-463F-923B-F7C0B9304605}"/>
            </a:ext>
          </a:extLst>
        </xdr:cNvPr>
        <xdr:cNvSpPr txBox="1"/>
      </xdr:nvSpPr>
      <xdr:spPr>
        <a:xfrm>
          <a:off x="3815444"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FD6D120-AE2D-4647-992D-328FDEDCAD81}" type="TxLink">
            <a:rPr lang="en-US" sz="2000" b="0" i="0" u="none" strike="noStrike">
              <a:solidFill>
                <a:srgbClr val="006966"/>
              </a:solidFill>
              <a:latin typeface="Aptos Narrow"/>
              <a:ea typeface="+mn-ea"/>
              <a:cs typeface="+mn-cs"/>
            </a:rPr>
            <a:pPr marL="0" indent="0" algn="ctr"/>
            <a:t>Visitors &amp; Buyers</a:t>
          </a:fld>
          <a:endParaRPr lang="ru-RU" sz="2000" b="0" i="0" u="none" strike="noStrike">
            <a:solidFill>
              <a:srgbClr val="006966"/>
            </a:solidFill>
            <a:latin typeface="Aptos Narrow"/>
            <a:ea typeface="+mn-ea"/>
            <a:cs typeface="+mn-cs"/>
          </a:endParaRPr>
        </a:p>
      </xdr:txBody>
    </xdr:sp>
    <xdr:clientData/>
  </xdr:twoCellAnchor>
  <xdr:twoCellAnchor>
    <xdr:from>
      <xdr:col>7</xdr:col>
      <xdr:colOff>87085</xdr:colOff>
      <xdr:row>8</xdr:row>
      <xdr:rowOff>87086</xdr:rowOff>
    </xdr:from>
    <xdr:to>
      <xdr:col>10</xdr:col>
      <xdr:colOff>500743</xdr:colOff>
      <xdr:row>12</xdr:row>
      <xdr:rowOff>152400</xdr:rowOff>
    </xdr:to>
    <xdr:sp macro="" textlink="Processing!B2">
      <xdr:nvSpPr>
        <xdr:cNvPr id="18" name="TextBox 17">
          <a:extLst>
            <a:ext uri="{FF2B5EF4-FFF2-40B4-BE49-F238E27FC236}">
              <a16:creationId xmlns:a16="http://schemas.microsoft.com/office/drawing/2014/main" id="{F9EBB408-E14E-45C5-8F0C-E817A03F0DBE}"/>
            </a:ext>
          </a:extLst>
        </xdr:cNvPr>
        <xdr:cNvSpPr txBox="1"/>
      </xdr:nvSpPr>
      <xdr:spPr>
        <a:xfrm>
          <a:off x="4354285" y="1550126"/>
          <a:ext cx="2242458"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240F2C31-A97C-41B3-8A16-9FDA3F3B6158}" type="TxLink">
            <a:rPr lang="en-US" sz="4000" b="0" i="0" u="none" strike="noStrike">
              <a:solidFill>
                <a:srgbClr val="006966"/>
              </a:solidFill>
              <a:latin typeface="Aptos Narrow"/>
              <a:ea typeface="+mn-ea"/>
              <a:cs typeface="+mn-cs"/>
            </a:rPr>
            <a:pPr marL="0" indent="0"/>
            <a:t> 8 333</a:t>
          </a:fld>
          <a:endParaRPr lang="ru-RU" sz="4000" b="0" i="0" u="none" strike="noStrike">
            <a:solidFill>
              <a:srgbClr val="006966"/>
            </a:solidFill>
            <a:latin typeface="Aptos Narrow"/>
            <a:ea typeface="+mn-ea"/>
            <a:cs typeface="+mn-cs"/>
          </a:endParaRPr>
        </a:p>
      </xdr:txBody>
    </xdr:sp>
    <xdr:clientData/>
  </xdr:twoCellAnchor>
  <xdr:twoCellAnchor>
    <xdr:from>
      <xdr:col>18</xdr:col>
      <xdr:colOff>150588</xdr:colOff>
      <xdr:row>12</xdr:row>
      <xdr:rowOff>54429</xdr:rowOff>
    </xdr:from>
    <xdr:to>
      <xdr:col>21</xdr:col>
      <xdr:colOff>564246</xdr:colOff>
      <xdr:row>15</xdr:row>
      <xdr:rowOff>10887</xdr:rowOff>
    </xdr:to>
    <xdr:sp macro="" textlink="Processing!A4">
      <xdr:nvSpPr>
        <xdr:cNvPr id="19" name="TextBox 18">
          <a:extLst>
            <a:ext uri="{FF2B5EF4-FFF2-40B4-BE49-F238E27FC236}">
              <a16:creationId xmlns:a16="http://schemas.microsoft.com/office/drawing/2014/main" id="{EC7BA790-8D55-42B8-8878-68ABB3B9CF7D}"/>
            </a:ext>
          </a:extLst>
        </xdr:cNvPr>
        <xdr:cNvSpPr txBox="1"/>
      </xdr:nvSpPr>
      <xdr:spPr>
        <a:xfrm>
          <a:off x="11123388"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A9DEBBE-8346-447D-BB37-708CEF2642B0}" type="TxLink">
            <a:rPr lang="en-US" sz="2000" b="0" i="0" u="none" strike="noStrike">
              <a:solidFill>
                <a:srgbClr val="006966"/>
              </a:solidFill>
              <a:latin typeface="Aptos Narrow"/>
              <a:ea typeface="+mn-ea"/>
              <a:cs typeface="+mn-cs"/>
            </a:rPr>
            <a:pPr marL="0" indent="0" algn="ctr"/>
            <a:t>Profit</a:t>
          </a:fld>
          <a:endParaRPr lang="ru-RU" sz="2000" b="0" i="0" u="none" strike="noStrike">
            <a:solidFill>
              <a:srgbClr val="006966"/>
            </a:solidFill>
            <a:latin typeface="Aptos Narrow"/>
            <a:ea typeface="+mn-ea"/>
            <a:cs typeface="+mn-cs"/>
          </a:endParaRPr>
        </a:p>
      </xdr:txBody>
    </xdr:sp>
    <xdr:clientData/>
  </xdr:twoCellAnchor>
  <xdr:twoCellAnchor>
    <xdr:from>
      <xdr:col>12</xdr:col>
      <xdr:colOff>154216</xdr:colOff>
      <xdr:row>12</xdr:row>
      <xdr:rowOff>54429</xdr:rowOff>
    </xdr:from>
    <xdr:to>
      <xdr:col>15</xdr:col>
      <xdr:colOff>567874</xdr:colOff>
      <xdr:row>15</xdr:row>
      <xdr:rowOff>10887</xdr:rowOff>
    </xdr:to>
    <xdr:sp macro="" textlink="Processing!A3">
      <xdr:nvSpPr>
        <xdr:cNvPr id="20" name="TextBox 19">
          <a:extLst>
            <a:ext uri="{FF2B5EF4-FFF2-40B4-BE49-F238E27FC236}">
              <a16:creationId xmlns:a16="http://schemas.microsoft.com/office/drawing/2014/main" id="{BEE605D8-3F78-402A-86EE-991C04AF393F}"/>
            </a:ext>
          </a:extLst>
        </xdr:cNvPr>
        <xdr:cNvSpPr txBox="1"/>
      </xdr:nvSpPr>
      <xdr:spPr>
        <a:xfrm>
          <a:off x="7469416"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E57684-9217-4499-B71C-F68E1CC46AAC}" type="TxLink">
            <a:rPr lang="en-US" sz="2000" b="0" i="0" u="none" strike="noStrike">
              <a:solidFill>
                <a:srgbClr val="006966"/>
              </a:solidFill>
              <a:latin typeface="Aptos Narrow"/>
              <a:ea typeface="+mn-ea"/>
              <a:cs typeface="+mn-cs"/>
            </a:rPr>
            <a:pPr marL="0" indent="0" algn="ctr"/>
            <a:t>Conversion</a:t>
          </a:fld>
          <a:endParaRPr lang="ru-RU" sz="2000" b="0" i="0" u="none" strike="noStrike">
            <a:solidFill>
              <a:srgbClr val="006966"/>
            </a:solidFill>
            <a:latin typeface="Aptos Narrow"/>
            <a:ea typeface="+mn-ea"/>
            <a:cs typeface="+mn-cs"/>
          </a:endParaRPr>
        </a:p>
      </xdr:txBody>
    </xdr:sp>
    <xdr:clientData/>
  </xdr:twoCellAnchor>
  <xdr:twoCellAnchor>
    <xdr:from>
      <xdr:col>24</xdr:col>
      <xdr:colOff>146959</xdr:colOff>
      <xdr:row>12</xdr:row>
      <xdr:rowOff>54429</xdr:rowOff>
    </xdr:from>
    <xdr:to>
      <xdr:col>27</xdr:col>
      <xdr:colOff>560617</xdr:colOff>
      <xdr:row>15</xdr:row>
      <xdr:rowOff>10887</xdr:rowOff>
    </xdr:to>
    <xdr:sp macro="" textlink="Processing!A5">
      <xdr:nvSpPr>
        <xdr:cNvPr id="21" name="TextBox 20">
          <a:extLst>
            <a:ext uri="{FF2B5EF4-FFF2-40B4-BE49-F238E27FC236}">
              <a16:creationId xmlns:a16="http://schemas.microsoft.com/office/drawing/2014/main" id="{D9CEE063-53F0-49B5-8E81-0E19183E6C42}"/>
            </a:ext>
          </a:extLst>
        </xdr:cNvPr>
        <xdr:cNvSpPr txBox="1"/>
      </xdr:nvSpPr>
      <xdr:spPr>
        <a:xfrm>
          <a:off x="14777359"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820461C-9777-4679-AB52-370EB19E43D2}" type="TxLink">
            <a:rPr lang="en-US" sz="2000" b="0" i="0" u="none" strike="noStrike">
              <a:solidFill>
                <a:schemeClr val="tx1"/>
              </a:solidFill>
              <a:latin typeface="Aptos Narrow"/>
              <a:ea typeface="+mn-ea"/>
              <a:cs typeface="+mn-cs"/>
            </a:rPr>
            <a:pPr marL="0" indent="0" algn="ctr"/>
            <a:t>Tasks</a:t>
          </a:fld>
          <a:endParaRPr lang="ru-RU" sz="2000" b="0" i="0" u="none" strike="noStrike">
            <a:solidFill>
              <a:schemeClr val="tx1"/>
            </a:solidFill>
            <a:latin typeface="Aptos Narrow"/>
            <a:ea typeface="+mn-ea"/>
            <a:cs typeface="+mn-cs"/>
          </a:endParaRPr>
        </a:p>
      </xdr:txBody>
    </xdr:sp>
    <xdr:clientData/>
  </xdr:twoCellAnchor>
  <xdr:twoCellAnchor>
    <xdr:from>
      <xdr:col>23</xdr:col>
      <xdr:colOff>236197</xdr:colOff>
      <xdr:row>8</xdr:row>
      <xdr:rowOff>65315</xdr:rowOff>
    </xdr:from>
    <xdr:to>
      <xdr:col>28</xdr:col>
      <xdr:colOff>471379</xdr:colOff>
      <xdr:row>12</xdr:row>
      <xdr:rowOff>130629</xdr:rowOff>
    </xdr:to>
    <xdr:sp macro="" textlink="Processing!B5">
      <xdr:nvSpPr>
        <xdr:cNvPr id="22" name="TextBox 21">
          <a:extLst>
            <a:ext uri="{FF2B5EF4-FFF2-40B4-BE49-F238E27FC236}">
              <a16:creationId xmlns:a16="http://schemas.microsoft.com/office/drawing/2014/main" id="{A53801CF-2451-4925-9148-FE58365D0A1D}"/>
            </a:ext>
          </a:extLst>
        </xdr:cNvPr>
        <xdr:cNvSpPr txBox="1"/>
      </xdr:nvSpPr>
      <xdr:spPr>
        <a:xfrm>
          <a:off x="14256997" y="1528355"/>
          <a:ext cx="3283182"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0F5DE64-5D30-46C9-8D72-8469227D94C4}" type="TxLink">
            <a:rPr lang="en-US" sz="4000" b="0" i="0" u="none" strike="noStrike">
              <a:solidFill>
                <a:schemeClr val="bg1"/>
              </a:solidFill>
              <a:latin typeface="Aptos Narrow"/>
              <a:ea typeface="+mn-ea"/>
              <a:cs typeface="+mn-cs"/>
            </a:rPr>
            <a:pPr marL="0" indent="0" algn="ctr"/>
            <a:t>13%</a:t>
          </a:fld>
          <a:endParaRPr lang="ru-RU" sz="4000" b="0" i="0" u="none" strike="noStrike">
            <a:solidFill>
              <a:schemeClr val="bg1"/>
            </a:solidFill>
            <a:latin typeface="Aptos Narrow"/>
            <a:ea typeface="+mn-ea"/>
            <a:cs typeface="+mn-cs"/>
          </a:endParaRPr>
        </a:p>
      </xdr:txBody>
    </xdr:sp>
    <xdr:clientData/>
  </xdr:twoCellAnchor>
  <xdr:twoCellAnchor>
    <xdr:from>
      <xdr:col>13</xdr:col>
      <xdr:colOff>515021</xdr:colOff>
      <xdr:row>8</xdr:row>
      <xdr:rowOff>87086</xdr:rowOff>
    </xdr:from>
    <xdr:to>
      <xdr:col>15</xdr:col>
      <xdr:colOff>446556</xdr:colOff>
      <xdr:row>12</xdr:row>
      <xdr:rowOff>152400</xdr:rowOff>
    </xdr:to>
    <xdr:sp macro="" textlink="Processing!B3">
      <xdr:nvSpPr>
        <xdr:cNvPr id="23" name="TextBox 22">
          <a:extLst>
            <a:ext uri="{FF2B5EF4-FFF2-40B4-BE49-F238E27FC236}">
              <a16:creationId xmlns:a16="http://schemas.microsoft.com/office/drawing/2014/main" id="{B2701AA3-8063-4E94-96B8-DEF6A62FB6C7}"/>
            </a:ext>
          </a:extLst>
        </xdr:cNvPr>
        <xdr:cNvSpPr txBox="1"/>
      </xdr:nvSpPr>
      <xdr:spPr>
        <a:xfrm>
          <a:off x="8439821" y="1550126"/>
          <a:ext cx="1150735"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34A42E-9298-41DF-B854-5D07C1F7CD8F}" type="TxLink">
            <a:rPr lang="en-US" sz="4000" b="0" i="0" u="none" strike="noStrike">
              <a:solidFill>
                <a:srgbClr val="006966"/>
              </a:solidFill>
              <a:latin typeface="Aptos Narrow"/>
              <a:ea typeface="+mn-ea"/>
              <a:cs typeface="+mn-cs"/>
            </a:rPr>
            <a:pPr marL="0" indent="0" algn="ctr"/>
            <a:t>16%</a:t>
          </a:fld>
          <a:endParaRPr lang="ru-RU" sz="4000" b="0" i="0" u="none" strike="noStrike">
            <a:solidFill>
              <a:srgbClr val="006966"/>
            </a:solidFill>
            <a:latin typeface="Aptos Narrow"/>
            <a:ea typeface="+mn-ea"/>
            <a:cs typeface="+mn-cs"/>
          </a:endParaRPr>
        </a:p>
      </xdr:txBody>
    </xdr:sp>
    <xdr:clientData/>
  </xdr:twoCellAnchor>
  <xdr:twoCellAnchor>
    <xdr:from>
      <xdr:col>12</xdr:col>
      <xdr:colOff>304683</xdr:colOff>
      <xdr:row>8</xdr:row>
      <xdr:rowOff>10887</xdr:rowOff>
    </xdr:from>
    <xdr:to>
      <xdr:col>13</xdr:col>
      <xdr:colOff>563763</xdr:colOff>
      <xdr:row>12</xdr:row>
      <xdr:rowOff>139338</xdr:rowOff>
    </xdr:to>
    <xdr:graphicFrame macro="">
      <xdr:nvGraphicFramePr>
        <xdr:cNvPr id="24" name="Chart 23">
          <a:extLst>
            <a:ext uri="{FF2B5EF4-FFF2-40B4-BE49-F238E27FC236}">
              <a16:creationId xmlns:a16="http://schemas.microsoft.com/office/drawing/2014/main" id="{B4304697-FFEF-4E85-A2E0-600E906CA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597628</xdr:colOff>
      <xdr:row>7</xdr:row>
      <xdr:rowOff>1</xdr:rowOff>
    </xdr:from>
    <xdr:to>
      <xdr:col>28</xdr:col>
      <xdr:colOff>109948</xdr:colOff>
      <xdr:row>9</xdr:row>
      <xdr:rowOff>87087</xdr:rowOff>
    </xdr:to>
    <xdr:graphicFrame macro="">
      <xdr:nvGraphicFramePr>
        <xdr:cNvPr id="25" name="Chart 24">
          <a:extLst>
            <a:ext uri="{FF2B5EF4-FFF2-40B4-BE49-F238E27FC236}">
              <a16:creationId xmlns:a16="http://schemas.microsoft.com/office/drawing/2014/main" id="{EAF2300A-C88E-41D7-87C6-103101EB4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424544</xdr:colOff>
      <xdr:row>18</xdr:row>
      <xdr:rowOff>17930</xdr:rowOff>
    </xdr:from>
    <xdr:to>
      <xdr:col>28</xdr:col>
      <xdr:colOff>540444</xdr:colOff>
      <xdr:row>37</xdr:row>
      <xdr:rowOff>143435</xdr:rowOff>
    </xdr:to>
    <xdr:graphicFrame macro="">
      <xdr:nvGraphicFramePr>
        <xdr:cNvPr id="26" name="Chart 25">
          <a:extLst>
            <a:ext uri="{FF2B5EF4-FFF2-40B4-BE49-F238E27FC236}">
              <a16:creationId xmlns:a16="http://schemas.microsoft.com/office/drawing/2014/main" id="{6D3E8778-8389-4BE8-9E6D-2FBD28C22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163285</xdr:colOff>
      <xdr:row>15</xdr:row>
      <xdr:rowOff>152400</xdr:rowOff>
    </xdr:from>
    <xdr:to>
      <xdr:col>19</xdr:col>
      <xdr:colOff>54427</xdr:colOff>
      <xdr:row>44</xdr:row>
      <xdr:rowOff>60962</xdr:rowOff>
    </xdr:to>
    <xdr:grpSp>
      <xdr:nvGrpSpPr>
        <xdr:cNvPr id="51" name="Group 50">
          <a:extLst>
            <a:ext uri="{FF2B5EF4-FFF2-40B4-BE49-F238E27FC236}">
              <a16:creationId xmlns:a16="http://schemas.microsoft.com/office/drawing/2014/main" id="{AD2DE7C4-06BD-28F8-52AF-61CBA30B669C}"/>
            </a:ext>
          </a:extLst>
        </xdr:cNvPr>
        <xdr:cNvGrpSpPr/>
      </xdr:nvGrpSpPr>
      <xdr:grpSpPr>
        <a:xfrm>
          <a:off x="5438670" y="2980592"/>
          <a:ext cx="5752680" cy="5433062"/>
          <a:chOff x="5649685" y="2928257"/>
          <a:chExt cx="5987142" cy="5275219"/>
        </a:xfrm>
      </xdr:grpSpPr>
      <xdr:graphicFrame macro="">
        <xdr:nvGraphicFramePr>
          <xdr:cNvPr id="29" name="Chart 28">
            <a:extLst>
              <a:ext uri="{FF2B5EF4-FFF2-40B4-BE49-F238E27FC236}">
                <a16:creationId xmlns:a16="http://schemas.microsoft.com/office/drawing/2014/main" id="{B72AFA7B-E4F5-4AB5-938F-185557DE37A4}"/>
              </a:ext>
            </a:extLst>
          </xdr:cNvPr>
          <xdr:cNvGraphicFramePr>
            <a:graphicFrameLocks/>
          </xdr:cNvGraphicFramePr>
        </xdr:nvGraphicFramePr>
        <xdr:xfrm>
          <a:off x="5649685" y="3777346"/>
          <a:ext cx="5987142" cy="3973285"/>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8" name="Chart 27">
            <a:extLst>
              <a:ext uri="{FF2B5EF4-FFF2-40B4-BE49-F238E27FC236}">
                <a16:creationId xmlns:a16="http://schemas.microsoft.com/office/drawing/2014/main" id="{58BF6ACA-92DB-40F0-8CD4-516309568B34}"/>
              </a:ext>
            </a:extLst>
          </xdr:cNvPr>
          <xdr:cNvGraphicFramePr>
            <a:graphicFrameLocks/>
          </xdr:cNvGraphicFramePr>
        </xdr:nvGraphicFramePr>
        <xdr:xfrm>
          <a:off x="5678715" y="2928257"/>
          <a:ext cx="5943600" cy="5275219"/>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oneCell">
    <xdr:from>
      <xdr:col>23</xdr:col>
      <xdr:colOff>261257</xdr:colOff>
      <xdr:row>41</xdr:row>
      <xdr:rowOff>65314</xdr:rowOff>
    </xdr:from>
    <xdr:to>
      <xdr:col>28</xdr:col>
      <xdr:colOff>30753</xdr:colOff>
      <xdr:row>44</xdr:row>
      <xdr:rowOff>58783</xdr:rowOff>
    </xdr:to>
    <mc:AlternateContent xmlns:mc="http://schemas.openxmlformats.org/markup-compatibility/2006" xmlns:a14="http://schemas.microsoft.com/office/drawing/2010/main">
      <mc:Choice Requires="a14">
        <xdr:graphicFrame macro="">
          <xdr:nvGraphicFramePr>
            <xdr:cNvPr id="27" name="Year 3">
              <a:extLst>
                <a:ext uri="{FF2B5EF4-FFF2-40B4-BE49-F238E27FC236}">
                  <a16:creationId xmlns:a16="http://schemas.microsoft.com/office/drawing/2014/main" id="{F7490175-69A6-4536-9469-B9C20E4C7692}"/>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4282057" y="7652657"/>
              <a:ext cx="2817496" cy="5486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435429</xdr:colOff>
      <xdr:row>42</xdr:row>
      <xdr:rowOff>11977</xdr:rowOff>
    </xdr:from>
    <xdr:to>
      <xdr:col>21</xdr:col>
      <xdr:colOff>69669</xdr:colOff>
      <xdr:row>44</xdr:row>
      <xdr:rowOff>65318</xdr:rowOff>
    </xdr:to>
    <mc:AlternateContent xmlns:mc="http://schemas.openxmlformats.org/markup-compatibility/2006" xmlns:a14="http://schemas.microsoft.com/office/drawing/2010/main">
      <mc:Choice Requires="a14">
        <xdr:graphicFrame macro="">
          <xdr:nvGraphicFramePr>
            <xdr:cNvPr id="30" name="Month 3">
              <a:extLst>
                <a:ext uri="{FF2B5EF4-FFF2-40B4-BE49-F238E27FC236}">
                  <a16:creationId xmlns:a16="http://schemas.microsoft.com/office/drawing/2014/main" id="{D5BC5626-A0F5-429C-89ED-C75702219A23}"/>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4093029" y="7784377"/>
              <a:ext cx="8778240" cy="42345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283028</xdr:colOff>
      <xdr:row>18</xdr:row>
      <xdr:rowOff>141514</xdr:rowOff>
    </xdr:from>
    <xdr:to>
      <xdr:col>7</xdr:col>
      <xdr:colOff>557348</xdr:colOff>
      <xdr:row>20</xdr:row>
      <xdr:rowOff>45720</xdr:rowOff>
    </xdr:to>
    <xdr:sp macro="" textlink="">
      <xdr:nvSpPr>
        <xdr:cNvPr id="31" name="Oval 30">
          <a:extLst>
            <a:ext uri="{FF2B5EF4-FFF2-40B4-BE49-F238E27FC236}">
              <a16:creationId xmlns:a16="http://schemas.microsoft.com/office/drawing/2014/main" id="{63C79D60-4C03-5F28-2A52-0E00E3EC7E0F}"/>
            </a:ext>
          </a:extLst>
        </xdr:cNvPr>
        <xdr:cNvSpPr/>
      </xdr:nvSpPr>
      <xdr:spPr>
        <a:xfrm>
          <a:off x="4550228" y="3472543"/>
          <a:ext cx="274320" cy="274320"/>
        </a:xfrm>
        <a:prstGeom prst="ellipse">
          <a:avLst/>
        </a:prstGeom>
        <a:solidFill>
          <a:srgbClr val="70D2C3">
            <a:alpha val="61000"/>
          </a:srgbClr>
        </a:solidFill>
        <a:ln>
          <a:solidFill>
            <a:srgbClr val="297F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250371</xdr:colOff>
      <xdr:row>18</xdr:row>
      <xdr:rowOff>141514</xdr:rowOff>
    </xdr:from>
    <xdr:to>
      <xdr:col>17</xdr:col>
      <xdr:colOff>524691</xdr:colOff>
      <xdr:row>20</xdr:row>
      <xdr:rowOff>45720</xdr:rowOff>
    </xdr:to>
    <xdr:sp macro="" textlink="">
      <xdr:nvSpPr>
        <xdr:cNvPr id="32" name="Oval 31">
          <a:extLst>
            <a:ext uri="{FF2B5EF4-FFF2-40B4-BE49-F238E27FC236}">
              <a16:creationId xmlns:a16="http://schemas.microsoft.com/office/drawing/2014/main" id="{B3981983-CA3A-199E-79B2-8BF5C8B1EC48}"/>
            </a:ext>
          </a:extLst>
        </xdr:cNvPr>
        <xdr:cNvSpPr/>
      </xdr:nvSpPr>
      <xdr:spPr>
        <a:xfrm>
          <a:off x="10613571" y="3472543"/>
          <a:ext cx="274320" cy="274320"/>
        </a:xfrm>
        <a:prstGeom prst="ellipse">
          <a:avLst/>
        </a:prstGeom>
        <a:solidFill>
          <a:srgbClr val="F181F2">
            <a:alpha val="60784"/>
          </a:srgbClr>
        </a:solidFill>
        <a:ln>
          <a:solidFill>
            <a:srgbClr val="9482D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535049</xdr:colOff>
      <xdr:row>18</xdr:row>
      <xdr:rowOff>85389</xdr:rowOff>
    </xdr:from>
    <xdr:to>
      <xdr:col>9</xdr:col>
      <xdr:colOff>266870</xdr:colOff>
      <xdr:row>20</xdr:row>
      <xdr:rowOff>99670</xdr:rowOff>
    </xdr:to>
    <xdr:sp macro="" textlink="Processing!G7">
      <xdr:nvSpPr>
        <xdr:cNvPr id="33" name="TextBox 32">
          <a:extLst>
            <a:ext uri="{FF2B5EF4-FFF2-40B4-BE49-F238E27FC236}">
              <a16:creationId xmlns:a16="http://schemas.microsoft.com/office/drawing/2014/main" id="{580B7EAF-0A3E-8238-9664-552632C1E32B}"/>
            </a:ext>
          </a:extLst>
        </xdr:cNvPr>
        <xdr:cNvSpPr txBox="1"/>
      </xdr:nvSpPr>
      <xdr:spPr>
        <a:xfrm>
          <a:off x="4802249" y="3416418"/>
          <a:ext cx="951021" cy="384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F6710E4-3F4F-4A70-9212-72A247BE1F47}" type="TxLink">
            <a:rPr lang="en-US" sz="1800" b="0" i="0" u="none" strike="noStrike">
              <a:solidFill>
                <a:srgbClr val="000000"/>
              </a:solidFill>
              <a:latin typeface="Aptos Narrow"/>
              <a:ea typeface="+mn-ea"/>
              <a:cs typeface="+mn-cs"/>
            </a:rPr>
            <a:pPr marL="0" indent="0" algn="ctr"/>
            <a:t>Equity</a:t>
          </a:fld>
          <a:endParaRPr lang="ru-RU" sz="1800" b="0" i="0" u="none" strike="noStrike">
            <a:solidFill>
              <a:srgbClr val="006966"/>
            </a:solidFill>
            <a:latin typeface="Aptos Narrow"/>
            <a:ea typeface="+mn-ea"/>
            <a:cs typeface="+mn-cs"/>
          </a:endParaRPr>
        </a:p>
      </xdr:txBody>
    </xdr:sp>
    <xdr:clientData/>
  </xdr:twoCellAnchor>
  <xdr:twoCellAnchor>
    <xdr:from>
      <xdr:col>9</xdr:col>
      <xdr:colOff>143162</xdr:colOff>
      <xdr:row>18</xdr:row>
      <xdr:rowOff>85388</xdr:rowOff>
    </xdr:from>
    <xdr:to>
      <xdr:col>11</xdr:col>
      <xdr:colOff>304799</xdr:colOff>
      <xdr:row>20</xdr:row>
      <xdr:rowOff>99669</xdr:rowOff>
    </xdr:to>
    <xdr:sp macro="" textlink="Processing!G13">
      <xdr:nvSpPr>
        <xdr:cNvPr id="34" name="TextBox 33">
          <a:extLst>
            <a:ext uri="{FF2B5EF4-FFF2-40B4-BE49-F238E27FC236}">
              <a16:creationId xmlns:a16="http://schemas.microsoft.com/office/drawing/2014/main" id="{7CFD03E8-EBA4-0CBB-B850-6E40C436F9A3}"/>
            </a:ext>
          </a:extLst>
        </xdr:cNvPr>
        <xdr:cNvSpPr txBox="1"/>
      </xdr:nvSpPr>
      <xdr:spPr>
        <a:xfrm>
          <a:off x="5629562" y="3416417"/>
          <a:ext cx="1380837" cy="384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2329AA5-D74B-4945-BE58-1041693E65ED}" type="TxLink">
            <a:rPr lang="en-US" sz="1800" b="0" i="0" u="none" strike="noStrike">
              <a:solidFill>
                <a:srgbClr val="000000"/>
              </a:solidFill>
              <a:latin typeface="Aptos Narrow"/>
              <a:ea typeface="+mn-ea"/>
              <a:cs typeface="+mn-cs"/>
            </a:rPr>
            <a:pPr marL="0" indent="0" algn="l"/>
            <a:t> $1,50,822 </a:t>
          </a:fld>
          <a:endParaRPr lang="ru-RU" sz="1800" b="0" i="0" u="none" strike="noStrike">
            <a:solidFill>
              <a:srgbClr val="006966"/>
            </a:solidFill>
            <a:latin typeface="Aptos Narrow"/>
            <a:ea typeface="+mn-ea"/>
            <a:cs typeface="+mn-cs"/>
          </a:endParaRPr>
        </a:p>
      </xdr:txBody>
    </xdr:sp>
    <xdr:clientData/>
  </xdr:twoCellAnchor>
  <xdr:twoCellAnchor>
    <xdr:from>
      <xdr:col>19</xdr:col>
      <xdr:colOff>56075</xdr:colOff>
      <xdr:row>18</xdr:row>
      <xdr:rowOff>85389</xdr:rowOff>
    </xdr:from>
    <xdr:to>
      <xdr:col>21</xdr:col>
      <xdr:colOff>217712</xdr:colOff>
      <xdr:row>20</xdr:row>
      <xdr:rowOff>99670</xdr:rowOff>
    </xdr:to>
    <xdr:sp macro="" textlink="Processing!G13">
      <xdr:nvSpPr>
        <xdr:cNvPr id="35" name="TextBox 34">
          <a:extLst>
            <a:ext uri="{FF2B5EF4-FFF2-40B4-BE49-F238E27FC236}">
              <a16:creationId xmlns:a16="http://schemas.microsoft.com/office/drawing/2014/main" id="{A3C4EBC0-566F-4FED-E07D-747B61384217}"/>
            </a:ext>
          </a:extLst>
        </xdr:cNvPr>
        <xdr:cNvSpPr txBox="1"/>
      </xdr:nvSpPr>
      <xdr:spPr>
        <a:xfrm>
          <a:off x="11638475" y="3416418"/>
          <a:ext cx="1380837" cy="384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2329AA5-D74B-4945-BE58-1041693E65ED}" type="TxLink">
            <a:rPr lang="en-US" sz="1800" b="0" i="0" u="none" strike="noStrike">
              <a:solidFill>
                <a:srgbClr val="000000"/>
              </a:solidFill>
              <a:latin typeface="Aptos Narrow"/>
              <a:ea typeface="+mn-ea"/>
              <a:cs typeface="+mn-cs"/>
            </a:rPr>
            <a:pPr marL="0" indent="0" algn="l"/>
            <a:t> $1,50,822 </a:t>
          </a:fld>
          <a:endParaRPr lang="ru-RU" sz="1800" b="0" i="0" u="none" strike="noStrike">
            <a:solidFill>
              <a:srgbClr val="006966"/>
            </a:solidFill>
            <a:latin typeface="Aptos Narrow"/>
            <a:ea typeface="+mn-ea"/>
            <a:cs typeface="+mn-cs"/>
          </a:endParaRPr>
        </a:p>
      </xdr:txBody>
    </xdr:sp>
    <xdr:clientData/>
  </xdr:twoCellAnchor>
  <xdr:twoCellAnchor>
    <xdr:from>
      <xdr:col>18</xdr:col>
      <xdr:colOff>77846</xdr:colOff>
      <xdr:row>18</xdr:row>
      <xdr:rowOff>85389</xdr:rowOff>
    </xdr:from>
    <xdr:to>
      <xdr:col>19</xdr:col>
      <xdr:colOff>424543</xdr:colOff>
      <xdr:row>20</xdr:row>
      <xdr:rowOff>99670</xdr:rowOff>
    </xdr:to>
    <xdr:sp macro="" textlink="Processing!H7">
      <xdr:nvSpPr>
        <xdr:cNvPr id="36" name="TextBox 35">
          <a:extLst>
            <a:ext uri="{FF2B5EF4-FFF2-40B4-BE49-F238E27FC236}">
              <a16:creationId xmlns:a16="http://schemas.microsoft.com/office/drawing/2014/main" id="{A73D2F40-76B3-B0CA-A14C-F65D91576C17}"/>
            </a:ext>
          </a:extLst>
        </xdr:cNvPr>
        <xdr:cNvSpPr txBox="1"/>
      </xdr:nvSpPr>
      <xdr:spPr>
        <a:xfrm>
          <a:off x="11050646" y="3416418"/>
          <a:ext cx="956297" cy="384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EAE3982-EEEA-4BC7-82CB-853FD6188B6A}" type="TxLink">
            <a:rPr lang="en-US" sz="1800" b="0" i="0" u="none" strike="noStrike">
              <a:solidFill>
                <a:srgbClr val="000000"/>
              </a:solidFill>
              <a:latin typeface="Aptos Narrow"/>
              <a:ea typeface="+mn-ea"/>
              <a:cs typeface="+mn-cs"/>
            </a:rPr>
            <a:pPr marL="0" indent="0" algn="l"/>
            <a:t>Debt</a:t>
          </a:fld>
          <a:endParaRPr lang="ru-RU" sz="1800" b="0" i="0" u="none" strike="noStrike">
            <a:solidFill>
              <a:srgbClr val="000000"/>
            </a:solidFill>
            <a:latin typeface="Aptos Narrow"/>
            <a:ea typeface="+mn-ea"/>
            <a:cs typeface="+mn-cs"/>
          </a:endParaRPr>
        </a:p>
      </xdr:txBody>
    </xdr:sp>
    <xdr:clientData/>
  </xdr:twoCellAnchor>
  <xdr:twoCellAnchor>
    <xdr:from>
      <xdr:col>5</xdr:col>
      <xdr:colOff>250371</xdr:colOff>
      <xdr:row>7</xdr:row>
      <xdr:rowOff>32657</xdr:rowOff>
    </xdr:from>
    <xdr:to>
      <xdr:col>10</xdr:col>
      <xdr:colOff>424542</xdr:colOff>
      <xdr:row>14</xdr:row>
      <xdr:rowOff>141515</xdr:rowOff>
    </xdr:to>
    <xdr:sp macro="" textlink="">
      <xdr:nvSpPr>
        <xdr:cNvPr id="37" name="Rectangle 36">
          <a:hlinkClick xmlns:r="http://schemas.openxmlformats.org/officeDocument/2006/relationships" r:id="rId8"/>
          <a:extLst>
            <a:ext uri="{FF2B5EF4-FFF2-40B4-BE49-F238E27FC236}">
              <a16:creationId xmlns:a16="http://schemas.microsoft.com/office/drawing/2014/main" id="{4D04B8B6-6E36-4A81-BC62-6396711E91C8}"/>
            </a:ext>
          </a:extLst>
        </xdr:cNvPr>
        <xdr:cNvSpPr/>
      </xdr:nvSpPr>
      <xdr:spPr>
        <a:xfrm>
          <a:off x="3298371" y="1328057"/>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250371</xdr:colOff>
      <xdr:row>7</xdr:row>
      <xdr:rowOff>32657</xdr:rowOff>
    </xdr:from>
    <xdr:to>
      <xdr:col>16</xdr:col>
      <xdr:colOff>424542</xdr:colOff>
      <xdr:row>14</xdr:row>
      <xdr:rowOff>141515</xdr:rowOff>
    </xdr:to>
    <xdr:sp macro="" textlink="">
      <xdr:nvSpPr>
        <xdr:cNvPr id="38" name="Rectangle 37">
          <a:hlinkClick xmlns:r="http://schemas.openxmlformats.org/officeDocument/2006/relationships" r:id="rId9"/>
          <a:extLst>
            <a:ext uri="{FF2B5EF4-FFF2-40B4-BE49-F238E27FC236}">
              <a16:creationId xmlns:a16="http://schemas.microsoft.com/office/drawing/2014/main" id="{1055AAFF-1A74-48B1-A2A4-EABEAD7E5E27}"/>
            </a:ext>
          </a:extLst>
        </xdr:cNvPr>
        <xdr:cNvSpPr/>
      </xdr:nvSpPr>
      <xdr:spPr>
        <a:xfrm>
          <a:off x="6955971" y="1328057"/>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228599</xdr:colOff>
      <xdr:row>7</xdr:row>
      <xdr:rowOff>32657</xdr:rowOff>
    </xdr:from>
    <xdr:to>
      <xdr:col>22</xdr:col>
      <xdr:colOff>402770</xdr:colOff>
      <xdr:row>14</xdr:row>
      <xdr:rowOff>141515</xdr:rowOff>
    </xdr:to>
    <xdr:sp macro="" textlink="">
      <xdr:nvSpPr>
        <xdr:cNvPr id="39" name="Rectangle 38">
          <a:hlinkClick xmlns:r="http://schemas.openxmlformats.org/officeDocument/2006/relationships" r:id="rId10"/>
          <a:extLst>
            <a:ext uri="{FF2B5EF4-FFF2-40B4-BE49-F238E27FC236}">
              <a16:creationId xmlns:a16="http://schemas.microsoft.com/office/drawing/2014/main" id="{4FF472B5-23C2-4895-B391-5226EB3894F5}"/>
            </a:ext>
          </a:extLst>
        </xdr:cNvPr>
        <xdr:cNvSpPr/>
      </xdr:nvSpPr>
      <xdr:spPr>
        <a:xfrm>
          <a:off x="10591799" y="1328057"/>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3</xdr:col>
      <xdr:colOff>424539</xdr:colOff>
      <xdr:row>17</xdr:row>
      <xdr:rowOff>163285</xdr:rowOff>
    </xdr:from>
    <xdr:to>
      <xdr:col>4</xdr:col>
      <xdr:colOff>363579</xdr:colOff>
      <xdr:row>20</xdr:row>
      <xdr:rowOff>156753</xdr:rowOff>
    </xdr:to>
    <xdr:pic>
      <xdr:nvPicPr>
        <xdr:cNvPr id="41" name="Graphic 40" descr="Bar chart outline">
          <a:hlinkClick xmlns:r="http://schemas.openxmlformats.org/officeDocument/2006/relationships" r:id="rId11"/>
          <a:extLst>
            <a:ext uri="{FF2B5EF4-FFF2-40B4-BE49-F238E27FC236}">
              <a16:creationId xmlns:a16="http://schemas.microsoft.com/office/drawing/2014/main" id="{64A26139-20D6-45D0-817C-05A9B4850CC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253339" y="3309256"/>
          <a:ext cx="548640" cy="548640"/>
        </a:xfrm>
        <a:prstGeom prst="rect">
          <a:avLst/>
        </a:prstGeom>
      </xdr:spPr>
    </xdr:pic>
    <xdr:clientData/>
  </xdr:twoCellAnchor>
  <xdr:twoCellAnchor>
    <xdr:from>
      <xdr:col>3</xdr:col>
      <xdr:colOff>337457</xdr:colOff>
      <xdr:row>24</xdr:row>
      <xdr:rowOff>129541</xdr:rowOff>
    </xdr:from>
    <xdr:to>
      <xdr:col>4</xdr:col>
      <xdr:colOff>459377</xdr:colOff>
      <xdr:row>28</xdr:row>
      <xdr:rowOff>120832</xdr:rowOff>
    </xdr:to>
    <xdr:graphicFrame macro="">
      <xdr:nvGraphicFramePr>
        <xdr:cNvPr id="42" name="Chart 41">
          <a:extLst>
            <a:ext uri="{FF2B5EF4-FFF2-40B4-BE49-F238E27FC236}">
              <a16:creationId xmlns:a16="http://schemas.microsoft.com/office/drawing/2014/main" id="{D32F10D6-A90C-46BC-9848-C4BE1D7AC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xdr:col>
      <xdr:colOff>424541</xdr:colOff>
      <xdr:row>29</xdr:row>
      <xdr:rowOff>9253</xdr:rowOff>
    </xdr:from>
    <xdr:to>
      <xdr:col>4</xdr:col>
      <xdr:colOff>363581</xdr:colOff>
      <xdr:row>32</xdr:row>
      <xdr:rowOff>2721</xdr:rowOff>
    </xdr:to>
    <xdr:pic>
      <xdr:nvPicPr>
        <xdr:cNvPr id="43" name="Graphic 42" descr="Money outline">
          <a:hlinkClick xmlns:r="http://schemas.openxmlformats.org/officeDocument/2006/relationships" r:id="rId10"/>
          <a:extLst>
            <a:ext uri="{FF2B5EF4-FFF2-40B4-BE49-F238E27FC236}">
              <a16:creationId xmlns:a16="http://schemas.microsoft.com/office/drawing/2014/main" id="{3A6F6714-66A3-4B39-931C-8A334637AFE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253341" y="5375910"/>
          <a:ext cx="548640" cy="548640"/>
        </a:xfrm>
        <a:prstGeom prst="rect">
          <a:avLst/>
        </a:prstGeom>
      </xdr:spPr>
    </xdr:pic>
    <xdr:clientData/>
  </xdr:twoCellAnchor>
  <xdr:twoCellAnchor>
    <xdr:from>
      <xdr:col>3</xdr:col>
      <xdr:colOff>468083</xdr:colOff>
      <xdr:row>21</xdr:row>
      <xdr:rowOff>99604</xdr:rowOff>
    </xdr:from>
    <xdr:to>
      <xdr:col>4</xdr:col>
      <xdr:colOff>407123</xdr:colOff>
      <xdr:row>24</xdr:row>
      <xdr:rowOff>1633</xdr:rowOff>
    </xdr:to>
    <xdr:grpSp>
      <xdr:nvGrpSpPr>
        <xdr:cNvPr id="44" name="Group 43">
          <a:hlinkClick xmlns:r="http://schemas.openxmlformats.org/officeDocument/2006/relationships" r:id="rId8"/>
          <a:extLst>
            <a:ext uri="{FF2B5EF4-FFF2-40B4-BE49-F238E27FC236}">
              <a16:creationId xmlns:a16="http://schemas.microsoft.com/office/drawing/2014/main" id="{58531FEC-0146-436E-991A-F13C93612815}"/>
            </a:ext>
          </a:extLst>
        </xdr:cNvPr>
        <xdr:cNvGrpSpPr/>
      </xdr:nvGrpSpPr>
      <xdr:grpSpPr>
        <a:xfrm>
          <a:off x="2226545" y="4070796"/>
          <a:ext cx="525193" cy="473529"/>
          <a:chOff x="6520543" y="3673855"/>
          <a:chExt cx="923590" cy="804672"/>
        </a:xfrm>
        <a:solidFill>
          <a:schemeClr val="bg1"/>
        </a:solidFill>
      </xdr:grpSpPr>
      <xdr:pic>
        <xdr:nvPicPr>
          <xdr:cNvPr id="45" name="Graphic 44" descr="User with solid fill">
            <a:extLst>
              <a:ext uri="{FF2B5EF4-FFF2-40B4-BE49-F238E27FC236}">
                <a16:creationId xmlns:a16="http://schemas.microsoft.com/office/drawing/2014/main" id="{643B5DE5-2B5F-3A0F-F09C-5014CEBB923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639461" y="3673855"/>
            <a:ext cx="804672" cy="804672"/>
          </a:xfrm>
          <a:prstGeom prst="rect">
            <a:avLst/>
          </a:prstGeom>
        </xdr:spPr>
      </xdr:pic>
      <xdr:grpSp>
        <xdr:nvGrpSpPr>
          <xdr:cNvPr id="46" name="Graphic 15" descr="User with solid fill">
            <a:extLst>
              <a:ext uri="{FF2B5EF4-FFF2-40B4-BE49-F238E27FC236}">
                <a16:creationId xmlns:a16="http://schemas.microsoft.com/office/drawing/2014/main" id="{094761AA-898F-9C50-0160-54ED5852A383}"/>
              </a:ext>
            </a:extLst>
          </xdr:cNvPr>
          <xdr:cNvGrpSpPr/>
        </xdr:nvGrpSpPr>
        <xdr:grpSpPr>
          <a:xfrm>
            <a:off x="6520543" y="3801837"/>
            <a:ext cx="609600" cy="604156"/>
            <a:chOff x="8164286" y="3867151"/>
            <a:chExt cx="609600" cy="604156"/>
          </a:xfrm>
          <a:grpFill/>
        </xdr:grpSpPr>
        <xdr:sp macro="" textlink="">
          <xdr:nvSpPr>
            <xdr:cNvPr id="47" name="Freeform: Shape 46">
              <a:extLst>
                <a:ext uri="{FF2B5EF4-FFF2-40B4-BE49-F238E27FC236}">
                  <a16:creationId xmlns:a16="http://schemas.microsoft.com/office/drawing/2014/main" id="{AEB32F13-FF80-7288-AE94-DCD67D6F4A55}"/>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06966"/>
              </a:solidFill>
              <a:prstDash val="solid"/>
              <a:miter/>
            </a:ln>
          </xdr:spPr>
          <xdr:txBody>
            <a:bodyPr rtlCol="0" anchor="ctr"/>
            <a:lstStyle/>
            <a:p>
              <a:endParaRPr lang="ru-RU"/>
            </a:p>
          </xdr:txBody>
        </xdr:sp>
        <xdr:sp macro="" textlink="">
          <xdr:nvSpPr>
            <xdr:cNvPr id="48" name="Freeform: Shape 47">
              <a:extLst>
                <a:ext uri="{FF2B5EF4-FFF2-40B4-BE49-F238E27FC236}">
                  <a16:creationId xmlns:a16="http://schemas.microsoft.com/office/drawing/2014/main" id="{A2A9816A-B095-ED5D-E87D-FF1563C3C196}"/>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06966"/>
              </a:solidFill>
              <a:prstDash val="solid"/>
              <a:miter/>
            </a:ln>
          </xdr:spPr>
          <xdr:txBody>
            <a:bodyPr rtlCol="0" anchor="ctr"/>
            <a:lstStyle/>
            <a:p>
              <a:endParaRPr lang="ru-RU"/>
            </a:p>
          </xdr:txBody>
        </xdr:sp>
      </xdr:grpSp>
    </xdr:grpSp>
    <xdr:clientData/>
  </xdr:twoCellAnchor>
  <xdr:twoCellAnchor editAs="oneCell">
    <xdr:from>
      <xdr:col>3</xdr:col>
      <xdr:colOff>424541</xdr:colOff>
      <xdr:row>33</xdr:row>
      <xdr:rowOff>0</xdr:rowOff>
    </xdr:from>
    <xdr:to>
      <xdr:col>4</xdr:col>
      <xdr:colOff>363581</xdr:colOff>
      <xdr:row>35</xdr:row>
      <xdr:rowOff>178526</xdr:rowOff>
    </xdr:to>
    <xdr:pic>
      <xdr:nvPicPr>
        <xdr:cNvPr id="49" name="Graphic 48" descr="Clipboard Mixed outline">
          <a:hlinkClick xmlns:r="http://schemas.openxmlformats.org/officeDocument/2006/relationships" r:id="rId19"/>
          <a:extLst>
            <a:ext uri="{FF2B5EF4-FFF2-40B4-BE49-F238E27FC236}">
              <a16:creationId xmlns:a16="http://schemas.microsoft.com/office/drawing/2014/main" id="{2526B3E3-9DBD-45F5-85D8-7400CEA08E9D}"/>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253341" y="6106886"/>
          <a:ext cx="548640" cy="548640"/>
        </a:xfrm>
        <a:prstGeom prst="rect">
          <a:avLst/>
        </a:prstGeom>
      </xdr:spPr>
    </xdr:pic>
    <xdr:clientData/>
  </xdr:twoCellAnchor>
  <xdr:twoCellAnchor>
    <xdr:from>
      <xdr:col>3</xdr:col>
      <xdr:colOff>424541</xdr:colOff>
      <xdr:row>25</xdr:row>
      <xdr:rowOff>10887</xdr:rowOff>
    </xdr:from>
    <xdr:to>
      <xdr:col>4</xdr:col>
      <xdr:colOff>391884</xdr:colOff>
      <xdr:row>28</xdr:row>
      <xdr:rowOff>32659</xdr:rowOff>
    </xdr:to>
    <xdr:sp macro="" textlink="">
      <xdr:nvSpPr>
        <xdr:cNvPr id="50" name="Rectangle 49">
          <a:hlinkClick xmlns:r="http://schemas.openxmlformats.org/officeDocument/2006/relationships" r:id="rId9"/>
          <a:extLst>
            <a:ext uri="{FF2B5EF4-FFF2-40B4-BE49-F238E27FC236}">
              <a16:creationId xmlns:a16="http://schemas.microsoft.com/office/drawing/2014/main" id="{AABE0843-D3B4-48E5-80D6-5B242EA91B6D}"/>
            </a:ext>
          </a:extLst>
        </xdr:cNvPr>
        <xdr:cNvSpPr/>
      </xdr:nvSpPr>
      <xdr:spPr>
        <a:xfrm>
          <a:off x="2253341" y="4637316"/>
          <a:ext cx="576943" cy="5769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413658</xdr:colOff>
      <xdr:row>32</xdr:row>
      <xdr:rowOff>174171</xdr:rowOff>
    </xdr:from>
    <xdr:to>
      <xdr:col>4</xdr:col>
      <xdr:colOff>381001</xdr:colOff>
      <xdr:row>36</xdr:row>
      <xdr:rowOff>10886</xdr:rowOff>
    </xdr:to>
    <xdr:sp macro="" textlink="">
      <xdr:nvSpPr>
        <xdr:cNvPr id="52" name="Oval 51">
          <a:extLst>
            <a:ext uri="{FF2B5EF4-FFF2-40B4-BE49-F238E27FC236}">
              <a16:creationId xmlns:a16="http://schemas.microsoft.com/office/drawing/2014/main" id="{8A87DED0-2821-4AAE-B560-D7B2197328FB}"/>
            </a:ext>
          </a:extLst>
        </xdr:cNvPr>
        <xdr:cNvSpPr/>
      </xdr:nvSpPr>
      <xdr:spPr>
        <a:xfrm>
          <a:off x="2242458" y="6096000"/>
          <a:ext cx="576943" cy="576943"/>
        </a:xfrm>
        <a:prstGeom prst="ellipse">
          <a:avLst/>
        </a:prstGeom>
        <a:solidFill>
          <a:srgbClr val="9FE1D8">
            <a:alpha val="4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601980</xdr:colOff>
      <xdr:row>1</xdr:row>
      <xdr:rowOff>15240</xdr:rowOff>
    </xdr:from>
    <xdr:to>
      <xdr:col>11</xdr:col>
      <xdr:colOff>278132</xdr:colOff>
      <xdr:row>6</xdr:row>
      <xdr:rowOff>137160</xdr:rowOff>
    </xdr:to>
    <xdr:sp macro="" textlink="">
      <xdr:nvSpPr>
        <xdr:cNvPr id="2" name="Rectangle: Rounded Corners 12">
          <a:extLst>
            <a:ext uri="{FF2B5EF4-FFF2-40B4-BE49-F238E27FC236}">
              <a16:creationId xmlns:a16="http://schemas.microsoft.com/office/drawing/2014/main" id="{D94A1123-6235-4D6A-9E3A-401566452FA7}"/>
            </a:ext>
          </a:extLst>
        </xdr:cNvPr>
        <xdr:cNvSpPr/>
      </xdr:nvSpPr>
      <xdr:spPr>
        <a:xfrm>
          <a:off x="4869180" y="19812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00C7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36956</xdr:colOff>
      <xdr:row>1</xdr:row>
      <xdr:rowOff>0</xdr:rowOff>
    </xdr:from>
    <xdr:to>
      <xdr:col>12</xdr:col>
      <xdr:colOff>322708</xdr:colOff>
      <xdr:row>6</xdr:row>
      <xdr:rowOff>121920</xdr:rowOff>
    </xdr:to>
    <xdr:grpSp>
      <xdr:nvGrpSpPr>
        <xdr:cNvPr id="3" name="Group 2">
          <a:extLst>
            <a:ext uri="{FF2B5EF4-FFF2-40B4-BE49-F238E27FC236}">
              <a16:creationId xmlns:a16="http://schemas.microsoft.com/office/drawing/2014/main" id="{F15F0808-2C6B-442C-88D8-5C42EF7554D1}"/>
            </a:ext>
          </a:extLst>
        </xdr:cNvPr>
        <xdr:cNvGrpSpPr/>
      </xdr:nvGrpSpPr>
      <xdr:grpSpPr>
        <a:xfrm>
          <a:off x="7352156" y="190500"/>
          <a:ext cx="285752" cy="1074420"/>
          <a:chOff x="4357496" y="2057400"/>
          <a:chExt cx="285752" cy="1036320"/>
        </a:xfrm>
      </xdr:grpSpPr>
      <xdr:sp macro="" textlink="">
        <xdr:nvSpPr>
          <xdr:cNvPr id="4" name="Rectangle 3">
            <a:extLst>
              <a:ext uri="{FF2B5EF4-FFF2-40B4-BE49-F238E27FC236}">
                <a16:creationId xmlns:a16="http://schemas.microsoft.com/office/drawing/2014/main" id="{7A188EFF-B024-5408-79CF-CF8B58EEAA8E}"/>
              </a:ext>
            </a:extLst>
          </xdr:cNvPr>
          <xdr:cNvSpPr/>
        </xdr:nvSpPr>
        <xdr:spPr>
          <a:xfrm>
            <a:off x="4358640" y="2058924"/>
            <a:ext cx="283464" cy="1033272"/>
          </a:xfrm>
          <a:prstGeom prst="rect">
            <a:avLst/>
          </a:prstGeom>
          <a:solidFill>
            <a:srgbClr val="E7F3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 name="Rectangle: Rounded Corners 12">
            <a:extLst>
              <a:ext uri="{FF2B5EF4-FFF2-40B4-BE49-F238E27FC236}">
                <a16:creationId xmlns:a16="http://schemas.microsoft.com/office/drawing/2014/main" id="{9036A03B-8FAB-C3F3-2335-37F564E9BCE0}"/>
              </a:ext>
            </a:extLst>
          </xdr:cNvPr>
          <xdr:cNvSpPr/>
        </xdr:nvSpPr>
        <xdr:spPr>
          <a:xfrm rot="10800000">
            <a:off x="4357496" y="205740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73F46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10</xdr:col>
      <xdr:colOff>601980</xdr:colOff>
      <xdr:row>8</xdr:row>
      <xdr:rowOff>15240</xdr:rowOff>
    </xdr:from>
    <xdr:to>
      <xdr:col>11</xdr:col>
      <xdr:colOff>278132</xdr:colOff>
      <xdr:row>13</xdr:row>
      <xdr:rowOff>137160</xdr:rowOff>
    </xdr:to>
    <xdr:sp macro="" textlink="">
      <xdr:nvSpPr>
        <xdr:cNvPr id="6" name="Rectangle: Rounded Corners 12">
          <a:extLst>
            <a:ext uri="{FF2B5EF4-FFF2-40B4-BE49-F238E27FC236}">
              <a16:creationId xmlns:a16="http://schemas.microsoft.com/office/drawing/2014/main" id="{23AAD5F5-D297-499B-AFDE-D71771595FE2}"/>
            </a:ext>
          </a:extLst>
        </xdr:cNvPr>
        <xdr:cNvSpPr/>
      </xdr:nvSpPr>
      <xdr:spPr>
        <a:xfrm>
          <a:off x="4869180" y="147828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FF0D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36956</xdr:colOff>
      <xdr:row>8</xdr:row>
      <xdr:rowOff>0</xdr:rowOff>
    </xdr:from>
    <xdr:to>
      <xdr:col>12</xdr:col>
      <xdr:colOff>322708</xdr:colOff>
      <xdr:row>13</xdr:row>
      <xdr:rowOff>121920</xdr:rowOff>
    </xdr:to>
    <xdr:grpSp>
      <xdr:nvGrpSpPr>
        <xdr:cNvPr id="7" name="Group 6">
          <a:extLst>
            <a:ext uri="{FF2B5EF4-FFF2-40B4-BE49-F238E27FC236}">
              <a16:creationId xmlns:a16="http://schemas.microsoft.com/office/drawing/2014/main" id="{E6C940C4-942B-4260-B496-AE5246067AF0}"/>
            </a:ext>
          </a:extLst>
        </xdr:cNvPr>
        <xdr:cNvGrpSpPr/>
      </xdr:nvGrpSpPr>
      <xdr:grpSpPr>
        <a:xfrm>
          <a:off x="7352156" y="1524000"/>
          <a:ext cx="285752" cy="1074420"/>
          <a:chOff x="4357496" y="2057400"/>
          <a:chExt cx="285752" cy="1036320"/>
        </a:xfrm>
      </xdr:grpSpPr>
      <xdr:sp macro="" textlink="">
        <xdr:nvSpPr>
          <xdr:cNvPr id="8" name="Rectangle 7">
            <a:extLst>
              <a:ext uri="{FF2B5EF4-FFF2-40B4-BE49-F238E27FC236}">
                <a16:creationId xmlns:a16="http://schemas.microsoft.com/office/drawing/2014/main" id="{C390D5CE-3053-0500-FC8D-E83344965898}"/>
              </a:ext>
            </a:extLst>
          </xdr:cNvPr>
          <xdr:cNvSpPr/>
        </xdr:nvSpPr>
        <xdr:spPr>
          <a:xfrm>
            <a:off x="4358640" y="2058924"/>
            <a:ext cx="283464" cy="1033272"/>
          </a:xfrm>
          <a:prstGeom prst="rect">
            <a:avLst/>
          </a:prstGeom>
          <a:solidFill>
            <a:srgbClr val="E7F3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 name="Rectangle: Rounded Corners 12">
            <a:extLst>
              <a:ext uri="{FF2B5EF4-FFF2-40B4-BE49-F238E27FC236}">
                <a16:creationId xmlns:a16="http://schemas.microsoft.com/office/drawing/2014/main" id="{E3C5B642-6444-6207-E657-1B71DFE80F1A}"/>
              </a:ext>
            </a:extLst>
          </xdr:cNvPr>
          <xdr:cNvSpPr/>
        </xdr:nvSpPr>
        <xdr:spPr>
          <a:xfrm rot="10800000">
            <a:off x="4357496" y="205740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FF6C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10</xdr:col>
      <xdr:colOff>601980</xdr:colOff>
      <xdr:row>15</xdr:row>
      <xdr:rowOff>99060</xdr:rowOff>
    </xdr:from>
    <xdr:to>
      <xdr:col>11</xdr:col>
      <xdr:colOff>278132</xdr:colOff>
      <xdr:row>21</xdr:row>
      <xdr:rowOff>38100</xdr:rowOff>
    </xdr:to>
    <xdr:sp macro="" textlink="">
      <xdr:nvSpPr>
        <xdr:cNvPr id="10" name="Rectangle: Rounded Corners 12">
          <a:extLst>
            <a:ext uri="{FF2B5EF4-FFF2-40B4-BE49-F238E27FC236}">
              <a16:creationId xmlns:a16="http://schemas.microsoft.com/office/drawing/2014/main" id="{FEA3133E-F231-4E47-9CE6-98CC3421150D}"/>
            </a:ext>
          </a:extLst>
        </xdr:cNvPr>
        <xdr:cNvSpPr/>
      </xdr:nvSpPr>
      <xdr:spPr>
        <a:xfrm>
          <a:off x="4869180" y="284226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00E5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36956</xdr:colOff>
      <xdr:row>15</xdr:row>
      <xdr:rowOff>83820</xdr:rowOff>
    </xdr:from>
    <xdr:to>
      <xdr:col>12</xdr:col>
      <xdr:colOff>322708</xdr:colOff>
      <xdr:row>21</xdr:row>
      <xdr:rowOff>22860</xdr:rowOff>
    </xdr:to>
    <xdr:grpSp>
      <xdr:nvGrpSpPr>
        <xdr:cNvPr id="11" name="Group 10">
          <a:extLst>
            <a:ext uri="{FF2B5EF4-FFF2-40B4-BE49-F238E27FC236}">
              <a16:creationId xmlns:a16="http://schemas.microsoft.com/office/drawing/2014/main" id="{FEA51B04-44F0-4AC9-879C-B7C26EA24199}"/>
            </a:ext>
          </a:extLst>
        </xdr:cNvPr>
        <xdr:cNvGrpSpPr/>
      </xdr:nvGrpSpPr>
      <xdr:grpSpPr>
        <a:xfrm>
          <a:off x="7352156" y="2941320"/>
          <a:ext cx="285752" cy="1082040"/>
          <a:chOff x="4357496" y="2057400"/>
          <a:chExt cx="285752" cy="1036320"/>
        </a:xfrm>
      </xdr:grpSpPr>
      <xdr:sp macro="" textlink="">
        <xdr:nvSpPr>
          <xdr:cNvPr id="12" name="Rectangle 11">
            <a:extLst>
              <a:ext uri="{FF2B5EF4-FFF2-40B4-BE49-F238E27FC236}">
                <a16:creationId xmlns:a16="http://schemas.microsoft.com/office/drawing/2014/main" id="{6E9A2E7B-2349-738D-99D9-B2E43BE0E440}"/>
              </a:ext>
            </a:extLst>
          </xdr:cNvPr>
          <xdr:cNvSpPr/>
        </xdr:nvSpPr>
        <xdr:spPr>
          <a:xfrm>
            <a:off x="4358640" y="2058924"/>
            <a:ext cx="283464" cy="1033272"/>
          </a:xfrm>
          <a:prstGeom prst="rect">
            <a:avLst/>
          </a:prstGeom>
          <a:solidFill>
            <a:srgbClr val="E7F3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 name="Rectangle: Rounded Corners 12">
            <a:extLst>
              <a:ext uri="{FF2B5EF4-FFF2-40B4-BE49-F238E27FC236}">
                <a16:creationId xmlns:a16="http://schemas.microsoft.com/office/drawing/2014/main" id="{3B4AD2C5-32DA-C49C-42AD-9F73F1B413CE}"/>
              </a:ext>
            </a:extLst>
          </xdr:cNvPr>
          <xdr:cNvSpPr/>
        </xdr:nvSpPr>
        <xdr:spPr>
          <a:xfrm rot="10800000">
            <a:off x="4357496" y="205740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1AFFD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10</xdr:col>
      <xdr:colOff>601980</xdr:colOff>
      <xdr:row>22</xdr:row>
      <xdr:rowOff>45720</xdr:rowOff>
    </xdr:from>
    <xdr:to>
      <xdr:col>11</xdr:col>
      <xdr:colOff>278132</xdr:colOff>
      <xdr:row>27</xdr:row>
      <xdr:rowOff>167640</xdr:rowOff>
    </xdr:to>
    <xdr:sp macro="" textlink="">
      <xdr:nvSpPr>
        <xdr:cNvPr id="14" name="Rectangle: Rounded Corners 12">
          <a:extLst>
            <a:ext uri="{FF2B5EF4-FFF2-40B4-BE49-F238E27FC236}">
              <a16:creationId xmlns:a16="http://schemas.microsoft.com/office/drawing/2014/main" id="{8DFAD29D-35D4-4E2A-B308-8EA454032B3A}"/>
            </a:ext>
          </a:extLst>
        </xdr:cNvPr>
        <xdr:cNvSpPr/>
      </xdr:nvSpPr>
      <xdr:spPr>
        <a:xfrm>
          <a:off x="4869180" y="406908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178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36956</xdr:colOff>
      <xdr:row>22</xdr:row>
      <xdr:rowOff>30480</xdr:rowOff>
    </xdr:from>
    <xdr:to>
      <xdr:col>12</xdr:col>
      <xdr:colOff>322708</xdr:colOff>
      <xdr:row>27</xdr:row>
      <xdr:rowOff>152400</xdr:rowOff>
    </xdr:to>
    <xdr:grpSp>
      <xdr:nvGrpSpPr>
        <xdr:cNvPr id="15" name="Group 14">
          <a:extLst>
            <a:ext uri="{FF2B5EF4-FFF2-40B4-BE49-F238E27FC236}">
              <a16:creationId xmlns:a16="http://schemas.microsoft.com/office/drawing/2014/main" id="{80B192E6-E260-499A-A193-C06C2BC3D941}"/>
            </a:ext>
          </a:extLst>
        </xdr:cNvPr>
        <xdr:cNvGrpSpPr/>
      </xdr:nvGrpSpPr>
      <xdr:grpSpPr>
        <a:xfrm>
          <a:off x="7352156" y="4221480"/>
          <a:ext cx="285752" cy="1074420"/>
          <a:chOff x="4357496" y="2057400"/>
          <a:chExt cx="285752" cy="1036320"/>
        </a:xfrm>
      </xdr:grpSpPr>
      <xdr:sp macro="" textlink="">
        <xdr:nvSpPr>
          <xdr:cNvPr id="16" name="Rectangle 15">
            <a:extLst>
              <a:ext uri="{FF2B5EF4-FFF2-40B4-BE49-F238E27FC236}">
                <a16:creationId xmlns:a16="http://schemas.microsoft.com/office/drawing/2014/main" id="{B6228843-6561-380B-7F9D-4334CBA6C6E6}"/>
              </a:ext>
            </a:extLst>
          </xdr:cNvPr>
          <xdr:cNvSpPr/>
        </xdr:nvSpPr>
        <xdr:spPr>
          <a:xfrm>
            <a:off x="4358640" y="2058924"/>
            <a:ext cx="283464" cy="1033272"/>
          </a:xfrm>
          <a:prstGeom prst="rect">
            <a:avLst/>
          </a:prstGeom>
          <a:solidFill>
            <a:srgbClr val="E7F3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7" name="Rectangle: Rounded Corners 12">
            <a:extLst>
              <a:ext uri="{FF2B5EF4-FFF2-40B4-BE49-F238E27FC236}">
                <a16:creationId xmlns:a16="http://schemas.microsoft.com/office/drawing/2014/main" id="{74A471EE-0DCF-9DBB-1216-78B1800B5210}"/>
              </a:ext>
            </a:extLst>
          </xdr:cNvPr>
          <xdr:cNvSpPr/>
        </xdr:nvSpPr>
        <xdr:spPr>
          <a:xfrm rot="10800000">
            <a:off x="4357496" y="205740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4AA5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14</xdr:col>
      <xdr:colOff>243840</xdr:colOff>
      <xdr:row>16</xdr:row>
      <xdr:rowOff>0</xdr:rowOff>
    </xdr:from>
    <xdr:to>
      <xdr:col>14</xdr:col>
      <xdr:colOff>529592</xdr:colOff>
      <xdr:row>21</xdr:row>
      <xdr:rowOff>121920</xdr:rowOff>
    </xdr:to>
    <xdr:sp macro="" textlink="">
      <xdr:nvSpPr>
        <xdr:cNvPr id="18" name="Rectangle: Rounded Corners 12">
          <a:extLst>
            <a:ext uri="{FF2B5EF4-FFF2-40B4-BE49-F238E27FC236}">
              <a16:creationId xmlns:a16="http://schemas.microsoft.com/office/drawing/2014/main" id="{B471C788-E10A-480D-BD68-896E1F5EAAC1}"/>
            </a:ext>
          </a:extLst>
        </xdr:cNvPr>
        <xdr:cNvSpPr/>
      </xdr:nvSpPr>
      <xdr:spPr>
        <a:xfrm>
          <a:off x="6949440" y="292608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673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288416</xdr:colOff>
      <xdr:row>15</xdr:row>
      <xdr:rowOff>167640</xdr:rowOff>
    </xdr:from>
    <xdr:to>
      <xdr:col>15</xdr:col>
      <xdr:colOff>574168</xdr:colOff>
      <xdr:row>21</xdr:row>
      <xdr:rowOff>106680</xdr:rowOff>
    </xdr:to>
    <xdr:grpSp>
      <xdr:nvGrpSpPr>
        <xdr:cNvPr id="19" name="Group 18">
          <a:extLst>
            <a:ext uri="{FF2B5EF4-FFF2-40B4-BE49-F238E27FC236}">
              <a16:creationId xmlns:a16="http://schemas.microsoft.com/office/drawing/2014/main" id="{6DC71598-F6AE-43A4-8747-27EE3BBFB7A1}"/>
            </a:ext>
          </a:extLst>
        </xdr:cNvPr>
        <xdr:cNvGrpSpPr/>
      </xdr:nvGrpSpPr>
      <xdr:grpSpPr>
        <a:xfrm>
          <a:off x="9432416" y="3025140"/>
          <a:ext cx="285752" cy="1082040"/>
          <a:chOff x="4357496" y="2057400"/>
          <a:chExt cx="285752" cy="1036320"/>
        </a:xfrm>
      </xdr:grpSpPr>
      <xdr:sp macro="" textlink="">
        <xdr:nvSpPr>
          <xdr:cNvPr id="20" name="Rectangle 19">
            <a:extLst>
              <a:ext uri="{FF2B5EF4-FFF2-40B4-BE49-F238E27FC236}">
                <a16:creationId xmlns:a16="http://schemas.microsoft.com/office/drawing/2014/main" id="{4950AE98-FA0F-0033-EBEB-4F7555567E7C}"/>
              </a:ext>
            </a:extLst>
          </xdr:cNvPr>
          <xdr:cNvSpPr/>
        </xdr:nvSpPr>
        <xdr:spPr>
          <a:xfrm>
            <a:off x="4358640" y="2058924"/>
            <a:ext cx="283464" cy="1033272"/>
          </a:xfrm>
          <a:prstGeom prst="rect">
            <a:avLst/>
          </a:prstGeom>
          <a:solidFill>
            <a:srgbClr val="E7F3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1" name="Rectangle: Rounded Corners 12">
            <a:extLst>
              <a:ext uri="{FF2B5EF4-FFF2-40B4-BE49-F238E27FC236}">
                <a16:creationId xmlns:a16="http://schemas.microsoft.com/office/drawing/2014/main" id="{1C788F0F-F8D8-1B0E-7526-41710D19AAA6}"/>
              </a:ext>
            </a:extLst>
          </xdr:cNvPr>
          <xdr:cNvSpPr/>
        </xdr:nvSpPr>
        <xdr:spPr>
          <a:xfrm rot="10800000">
            <a:off x="4357496" y="205740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8F72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13</xdr:col>
      <xdr:colOff>312420</xdr:colOff>
      <xdr:row>6</xdr:row>
      <xdr:rowOff>45720</xdr:rowOff>
    </xdr:from>
    <xdr:to>
      <xdr:col>13</xdr:col>
      <xdr:colOff>598172</xdr:colOff>
      <xdr:row>11</xdr:row>
      <xdr:rowOff>167640</xdr:rowOff>
    </xdr:to>
    <xdr:sp macro="" textlink="">
      <xdr:nvSpPr>
        <xdr:cNvPr id="22" name="Rectangle: Rounded Corners 12">
          <a:extLst>
            <a:ext uri="{FF2B5EF4-FFF2-40B4-BE49-F238E27FC236}">
              <a16:creationId xmlns:a16="http://schemas.microsoft.com/office/drawing/2014/main" id="{A753E42E-A837-42F1-9EDD-B436E129CDA5}"/>
            </a:ext>
          </a:extLst>
        </xdr:cNvPr>
        <xdr:cNvSpPr/>
      </xdr:nvSpPr>
      <xdr:spPr>
        <a:xfrm rot="10800000">
          <a:off x="6408420" y="114300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E7F3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525780</xdr:colOff>
      <xdr:row>6</xdr:row>
      <xdr:rowOff>45720</xdr:rowOff>
    </xdr:from>
    <xdr:to>
      <xdr:col>7</xdr:col>
      <xdr:colOff>201932</xdr:colOff>
      <xdr:row>11</xdr:row>
      <xdr:rowOff>167640</xdr:rowOff>
    </xdr:to>
    <xdr:sp macro="" textlink="">
      <xdr:nvSpPr>
        <xdr:cNvPr id="23" name="Rectangle: Rounded Corners 12">
          <a:extLst>
            <a:ext uri="{FF2B5EF4-FFF2-40B4-BE49-F238E27FC236}">
              <a16:creationId xmlns:a16="http://schemas.microsoft.com/office/drawing/2014/main" id="{F346F065-B618-8518-9978-359AAA77B56C}"/>
            </a:ext>
          </a:extLst>
        </xdr:cNvPr>
        <xdr:cNvSpPr/>
      </xdr:nvSpPr>
      <xdr:spPr>
        <a:xfrm>
          <a:off x="2354580" y="114300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2C78A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570356</xdr:colOff>
      <xdr:row>6</xdr:row>
      <xdr:rowOff>30480</xdr:rowOff>
    </xdr:from>
    <xdr:to>
      <xdr:col>8</xdr:col>
      <xdr:colOff>246508</xdr:colOff>
      <xdr:row>11</xdr:row>
      <xdr:rowOff>152400</xdr:rowOff>
    </xdr:to>
    <xdr:grpSp>
      <xdr:nvGrpSpPr>
        <xdr:cNvPr id="24" name="Group 23">
          <a:extLst>
            <a:ext uri="{FF2B5EF4-FFF2-40B4-BE49-F238E27FC236}">
              <a16:creationId xmlns:a16="http://schemas.microsoft.com/office/drawing/2014/main" id="{1FF3820D-8861-BDAA-1A6A-577307C69069}"/>
            </a:ext>
          </a:extLst>
        </xdr:cNvPr>
        <xdr:cNvGrpSpPr/>
      </xdr:nvGrpSpPr>
      <xdr:grpSpPr>
        <a:xfrm>
          <a:off x="4837556" y="1173480"/>
          <a:ext cx="285752" cy="1074420"/>
          <a:chOff x="4357496" y="2057400"/>
          <a:chExt cx="285752" cy="1036320"/>
        </a:xfrm>
      </xdr:grpSpPr>
      <xdr:sp macro="" textlink="">
        <xdr:nvSpPr>
          <xdr:cNvPr id="25" name="Rectangle 24">
            <a:extLst>
              <a:ext uri="{FF2B5EF4-FFF2-40B4-BE49-F238E27FC236}">
                <a16:creationId xmlns:a16="http://schemas.microsoft.com/office/drawing/2014/main" id="{239A1EA3-CA7D-B730-B67A-C4BBDF82F09B}"/>
              </a:ext>
            </a:extLst>
          </xdr:cNvPr>
          <xdr:cNvSpPr/>
        </xdr:nvSpPr>
        <xdr:spPr>
          <a:xfrm>
            <a:off x="4358640" y="2058924"/>
            <a:ext cx="283464" cy="1033272"/>
          </a:xfrm>
          <a:prstGeom prst="rect">
            <a:avLst/>
          </a:prstGeom>
          <a:solidFill>
            <a:srgbClr val="E7F3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6" name="Rectangle: Rounded Corners 12">
            <a:extLst>
              <a:ext uri="{FF2B5EF4-FFF2-40B4-BE49-F238E27FC236}">
                <a16:creationId xmlns:a16="http://schemas.microsoft.com/office/drawing/2014/main" id="{025A0E2F-CAD4-CACC-C5D0-DC4F18AF30C7}"/>
              </a:ext>
            </a:extLst>
          </xdr:cNvPr>
          <xdr:cNvSpPr/>
        </xdr:nvSpPr>
        <xdr:spPr>
          <a:xfrm rot="10800000">
            <a:off x="4357496" y="205740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2C78A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6</xdr:col>
      <xdr:colOff>525780</xdr:colOff>
      <xdr:row>14</xdr:row>
      <xdr:rowOff>68580</xdr:rowOff>
    </xdr:from>
    <xdr:to>
      <xdr:col>7</xdr:col>
      <xdr:colOff>201932</xdr:colOff>
      <xdr:row>20</xdr:row>
      <xdr:rowOff>7620</xdr:rowOff>
    </xdr:to>
    <xdr:sp macro="" textlink="">
      <xdr:nvSpPr>
        <xdr:cNvPr id="27" name="Rectangle: Rounded Corners 12">
          <a:extLst>
            <a:ext uri="{FF2B5EF4-FFF2-40B4-BE49-F238E27FC236}">
              <a16:creationId xmlns:a16="http://schemas.microsoft.com/office/drawing/2014/main" id="{010D34DF-AE24-1C4A-4EE2-95C53FB5B0A6}"/>
            </a:ext>
          </a:extLst>
        </xdr:cNvPr>
        <xdr:cNvSpPr/>
      </xdr:nvSpPr>
      <xdr:spPr>
        <a:xfrm>
          <a:off x="2354580" y="262890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FF6C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570356</xdr:colOff>
      <xdr:row>14</xdr:row>
      <xdr:rowOff>53340</xdr:rowOff>
    </xdr:from>
    <xdr:to>
      <xdr:col>8</xdr:col>
      <xdr:colOff>246508</xdr:colOff>
      <xdr:row>19</xdr:row>
      <xdr:rowOff>175260</xdr:rowOff>
    </xdr:to>
    <xdr:grpSp>
      <xdr:nvGrpSpPr>
        <xdr:cNvPr id="28" name="Group 27">
          <a:extLst>
            <a:ext uri="{FF2B5EF4-FFF2-40B4-BE49-F238E27FC236}">
              <a16:creationId xmlns:a16="http://schemas.microsoft.com/office/drawing/2014/main" id="{0A9666B7-59DB-5FE8-F443-3FE02C6B53C8}"/>
            </a:ext>
          </a:extLst>
        </xdr:cNvPr>
        <xdr:cNvGrpSpPr/>
      </xdr:nvGrpSpPr>
      <xdr:grpSpPr>
        <a:xfrm>
          <a:off x="4837556" y="2720340"/>
          <a:ext cx="285752" cy="1074420"/>
          <a:chOff x="4357496" y="2057400"/>
          <a:chExt cx="285752" cy="1036320"/>
        </a:xfrm>
      </xdr:grpSpPr>
      <xdr:sp macro="" textlink="">
        <xdr:nvSpPr>
          <xdr:cNvPr id="29" name="Rectangle 28">
            <a:extLst>
              <a:ext uri="{FF2B5EF4-FFF2-40B4-BE49-F238E27FC236}">
                <a16:creationId xmlns:a16="http://schemas.microsoft.com/office/drawing/2014/main" id="{4CB33095-57EA-EB96-C589-FF89D61DDFFE}"/>
              </a:ext>
            </a:extLst>
          </xdr:cNvPr>
          <xdr:cNvSpPr/>
        </xdr:nvSpPr>
        <xdr:spPr>
          <a:xfrm>
            <a:off x="4358640" y="2058924"/>
            <a:ext cx="283464" cy="1033272"/>
          </a:xfrm>
          <a:prstGeom prst="rect">
            <a:avLst/>
          </a:prstGeom>
          <a:solidFill>
            <a:srgbClr val="E7F3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0" name="Rectangle: Rounded Corners 12">
            <a:extLst>
              <a:ext uri="{FF2B5EF4-FFF2-40B4-BE49-F238E27FC236}">
                <a16:creationId xmlns:a16="http://schemas.microsoft.com/office/drawing/2014/main" id="{A7D548FA-A0ED-8670-1DBC-5F494C1F30B1}"/>
              </a:ext>
            </a:extLst>
          </xdr:cNvPr>
          <xdr:cNvSpPr/>
        </xdr:nvSpPr>
        <xdr:spPr>
          <a:xfrm rot="10800000">
            <a:off x="4357496" y="205740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2C78A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6</xdr:col>
      <xdr:colOff>525780</xdr:colOff>
      <xdr:row>21</xdr:row>
      <xdr:rowOff>15240</xdr:rowOff>
    </xdr:from>
    <xdr:to>
      <xdr:col>7</xdr:col>
      <xdr:colOff>201932</xdr:colOff>
      <xdr:row>26</xdr:row>
      <xdr:rowOff>137160</xdr:rowOff>
    </xdr:to>
    <xdr:sp macro="" textlink="">
      <xdr:nvSpPr>
        <xdr:cNvPr id="31" name="Rectangle: Rounded Corners 12">
          <a:extLst>
            <a:ext uri="{FF2B5EF4-FFF2-40B4-BE49-F238E27FC236}">
              <a16:creationId xmlns:a16="http://schemas.microsoft.com/office/drawing/2014/main" id="{59312595-1069-6DF2-AE8B-FF405D2B7589}"/>
            </a:ext>
          </a:extLst>
        </xdr:cNvPr>
        <xdr:cNvSpPr/>
      </xdr:nvSpPr>
      <xdr:spPr>
        <a:xfrm>
          <a:off x="2354580" y="385572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0B947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570356</xdr:colOff>
      <xdr:row>21</xdr:row>
      <xdr:rowOff>0</xdr:rowOff>
    </xdr:from>
    <xdr:to>
      <xdr:col>8</xdr:col>
      <xdr:colOff>246508</xdr:colOff>
      <xdr:row>26</xdr:row>
      <xdr:rowOff>121920</xdr:rowOff>
    </xdr:to>
    <xdr:grpSp>
      <xdr:nvGrpSpPr>
        <xdr:cNvPr id="32" name="Group 31">
          <a:extLst>
            <a:ext uri="{FF2B5EF4-FFF2-40B4-BE49-F238E27FC236}">
              <a16:creationId xmlns:a16="http://schemas.microsoft.com/office/drawing/2014/main" id="{22BE2227-EA01-9299-C380-6385FC6B1A89}"/>
            </a:ext>
          </a:extLst>
        </xdr:cNvPr>
        <xdr:cNvGrpSpPr/>
      </xdr:nvGrpSpPr>
      <xdr:grpSpPr>
        <a:xfrm>
          <a:off x="4837556" y="4000500"/>
          <a:ext cx="285752" cy="1074420"/>
          <a:chOff x="4357496" y="2057400"/>
          <a:chExt cx="285752" cy="1036320"/>
        </a:xfrm>
      </xdr:grpSpPr>
      <xdr:sp macro="" textlink="">
        <xdr:nvSpPr>
          <xdr:cNvPr id="33" name="Rectangle 32">
            <a:extLst>
              <a:ext uri="{FF2B5EF4-FFF2-40B4-BE49-F238E27FC236}">
                <a16:creationId xmlns:a16="http://schemas.microsoft.com/office/drawing/2014/main" id="{89FF781C-C268-7DD1-DC17-0CF50422CDB8}"/>
              </a:ext>
            </a:extLst>
          </xdr:cNvPr>
          <xdr:cNvSpPr/>
        </xdr:nvSpPr>
        <xdr:spPr>
          <a:xfrm>
            <a:off x="4358640" y="2058924"/>
            <a:ext cx="283464" cy="1033272"/>
          </a:xfrm>
          <a:prstGeom prst="rect">
            <a:avLst/>
          </a:prstGeom>
          <a:solidFill>
            <a:srgbClr val="E7F3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4" name="Rectangle: Rounded Corners 12">
            <a:extLst>
              <a:ext uri="{FF2B5EF4-FFF2-40B4-BE49-F238E27FC236}">
                <a16:creationId xmlns:a16="http://schemas.microsoft.com/office/drawing/2014/main" id="{02B00FC3-9B42-36B4-30CE-58CC3ADCA42D}"/>
              </a:ext>
            </a:extLst>
          </xdr:cNvPr>
          <xdr:cNvSpPr/>
        </xdr:nvSpPr>
        <xdr:spPr>
          <a:xfrm rot="10800000">
            <a:off x="4357496" y="205740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0B947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6</xdr:col>
      <xdr:colOff>525780</xdr:colOff>
      <xdr:row>27</xdr:row>
      <xdr:rowOff>144780</xdr:rowOff>
    </xdr:from>
    <xdr:to>
      <xdr:col>7</xdr:col>
      <xdr:colOff>201932</xdr:colOff>
      <xdr:row>33</xdr:row>
      <xdr:rowOff>83820</xdr:rowOff>
    </xdr:to>
    <xdr:sp macro="" textlink="">
      <xdr:nvSpPr>
        <xdr:cNvPr id="35" name="Rectangle: Rounded Corners 12">
          <a:extLst>
            <a:ext uri="{FF2B5EF4-FFF2-40B4-BE49-F238E27FC236}">
              <a16:creationId xmlns:a16="http://schemas.microsoft.com/office/drawing/2014/main" id="{F1A18904-3D1B-2026-D3FF-DF8000C96FD3}"/>
            </a:ext>
          </a:extLst>
        </xdr:cNvPr>
        <xdr:cNvSpPr/>
      </xdr:nvSpPr>
      <xdr:spPr>
        <a:xfrm>
          <a:off x="2354580" y="508254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00837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570356</xdr:colOff>
      <xdr:row>27</xdr:row>
      <xdr:rowOff>129540</xdr:rowOff>
    </xdr:from>
    <xdr:to>
      <xdr:col>8</xdr:col>
      <xdr:colOff>246508</xdr:colOff>
      <xdr:row>33</xdr:row>
      <xdr:rowOff>68580</xdr:rowOff>
    </xdr:to>
    <xdr:grpSp>
      <xdr:nvGrpSpPr>
        <xdr:cNvPr id="36" name="Group 35">
          <a:extLst>
            <a:ext uri="{FF2B5EF4-FFF2-40B4-BE49-F238E27FC236}">
              <a16:creationId xmlns:a16="http://schemas.microsoft.com/office/drawing/2014/main" id="{4B3DA39A-5BE1-3E38-3EF1-055C3020E8F9}"/>
            </a:ext>
          </a:extLst>
        </xdr:cNvPr>
        <xdr:cNvGrpSpPr/>
      </xdr:nvGrpSpPr>
      <xdr:grpSpPr>
        <a:xfrm>
          <a:off x="4837556" y="5273040"/>
          <a:ext cx="285752" cy="1082040"/>
          <a:chOff x="4357496" y="2057400"/>
          <a:chExt cx="285752" cy="1036320"/>
        </a:xfrm>
      </xdr:grpSpPr>
      <xdr:sp macro="" textlink="">
        <xdr:nvSpPr>
          <xdr:cNvPr id="37" name="Rectangle 36">
            <a:extLst>
              <a:ext uri="{FF2B5EF4-FFF2-40B4-BE49-F238E27FC236}">
                <a16:creationId xmlns:a16="http://schemas.microsoft.com/office/drawing/2014/main" id="{9D51CBD9-8639-9813-9F6D-298CA3EE4CCF}"/>
              </a:ext>
            </a:extLst>
          </xdr:cNvPr>
          <xdr:cNvSpPr/>
        </xdr:nvSpPr>
        <xdr:spPr>
          <a:xfrm>
            <a:off x="4358640" y="2058924"/>
            <a:ext cx="283464" cy="1033272"/>
          </a:xfrm>
          <a:prstGeom prst="rect">
            <a:avLst/>
          </a:prstGeom>
          <a:solidFill>
            <a:srgbClr val="E7F3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8" name="Rectangle: Rounded Corners 12">
            <a:extLst>
              <a:ext uri="{FF2B5EF4-FFF2-40B4-BE49-F238E27FC236}">
                <a16:creationId xmlns:a16="http://schemas.microsoft.com/office/drawing/2014/main" id="{C36B9088-F986-BCB8-11CF-ABD6EA2D6128}"/>
              </a:ext>
            </a:extLst>
          </xdr:cNvPr>
          <xdr:cNvSpPr/>
        </xdr:nvSpPr>
        <xdr:spPr>
          <a:xfrm rot="10800000">
            <a:off x="4357496" y="205740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00837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4</xdr:col>
      <xdr:colOff>175260</xdr:colOff>
      <xdr:row>27</xdr:row>
      <xdr:rowOff>129540</xdr:rowOff>
    </xdr:from>
    <xdr:to>
      <xdr:col>4</xdr:col>
      <xdr:colOff>461012</xdr:colOff>
      <xdr:row>33</xdr:row>
      <xdr:rowOff>68580</xdr:rowOff>
    </xdr:to>
    <xdr:sp macro="" textlink="">
      <xdr:nvSpPr>
        <xdr:cNvPr id="39" name="Rectangle: Rounded Corners 12">
          <a:extLst>
            <a:ext uri="{FF2B5EF4-FFF2-40B4-BE49-F238E27FC236}">
              <a16:creationId xmlns:a16="http://schemas.microsoft.com/office/drawing/2014/main" id="{A8A6C7BD-3D91-C608-DF2C-D3B159B4AD79}"/>
            </a:ext>
          </a:extLst>
        </xdr:cNvPr>
        <xdr:cNvSpPr/>
      </xdr:nvSpPr>
      <xdr:spPr>
        <a:xfrm>
          <a:off x="784860" y="506730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0996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219836</xdr:colOff>
      <xdr:row>27</xdr:row>
      <xdr:rowOff>114300</xdr:rowOff>
    </xdr:from>
    <xdr:to>
      <xdr:col>5</xdr:col>
      <xdr:colOff>505588</xdr:colOff>
      <xdr:row>33</xdr:row>
      <xdr:rowOff>53340</xdr:rowOff>
    </xdr:to>
    <xdr:grpSp>
      <xdr:nvGrpSpPr>
        <xdr:cNvPr id="40" name="Group 39">
          <a:extLst>
            <a:ext uri="{FF2B5EF4-FFF2-40B4-BE49-F238E27FC236}">
              <a16:creationId xmlns:a16="http://schemas.microsoft.com/office/drawing/2014/main" id="{F8E7E6CF-3137-030D-FC1C-DBE1CD8C2571}"/>
            </a:ext>
          </a:extLst>
        </xdr:cNvPr>
        <xdr:cNvGrpSpPr/>
      </xdr:nvGrpSpPr>
      <xdr:grpSpPr>
        <a:xfrm>
          <a:off x="3267836" y="5257800"/>
          <a:ext cx="285752" cy="1082040"/>
          <a:chOff x="4357496" y="2057400"/>
          <a:chExt cx="285752" cy="1036320"/>
        </a:xfrm>
      </xdr:grpSpPr>
      <xdr:sp macro="" textlink="">
        <xdr:nvSpPr>
          <xdr:cNvPr id="41" name="Rectangle 40">
            <a:extLst>
              <a:ext uri="{FF2B5EF4-FFF2-40B4-BE49-F238E27FC236}">
                <a16:creationId xmlns:a16="http://schemas.microsoft.com/office/drawing/2014/main" id="{7C9D485A-0616-9421-65B4-9295F32D095B}"/>
              </a:ext>
            </a:extLst>
          </xdr:cNvPr>
          <xdr:cNvSpPr/>
        </xdr:nvSpPr>
        <xdr:spPr>
          <a:xfrm>
            <a:off x="4358640" y="2058924"/>
            <a:ext cx="283464" cy="1033272"/>
          </a:xfrm>
          <a:prstGeom prst="rect">
            <a:avLst/>
          </a:prstGeom>
          <a:solidFill>
            <a:srgbClr val="E7F3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2" name="Rectangle: Rounded Corners 12">
            <a:extLst>
              <a:ext uri="{FF2B5EF4-FFF2-40B4-BE49-F238E27FC236}">
                <a16:creationId xmlns:a16="http://schemas.microsoft.com/office/drawing/2014/main" id="{3C362821-33EB-ADF8-2376-9D9D55AFF7A3}"/>
              </a:ext>
            </a:extLst>
          </xdr:cNvPr>
          <xdr:cNvSpPr/>
        </xdr:nvSpPr>
        <xdr:spPr>
          <a:xfrm rot="10800000">
            <a:off x="4357496" y="205740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0996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4</xdr:col>
      <xdr:colOff>175260</xdr:colOff>
      <xdr:row>20</xdr:row>
      <xdr:rowOff>160020</xdr:rowOff>
    </xdr:from>
    <xdr:to>
      <xdr:col>4</xdr:col>
      <xdr:colOff>461012</xdr:colOff>
      <xdr:row>26</xdr:row>
      <xdr:rowOff>99060</xdr:rowOff>
    </xdr:to>
    <xdr:sp macro="" textlink="">
      <xdr:nvSpPr>
        <xdr:cNvPr id="43" name="Rectangle: Rounded Corners 12">
          <a:extLst>
            <a:ext uri="{FF2B5EF4-FFF2-40B4-BE49-F238E27FC236}">
              <a16:creationId xmlns:a16="http://schemas.microsoft.com/office/drawing/2014/main" id="{4CEB870B-81CD-85C3-A792-275D7F17CC25}"/>
            </a:ext>
          </a:extLst>
        </xdr:cNvPr>
        <xdr:cNvSpPr/>
      </xdr:nvSpPr>
      <xdr:spPr>
        <a:xfrm>
          <a:off x="784860" y="381762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FA7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219836</xdr:colOff>
      <xdr:row>20</xdr:row>
      <xdr:rowOff>144780</xdr:rowOff>
    </xdr:from>
    <xdr:to>
      <xdr:col>5</xdr:col>
      <xdr:colOff>505588</xdr:colOff>
      <xdr:row>26</xdr:row>
      <xdr:rowOff>83820</xdr:rowOff>
    </xdr:to>
    <xdr:grpSp>
      <xdr:nvGrpSpPr>
        <xdr:cNvPr id="44" name="Group 43">
          <a:extLst>
            <a:ext uri="{FF2B5EF4-FFF2-40B4-BE49-F238E27FC236}">
              <a16:creationId xmlns:a16="http://schemas.microsoft.com/office/drawing/2014/main" id="{04CC8827-3B59-FBDD-A5F2-27B970056529}"/>
            </a:ext>
          </a:extLst>
        </xdr:cNvPr>
        <xdr:cNvGrpSpPr/>
      </xdr:nvGrpSpPr>
      <xdr:grpSpPr>
        <a:xfrm>
          <a:off x="3267836" y="3954780"/>
          <a:ext cx="285752" cy="1082040"/>
          <a:chOff x="4357496" y="2057400"/>
          <a:chExt cx="285752" cy="1036320"/>
        </a:xfrm>
      </xdr:grpSpPr>
      <xdr:sp macro="" textlink="">
        <xdr:nvSpPr>
          <xdr:cNvPr id="45" name="Rectangle 44">
            <a:extLst>
              <a:ext uri="{FF2B5EF4-FFF2-40B4-BE49-F238E27FC236}">
                <a16:creationId xmlns:a16="http://schemas.microsoft.com/office/drawing/2014/main" id="{3FF30B06-89E9-1630-4E6E-F96EE2FF91A6}"/>
              </a:ext>
            </a:extLst>
          </xdr:cNvPr>
          <xdr:cNvSpPr/>
        </xdr:nvSpPr>
        <xdr:spPr>
          <a:xfrm>
            <a:off x="4358640" y="2058924"/>
            <a:ext cx="283464" cy="1033272"/>
          </a:xfrm>
          <a:prstGeom prst="rect">
            <a:avLst/>
          </a:prstGeom>
          <a:solidFill>
            <a:srgbClr val="E7F3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6" name="Rectangle: Rounded Corners 12">
            <a:extLst>
              <a:ext uri="{FF2B5EF4-FFF2-40B4-BE49-F238E27FC236}">
                <a16:creationId xmlns:a16="http://schemas.microsoft.com/office/drawing/2014/main" id="{23DCCA1B-BE6D-08B2-9CA9-CCCE82B8F9AA}"/>
              </a:ext>
            </a:extLst>
          </xdr:cNvPr>
          <xdr:cNvSpPr/>
        </xdr:nvSpPr>
        <xdr:spPr>
          <a:xfrm rot="10800000">
            <a:off x="4357496" y="205740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FA7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4</xdr:col>
      <xdr:colOff>175260</xdr:colOff>
      <xdr:row>12</xdr:row>
      <xdr:rowOff>53340</xdr:rowOff>
    </xdr:from>
    <xdr:to>
      <xdr:col>4</xdr:col>
      <xdr:colOff>461012</xdr:colOff>
      <xdr:row>17</xdr:row>
      <xdr:rowOff>175260</xdr:rowOff>
    </xdr:to>
    <xdr:sp macro="" textlink="">
      <xdr:nvSpPr>
        <xdr:cNvPr id="47" name="Rectangle: Rounded Corners 12">
          <a:extLst>
            <a:ext uri="{FF2B5EF4-FFF2-40B4-BE49-F238E27FC236}">
              <a16:creationId xmlns:a16="http://schemas.microsoft.com/office/drawing/2014/main" id="{FFC08A12-1233-C367-4654-CFBC8E170CA5}"/>
            </a:ext>
          </a:extLst>
        </xdr:cNvPr>
        <xdr:cNvSpPr/>
      </xdr:nvSpPr>
      <xdr:spPr>
        <a:xfrm>
          <a:off x="784860" y="224790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FEBC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219836</xdr:colOff>
      <xdr:row>12</xdr:row>
      <xdr:rowOff>38100</xdr:rowOff>
    </xdr:from>
    <xdr:to>
      <xdr:col>5</xdr:col>
      <xdr:colOff>505588</xdr:colOff>
      <xdr:row>17</xdr:row>
      <xdr:rowOff>160020</xdr:rowOff>
    </xdr:to>
    <xdr:grpSp>
      <xdr:nvGrpSpPr>
        <xdr:cNvPr id="48" name="Group 47">
          <a:extLst>
            <a:ext uri="{FF2B5EF4-FFF2-40B4-BE49-F238E27FC236}">
              <a16:creationId xmlns:a16="http://schemas.microsoft.com/office/drawing/2014/main" id="{DEBE791A-2338-8A47-A345-557B64466EDD}"/>
            </a:ext>
          </a:extLst>
        </xdr:cNvPr>
        <xdr:cNvGrpSpPr/>
      </xdr:nvGrpSpPr>
      <xdr:grpSpPr>
        <a:xfrm>
          <a:off x="3267836" y="2324100"/>
          <a:ext cx="285752" cy="1074420"/>
          <a:chOff x="4357496" y="2057400"/>
          <a:chExt cx="285752" cy="1036320"/>
        </a:xfrm>
      </xdr:grpSpPr>
      <xdr:sp macro="" textlink="">
        <xdr:nvSpPr>
          <xdr:cNvPr id="49" name="Rectangle 48">
            <a:extLst>
              <a:ext uri="{FF2B5EF4-FFF2-40B4-BE49-F238E27FC236}">
                <a16:creationId xmlns:a16="http://schemas.microsoft.com/office/drawing/2014/main" id="{09E02E9F-0CD3-726A-F97C-4808BEF4048D}"/>
              </a:ext>
            </a:extLst>
          </xdr:cNvPr>
          <xdr:cNvSpPr/>
        </xdr:nvSpPr>
        <xdr:spPr>
          <a:xfrm>
            <a:off x="4358640" y="2058924"/>
            <a:ext cx="283464" cy="1033272"/>
          </a:xfrm>
          <a:prstGeom prst="rect">
            <a:avLst/>
          </a:prstGeom>
          <a:solidFill>
            <a:srgbClr val="E7F3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0" name="Rectangle: Rounded Corners 12">
            <a:extLst>
              <a:ext uri="{FF2B5EF4-FFF2-40B4-BE49-F238E27FC236}">
                <a16:creationId xmlns:a16="http://schemas.microsoft.com/office/drawing/2014/main" id="{34FA945A-EC58-FF75-83A7-D0F98C96660D}"/>
              </a:ext>
            </a:extLst>
          </xdr:cNvPr>
          <xdr:cNvSpPr/>
        </xdr:nvSpPr>
        <xdr:spPr>
          <a:xfrm rot="10800000">
            <a:off x="4357496" y="205740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FEBC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4</xdr:col>
      <xdr:colOff>175260</xdr:colOff>
      <xdr:row>4</xdr:row>
      <xdr:rowOff>45720</xdr:rowOff>
    </xdr:from>
    <xdr:to>
      <xdr:col>4</xdr:col>
      <xdr:colOff>461012</xdr:colOff>
      <xdr:row>9</xdr:row>
      <xdr:rowOff>167640</xdr:rowOff>
    </xdr:to>
    <xdr:sp macro="" textlink="">
      <xdr:nvSpPr>
        <xdr:cNvPr id="51" name="Rectangle: Rounded Corners 12">
          <a:extLst>
            <a:ext uri="{FF2B5EF4-FFF2-40B4-BE49-F238E27FC236}">
              <a16:creationId xmlns:a16="http://schemas.microsoft.com/office/drawing/2014/main" id="{171C10BE-57C0-3ED3-FD74-E6F6AF9084A4}"/>
            </a:ext>
          </a:extLst>
        </xdr:cNvPr>
        <xdr:cNvSpPr/>
      </xdr:nvSpPr>
      <xdr:spPr>
        <a:xfrm>
          <a:off x="784860" y="77724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CE2C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219836</xdr:colOff>
      <xdr:row>4</xdr:row>
      <xdr:rowOff>30480</xdr:rowOff>
    </xdr:from>
    <xdr:to>
      <xdr:col>5</xdr:col>
      <xdr:colOff>505588</xdr:colOff>
      <xdr:row>9</xdr:row>
      <xdr:rowOff>152400</xdr:rowOff>
    </xdr:to>
    <xdr:grpSp>
      <xdr:nvGrpSpPr>
        <xdr:cNvPr id="52" name="Group 51">
          <a:extLst>
            <a:ext uri="{FF2B5EF4-FFF2-40B4-BE49-F238E27FC236}">
              <a16:creationId xmlns:a16="http://schemas.microsoft.com/office/drawing/2014/main" id="{8D3233D1-02A4-E2C5-92A6-C627F5B32ED7}"/>
            </a:ext>
          </a:extLst>
        </xdr:cNvPr>
        <xdr:cNvGrpSpPr/>
      </xdr:nvGrpSpPr>
      <xdr:grpSpPr>
        <a:xfrm>
          <a:off x="3267836" y="792480"/>
          <a:ext cx="285752" cy="1074420"/>
          <a:chOff x="4357496" y="2057400"/>
          <a:chExt cx="285752" cy="1036320"/>
        </a:xfrm>
      </xdr:grpSpPr>
      <xdr:sp macro="" textlink="">
        <xdr:nvSpPr>
          <xdr:cNvPr id="53" name="Rectangle 52">
            <a:extLst>
              <a:ext uri="{FF2B5EF4-FFF2-40B4-BE49-F238E27FC236}">
                <a16:creationId xmlns:a16="http://schemas.microsoft.com/office/drawing/2014/main" id="{2B66711F-8D23-74C9-C1D1-83CDAA108444}"/>
              </a:ext>
            </a:extLst>
          </xdr:cNvPr>
          <xdr:cNvSpPr/>
        </xdr:nvSpPr>
        <xdr:spPr>
          <a:xfrm>
            <a:off x="4358640" y="2058924"/>
            <a:ext cx="283464" cy="1033272"/>
          </a:xfrm>
          <a:prstGeom prst="rect">
            <a:avLst/>
          </a:prstGeom>
          <a:solidFill>
            <a:srgbClr val="E7F3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4" name="Rectangle: Rounded Corners 12">
            <a:extLst>
              <a:ext uri="{FF2B5EF4-FFF2-40B4-BE49-F238E27FC236}">
                <a16:creationId xmlns:a16="http://schemas.microsoft.com/office/drawing/2014/main" id="{9E960BE7-FE8C-25BA-D0C0-7FE651E8145F}"/>
              </a:ext>
            </a:extLst>
          </xdr:cNvPr>
          <xdr:cNvSpPr/>
        </xdr:nvSpPr>
        <xdr:spPr>
          <a:xfrm rot="10800000">
            <a:off x="4357496" y="2057400"/>
            <a:ext cx="285752" cy="1036320"/>
          </a:xfrm>
          <a:custGeom>
            <a:avLst/>
            <a:gdLst>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156212 h 1036320"/>
              <a:gd name="connsiteX4" fmla="*/ 480060 w 480060"/>
              <a:gd name="connsiteY4" fmla="*/ 880108 h 1036320"/>
              <a:gd name="connsiteX5" fmla="*/ 323848 w 480060"/>
              <a:gd name="connsiteY5" fmla="*/ 1036320 h 1036320"/>
              <a:gd name="connsiteX6" fmla="*/ 156212 w 480060"/>
              <a:gd name="connsiteY6" fmla="*/ 1036320 h 1036320"/>
              <a:gd name="connsiteX7" fmla="*/ 0 w 480060"/>
              <a:gd name="connsiteY7" fmla="*/ 880108 h 1036320"/>
              <a:gd name="connsiteX8" fmla="*/ 0 w 480060"/>
              <a:gd name="connsiteY8" fmla="*/ 156212 h 1036320"/>
              <a:gd name="connsiteX0" fmla="*/ 0 w 480060"/>
              <a:gd name="connsiteY0" fmla="*/ 156212 h 1036320"/>
              <a:gd name="connsiteX1" fmla="*/ 156212 w 480060"/>
              <a:gd name="connsiteY1" fmla="*/ 0 h 1036320"/>
              <a:gd name="connsiteX2" fmla="*/ 323848 w 480060"/>
              <a:gd name="connsiteY2" fmla="*/ 0 h 1036320"/>
              <a:gd name="connsiteX3" fmla="*/ 480060 w 480060"/>
              <a:gd name="connsiteY3" fmla="*/ 880108 h 1036320"/>
              <a:gd name="connsiteX4" fmla="*/ 323848 w 480060"/>
              <a:gd name="connsiteY4" fmla="*/ 1036320 h 1036320"/>
              <a:gd name="connsiteX5" fmla="*/ 156212 w 480060"/>
              <a:gd name="connsiteY5" fmla="*/ 1036320 h 1036320"/>
              <a:gd name="connsiteX6" fmla="*/ 0 w 480060"/>
              <a:gd name="connsiteY6" fmla="*/ 880108 h 1036320"/>
              <a:gd name="connsiteX7" fmla="*/ 0 w 480060"/>
              <a:gd name="connsiteY7" fmla="*/ 156212 h 1036320"/>
              <a:gd name="connsiteX0" fmla="*/ 0 w 344802"/>
              <a:gd name="connsiteY0" fmla="*/ 156212 h 1036320"/>
              <a:gd name="connsiteX1" fmla="*/ 156212 w 344802"/>
              <a:gd name="connsiteY1" fmla="*/ 0 h 1036320"/>
              <a:gd name="connsiteX2" fmla="*/ 323848 w 344802"/>
              <a:gd name="connsiteY2" fmla="*/ 0 h 1036320"/>
              <a:gd name="connsiteX3" fmla="*/ 323848 w 344802"/>
              <a:gd name="connsiteY3" fmla="*/ 1036320 h 1036320"/>
              <a:gd name="connsiteX4" fmla="*/ 156212 w 344802"/>
              <a:gd name="connsiteY4" fmla="*/ 1036320 h 1036320"/>
              <a:gd name="connsiteX5" fmla="*/ 0 w 344802"/>
              <a:gd name="connsiteY5" fmla="*/ 880108 h 1036320"/>
              <a:gd name="connsiteX6" fmla="*/ 0 w 344802"/>
              <a:gd name="connsiteY6" fmla="*/ 156212 h 1036320"/>
              <a:gd name="connsiteX0" fmla="*/ 0 w 323848"/>
              <a:gd name="connsiteY0" fmla="*/ 156212 h 1036320"/>
              <a:gd name="connsiteX1" fmla="*/ 156212 w 323848"/>
              <a:gd name="connsiteY1" fmla="*/ 0 h 1036320"/>
              <a:gd name="connsiteX2" fmla="*/ 323848 w 323848"/>
              <a:gd name="connsiteY2" fmla="*/ 0 h 1036320"/>
              <a:gd name="connsiteX3" fmla="*/ 156212 w 323848"/>
              <a:gd name="connsiteY3" fmla="*/ 1036320 h 1036320"/>
              <a:gd name="connsiteX4" fmla="*/ 0 w 323848"/>
              <a:gd name="connsiteY4" fmla="*/ 880108 h 1036320"/>
              <a:gd name="connsiteX5" fmla="*/ 0 w 323848"/>
              <a:gd name="connsiteY5" fmla="*/ 156212 h 1036320"/>
              <a:gd name="connsiteX0" fmla="*/ 0 w 156212"/>
              <a:gd name="connsiteY0" fmla="*/ 15621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15621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880108 h 1036320"/>
              <a:gd name="connsiteX4" fmla="*/ 0 w 156212"/>
              <a:gd name="connsiteY4" fmla="*/ 247652 h 1036320"/>
              <a:gd name="connsiteX0" fmla="*/ 0 w 156212"/>
              <a:gd name="connsiteY0" fmla="*/ 24765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47652 h 1036320"/>
              <a:gd name="connsiteX0" fmla="*/ 0 w 156212"/>
              <a:gd name="connsiteY0" fmla="*/ 278132 h 1036320"/>
              <a:gd name="connsiteX1" fmla="*/ 156212 w 156212"/>
              <a:gd name="connsiteY1" fmla="*/ 0 h 1036320"/>
              <a:gd name="connsiteX2" fmla="*/ 156212 w 156212"/>
              <a:gd name="connsiteY2" fmla="*/ 1036320 h 1036320"/>
              <a:gd name="connsiteX3" fmla="*/ 0 w 156212"/>
              <a:gd name="connsiteY3" fmla="*/ 750568 h 1036320"/>
              <a:gd name="connsiteX4" fmla="*/ 0 w 156212"/>
              <a:gd name="connsiteY4" fmla="*/ 278132 h 1036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6212" h="1036320">
                <a:moveTo>
                  <a:pt x="0" y="278132"/>
                </a:moveTo>
                <a:cubicBezTo>
                  <a:pt x="0" y="191858"/>
                  <a:pt x="69938" y="0"/>
                  <a:pt x="156212" y="0"/>
                </a:cubicBezTo>
                <a:lnTo>
                  <a:pt x="156212" y="1036320"/>
                </a:lnTo>
                <a:cubicBezTo>
                  <a:pt x="69938" y="1036320"/>
                  <a:pt x="0" y="836842"/>
                  <a:pt x="0" y="750568"/>
                </a:cubicBezTo>
                <a:lnTo>
                  <a:pt x="0" y="278132"/>
                </a:lnTo>
                <a:close/>
              </a:path>
            </a:pathLst>
          </a:custGeom>
          <a:solidFill>
            <a:srgbClr val="CE2C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16</xdr:col>
      <xdr:colOff>0</xdr:colOff>
      <xdr:row>2</xdr:row>
      <xdr:rowOff>30480</xdr:rowOff>
    </xdr:from>
    <xdr:to>
      <xdr:col>16</xdr:col>
      <xdr:colOff>335280</xdr:colOff>
      <xdr:row>4</xdr:row>
      <xdr:rowOff>0</xdr:rowOff>
    </xdr:to>
    <xdr:sp macro="" textlink="">
      <xdr:nvSpPr>
        <xdr:cNvPr id="55" name="Oval 54">
          <a:extLst>
            <a:ext uri="{FF2B5EF4-FFF2-40B4-BE49-F238E27FC236}">
              <a16:creationId xmlns:a16="http://schemas.microsoft.com/office/drawing/2014/main" id="{8FE2A1A9-F1BC-4D85-B60E-55C1C3134B60}"/>
            </a:ext>
          </a:extLst>
        </xdr:cNvPr>
        <xdr:cNvSpPr/>
      </xdr:nvSpPr>
      <xdr:spPr>
        <a:xfrm>
          <a:off x="7924800" y="396240"/>
          <a:ext cx="335280" cy="335280"/>
        </a:xfrm>
        <a:prstGeom prst="ellipse">
          <a:avLst/>
        </a:prstGeom>
        <a:solidFill>
          <a:srgbClr val="0069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236220</xdr:colOff>
      <xdr:row>1</xdr:row>
      <xdr:rowOff>0</xdr:rowOff>
    </xdr:from>
    <xdr:to>
      <xdr:col>22</xdr:col>
      <xdr:colOff>198120</xdr:colOff>
      <xdr:row>2</xdr:row>
      <xdr:rowOff>121920</xdr:rowOff>
    </xdr:to>
    <xdr:grpSp>
      <xdr:nvGrpSpPr>
        <xdr:cNvPr id="56" name="Group 55">
          <a:extLst>
            <a:ext uri="{FF2B5EF4-FFF2-40B4-BE49-F238E27FC236}">
              <a16:creationId xmlns:a16="http://schemas.microsoft.com/office/drawing/2014/main" id="{F0AA38AF-E084-47BA-8DF5-3BBE812BE9FA}"/>
            </a:ext>
          </a:extLst>
        </xdr:cNvPr>
        <xdr:cNvGrpSpPr/>
      </xdr:nvGrpSpPr>
      <xdr:grpSpPr>
        <a:xfrm>
          <a:off x="11209020" y="190500"/>
          <a:ext cx="2400300" cy="312420"/>
          <a:chOff x="6309360" y="571500"/>
          <a:chExt cx="2400300" cy="304800"/>
        </a:xfrm>
      </xdr:grpSpPr>
      <xdr:sp macro="" textlink="">
        <xdr:nvSpPr>
          <xdr:cNvPr id="57" name="Rectangle 56">
            <a:extLst>
              <a:ext uri="{FF2B5EF4-FFF2-40B4-BE49-F238E27FC236}">
                <a16:creationId xmlns:a16="http://schemas.microsoft.com/office/drawing/2014/main" id="{3E8F1483-D2E7-4CC7-A011-907659779205}"/>
              </a:ext>
            </a:extLst>
          </xdr:cNvPr>
          <xdr:cNvSpPr/>
        </xdr:nvSpPr>
        <xdr:spPr>
          <a:xfrm>
            <a:off x="6309360" y="659130"/>
            <a:ext cx="2400300" cy="129540"/>
          </a:xfrm>
          <a:prstGeom prst="rect">
            <a:avLst/>
          </a:prstGeom>
          <a:solidFill>
            <a:srgbClr val="0069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8" name="Rectangle 57">
            <a:extLst>
              <a:ext uri="{FF2B5EF4-FFF2-40B4-BE49-F238E27FC236}">
                <a16:creationId xmlns:a16="http://schemas.microsoft.com/office/drawing/2014/main" id="{88E8D726-2003-DE09-AEF4-6202C8E665B7}"/>
              </a:ext>
            </a:extLst>
          </xdr:cNvPr>
          <xdr:cNvSpPr/>
        </xdr:nvSpPr>
        <xdr:spPr>
          <a:xfrm>
            <a:off x="6309360" y="571500"/>
            <a:ext cx="24003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18</xdr:col>
      <xdr:colOff>236220</xdr:colOff>
      <xdr:row>2</xdr:row>
      <xdr:rowOff>121920</xdr:rowOff>
    </xdr:from>
    <xdr:to>
      <xdr:col>22</xdr:col>
      <xdr:colOff>198120</xdr:colOff>
      <xdr:row>4</xdr:row>
      <xdr:rowOff>60960</xdr:rowOff>
    </xdr:to>
    <xdr:grpSp>
      <xdr:nvGrpSpPr>
        <xdr:cNvPr id="59" name="Group 58">
          <a:extLst>
            <a:ext uri="{FF2B5EF4-FFF2-40B4-BE49-F238E27FC236}">
              <a16:creationId xmlns:a16="http://schemas.microsoft.com/office/drawing/2014/main" id="{EE6A447B-11D2-415A-B02D-A77F3EF0F6D0}"/>
            </a:ext>
          </a:extLst>
        </xdr:cNvPr>
        <xdr:cNvGrpSpPr/>
      </xdr:nvGrpSpPr>
      <xdr:grpSpPr>
        <a:xfrm>
          <a:off x="11209020" y="502920"/>
          <a:ext cx="2400300" cy="320040"/>
          <a:chOff x="6309360" y="571500"/>
          <a:chExt cx="2400300" cy="304800"/>
        </a:xfrm>
      </xdr:grpSpPr>
      <xdr:sp macro="" textlink="">
        <xdr:nvSpPr>
          <xdr:cNvPr id="60" name="Rectangle 59">
            <a:extLst>
              <a:ext uri="{FF2B5EF4-FFF2-40B4-BE49-F238E27FC236}">
                <a16:creationId xmlns:a16="http://schemas.microsoft.com/office/drawing/2014/main" id="{A6069013-1DD6-16BB-0301-7F413003A879}"/>
              </a:ext>
            </a:extLst>
          </xdr:cNvPr>
          <xdr:cNvSpPr/>
        </xdr:nvSpPr>
        <xdr:spPr>
          <a:xfrm>
            <a:off x="6309360" y="659130"/>
            <a:ext cx="2400300" cy="129540"/>
          </a:xfrm>
          <a:prstGeom prst="rect">
            <a:avLst/>
          </a:prstGeom>
          <a:solidFill>
            <a:srgbClr val="D0E8D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1" name="Rectangle 60">
            <a:extLst>
              <a:ext uri="{FF2B5EF4-FFF2-40B4-BE49-F238E27FC236}">
                <a16:creationId xmlns:a16="http://schemas.microsoft.com/office/drawing/2014/main" id="{6F8E0AAF-3F71-6286-74B7-CE6D5BFAD081}"/>
              </a:ext>
            </a:extLst>
          </xdr:cNvPr>
          <xdr:cNvSpPr/>
        </xdr:nvSpPr>
        <xdr:spPr>
          <a:xfrm>
            <a:off x="6309360" y="571500"/>
            <a:ext cx="24003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99.952529629627" createdVersion="8" refreshedVersion="8" minRefreshableVersion="3" recordCount="48" xr:uid="{F6F20334-3FE3-4FDC-AF8E-262112D0276D}">
  <cacheSource type="worksheet">
    <worksheetSource name="mydata"/>
  </cacheSource>
  <cacheFields count="24">
    <cacheField name="Year" numFmtId="0">
      <sharedItems containsSemiMixedTypes="0" containsString="0" containsNumber="1" containsInteger="1" minValue="2025" maxValue="2028" count="4">
        <n v="2025"/>
        <n v="2026"/>
        <n v="2027"/>
        <n v="2028"/>
      </sharedItems>
    </cacheField>
    <cacheField name="Month" numFmtId="0">
      <sharedItems count="12">
        <s v="JAN"/>
        <s v="FEB"/>
        <s v="MAR"/>
        <s v="APR"/>
        <s v="MAY"/>
        <s v="JUN"/>
        <s v="JUL"/>
        <s v="AUG"/>
        <s v="SEP"/>
        <s v="OCT"/>
        <s v="NOV"/>
        <s v="DEC"/>
      </sharedItems>
    </cacheField>
    <cacheField name="Visitors" numFmtId="0">
      <sharedItems containsSemiMixedTypes="0" containsString="0" containsNumber="1" containsInteger="1" minValue="5138" maxValue="11427"/>
    </cacheField>
    <cacheField name="Buyers" numFmtId="0">
      <sharedItems containsSemiMixedTypes="0" containsString="0" containsNumber="1" containsInteger="1" minValue="816" maxValue="6680"/>
    </cacheField>
    <cacheField name="Conversion" numFmtId="9">
      <sharedItems containsSemiMixedTypes="0" containsString="0" containsNumber="1" minValue="0.08" maxValue="0.17"/>
    </cacheField>
    <cacheField name="Profit" numFmtId="0">
      <sharedItems containsSemiMixedTypes="0" containsString="0" containsNumber="1" minValue="5000" maxValue="11211"/>
    </cacheField>
    <cacheField name="Plan" numFmtId="0">
      <sharedItems containsSemiMixedTypes="0" containsString="0" containsNumber="1" minValue="5908.5" maxValue="8938.5"/>
    </cacheField>
    <cacheField name="Break-Even Point" numFmtId="0">
      <sharedItems containsSemiMixedTypes="0" containsString="0" containsNumber="1" minValue="4040" maxValue="5807.5"/>
    </cacheField>
    <cacheField name="Debt" numFmtId="0">
      <sharedItems containsSemiMixedTypes="0" containsString="0" containsNumber="1" minValue="6100" maxValue="8181"/>
    </cacheField>
    <cacheField name="ETask 1" numFmtId="0">
      <sharedItems containsSemiMixedTypes="0" containsString="0" containsNumber="1" containsInteger="1" minValue="17175" maxValue="47096"/>
    </cacheField>
    <cacheField name="ETask 2" numFmtId="0">
      <sharedItems containsSemiMixedTypes="0" containsString="0" containsNumber="1" containsInteger="1" minValue="16048" maxValue="47286"/>
    </cacheField>
    <cacheField name="ETask 3" numFmtId="0">
      <sharedItems containsSemiMixedTypes="0" containsString="0" containsNumber="1" containsInteger="1" minValue="11777" maxValue="49500"/>
    </cacheField>
    <cacheField name="ETask 4" numFmtId="0">
      <sharedItems containsSemiMixedTypes="0" containsString="0" containsNumber="1" containsInteger="1" minValue="13741" maxValue="44407"/>
    </cacheField>
    <cacheField name="ETask 5" numFmtId="0">
      <sharedItems containsSemiMixedTypes="0" containsString="0" containsNumber="1" containsInteger="1" minValue="15732" maxValue="47242"/>
    </cacheField>
    <cacheField name="DTask 1" numFmtId="0">
      <sharedItems containsSemiMixedTypes="0" containsString="0" containsNumber="1" containsInteger="1" minValue="21495" maxValue="37321"/>
    </cacheField>
    <cacheField name="DTask 2" numFmtId="0">
      <sharedItems containsSemiMixedTypes="0" containsString="0" containsNumber="1" containsInteger="1" minValue="21140" maxValue="39496"/>
    </cacheField>
    <cacheField name="DTask 3" numFmtId="0">
      <sharedItems containsSemiMixedTypes="0" containsString="0" containsNumber="1" containsInteger="1" minValue="20315" maxValue="35721"/>
    </cacheField>
    <cacheField name="DTask 4" numFmtId="0">
      <sharedItems containsSemiMixedTypes="0" containsString="0" containsNumber="1" containsInteger="1" minValue="20036" maxValue="36461"/>
    </cacheField>
    <cacheField name="DTask 5" numFmtId="0">
      <sharedItems containsSemiMixedTypes="0" containsString="0" containsNumber="1" containsInteger="1" minValue="21286" maxValue="39202"/>
    </cacheField>
    <cacheField name="Task 1" numFmtId="9">
      <sharedItems containsSemiMixedTypes="0" containsString="0" containsNumber="1" minValue="0.05" maxValue="1"/>
    </cacheField>
    <cacheField name="Task 2" numFmtId="9">
      <sharedItems containsSemiMixedTypes="0" containsString="0" containsNumber="1" minValue="0.05" maxValue="1"/>
    </cacheField>
    <cacheField name="Task 3" numFmtId="9">
      <sharedItems containsSemiMixedTypes="0" containsString="0" containsNumber="1" minValue="0.05" maxValue="1"/>
    </cacheField>
    <cacheField name="Task 4" numFmtId="9">
      <sharedItems containsSemiMixedTypes="0" containsString="0" containsNumber="1" minValue="0" maxValue="0.95"/>
    </cacheField>
    <cacheField name="Task 5" numFmtId="9">
      <sharedItems containsSemiMixedTypes="0" containsString="0" containsNumber="1" minValue="-0.05" maxValue="0.9"/>
    </cacheField>
  </cacheFields>
  <extLst>
    <ext xmlns:x14="http://schemas.microsoft.com/office/spreadsheetml/2009/9/main" uri="{725AE2AE-9491-48be-B2B4-4EB974FC3084}">
      <x14:pivotCacheDefinition pivotCacheId="17974270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n v="5270"/>
    <n v="816"/>
    <n v="0.13"/>
    <n v="8080"/>
    <n v="7575"/>
    <n v="4545"/>
    <n v="7070"/>
    <n v="47096"/>
    <n v="28182"/>
    <n v="13507"/>
    <n v="32366"/>
    <n v="46241"/>
    <n v="37321"/>
    <n v="28729"/>
    <n v="20315"/>
    <n v="29726"/>
    <n v="39202"/>
    <n v="0.13"/>
    <n v="0.17"/>
    <n v="0.05"/>
    <n v="0.12000000000000001"/>
    <n v="7.0000000000000007E-2"/>
  </r>
  <r>
    <x v="0"/>
    <x v="1"/>
    <n v="5270"/>
    <n v="2080"/>
    <n v="0.1"/>
    <n v="6443.8"/>
    <n v="8484"/>
    <n v="5050"/>
    <n v="8181"/>
    <n v="33425"/>
    <n v="35068"/>
    <n v="26642"/>
    <n v="24449"/>
    <n v="34073"/>
    <n v="29349"/>
    <n v="28895"/>
    <n v="23165"/>
    <n v="26403"/>
    <n v="34380"/>
    <n v="0.14000000000000001"/>
    <n v="0.19"/>
    <n v="0.09"/>
    <n v="0.14000000000000001"/>
    <n v="0.09"/>
  </r>
  <r>
    <x v="0"/>
    <x v="2"/>
    <n v="7150"/>
    <n v="1200"/>
    <n v="0.12"/>
    <n v="5322.7"/>
    <n v="8888"/>
    <n v="5050"/>
    <n v="7575"/>
    <n v="31885"/>
    <n v="16048"/>
    <n v="29495"/>
    <n v="41274"/>
    <n v="31697"/>
    <n v="27610"/>
    <n v="21140"/>
    <n v="25957"/>
    <n v="35532"/>
    <n v="34006"/>
    <n v="0.26"/>
    <n v="0.31"/>
    <n v="0.13"/>
    <n v="0.26"/>
    <n v="0.21"/>
  </r>
  <r>
    <x v="0"/>
    <x v="3"/>
    <n v="7150"/>
    <n v="3440"/>
    <n v="0.12"/>
    <n v="5080.3"/>
    <n v="8282"/>
    <n v="5555"/>
    <n v="7979"/>
    <n v="22137"/>
    <n v="23255"/>
    <n v="38004"/>
    <n v="36927"/>
    <n v="22468"/>
    <n v="22753"/>
    <n v="21567"/>
    <n v="29541"/>
    <n v="35391"/>
    <n v="35639"/>
    <n v="0.28999999999999998"/>
    <n v="0.33"/>
    <n v="0.33"/>
    <n v="0.28000000000000003"/>
    <n v="0.23"/>
  </r>
  <r>
    <x v="0"/>
    <x v="4"/>
    <n v="8000"/>
    <n v="2640"/>
    <n v="0.08"/>
    <n v="5787.3"/>
    <n v="6767"/>
    <n v="4040"/>
    <n v="6969"/>
    <n v="24618"/>
    <n v="25243"/>
    <n v="35565"/>
    <n v="35034"/>
    <n v="26135"/>
    <n v="21495"/>
    <n v="26087"/>
    <n v="33496"/>
    <n v="33233"/>
    <n v="30826"/>
    <n v="0.3"/>
    <n v="0.35"/>
    <n v="0.35"/>
    <n v="0.3"/>
    <n v="0.24999999999999997"/>
  </r>
  <r>
    <x v="0"/>
    <x v="5"/>
    <n v="8000"/>
    <n v="3752"/>
    <n v="0.15"/>
    <n v="7221.5"/>
    <n v="5959"/>
    <n v="4545"/>
    <n v="6161"/>
    <n v="30192"/>
    <n v="35630"/>
    <n v="34117"/>
    <n v="25597"/>
    <n v="23426"/>
    <n v="21890"/>
    <n v="31229"/>
    <n v="34093"/>
    <n v="28849"/>
    <n v="23972"/>
    <n v="0.33"/>
    <n v="0.37"/>
    <n v="0.47"/>
    <n v="0.32"/>
    <n v="0.27"/>
  </r>
  <r>
    <x v="0"/>
    <x v="6"/>
    <n v="9620"/>
    <n v="5080"/>
    <n v="0.16"/>
    <n v="8938.5"/>
    <n v="6060"/>
    <n v="5050"/>
    <n v="6363"/>
    <n v="35662"/>
    <n v="44346"/>
    <n v="36069"/>
    <n v="17107"/>
    <n v="19982"/>
    <n v="24628"/>
    <n v="37241"/>
    <n v="31466"/>
    <n v="23634"/>
    <n v="22879"/>
    <n v="0.65"/>
    <n v="0.68"/>
    <n v="0.49"/>
    <n v="0.63"/>
    <n v="0.58000000000000007"/>
  </r>
  <r>
    <x v="0"/>
    <x v="7"/>
    <n v="9620"/>
    <n v="4120"/>
    <n v="0.08"/>
    <n v="10372.700000000001"/>
    <n v="7272"/>
    <n v="5555"/>
    <n v="7171"/>
    <n v="33610"/>
    <n v="47170"/>
    <n v="43682"/>
    <n v="17055"/>
    <n v="19915"/>
    <n v="30652"/>
    <n v="39310"/>
    <n v="28760"/>
    <n v="21834"/>
    <n v="22740"/>
    <n v="0.7"/>
    <n v="0.72"/>
    <n v="0.51"/>
    <n v="0.66999999999999993"/>
    <n v="0.62"/>
  </r>
  <r>
    <x v="0"/>
    <x v="8"/>
    <n v="10270"/>
    <n v="5496"/>
    <n v="0.14000000000000001"/>
    <n v="11079.7"/>
    <n v="7827.5"/>
    <n v="5050"/>
    <n v="7676"/>
    <n v="24123"/>
    <n v="38184"/>
    <n v="49500"/>
    <n v="25194"/>
    <n v="21174"/>
    <n v="36033"/>
    <n v="39496"/>
    <n v="23447"/>
    <n v="20036"/>
    <n v="25161"/>
    <n v="0.83"/>
    <n v="0.84"/>
    <n v="0.53"/>
    <n v="0.78999999999999992"/>
    <n v="0.74"/>
  </r>
  <r>
    <x v="0"/>
    <x v="9"/>
    <n v="10270"/>
    <n v="6680"/>
    <n v="0.16"/>
    <n v="10837.3"/>
    <n v="7019.5"/>
    <n v="5555"/>
    <n v="7272"/>
    <n v="19319"/>
    <n v="26910"/>
    <n v="47133"/>
    <n v="38235"/>
    <n v="27042"/>
    <n v="35598"/>
    <n v="34070"/>
    <n v="21694"/>
    <n v="20990"/>
    <n v="28479"/>
    <n v="0.9"/>
    <n v="0.9"/>
    <n v="0.84"/>
    <n v="0.85"/>
    <n v="0.8"/>
  </r>
  <r>
    <x v="0"/>
    <x v="10"/>
    <n v="10970"/>
    <n v="5000"/>
    <n v="0.12"/>
    <n v="9716.2000000000007"/>
    <n v="6413.5"/>
    <n v="4545"/>
    <n v="6666"/>
    <n v="20157"/>
    <n v="21395"/>
    <n v="37271"/>
    <n v="43962"/>
    <n v="32890"/>
    <n v="31843"/>
    <n v="26922"/>
    <n v="20419"/>
    <n v="23808"/>
    <n v="32786"/>
    <n v="0.93"/>
    <n v="0.93"/>
    <n v="0.88"/>
    <n v="0.88"/>
    <n v="0.83000000000000007"/>
  </r>
  <r>
    <x v="0"/>
    <x v="11"/>
    <n v="10970"/>
    <n v="6400"/>
    <n v="0.15"/>
    <n v="5600"/>
    <n v="8500"/>
    <n v="5200"/>
    <n v="7500"/>
    <n v="26580"/>
    <n v="20295"/>
    <n v="24594"/>
    <n v="40417"/>
    <n v="39835"/>
    <n v="27075"/>
    <n v="23262"/>
    <n v="21889"/>
    <n v="28863"/>
    <n v="36582"/>
    <n v="1"/>
    <n v="1"/>
    <n v="1"/>
    <n v="0.95"/>
    <n v="0.9"/>
  </r>
  <r>
    <x v="1"/>
    <x v="0"/>
    <n v="8333"/>
    <n v="4500"/>
    <n v="0.16"/>
    <n v="5000"/>
    <n v="8200"/>
    <n v="5350"/>
    <n v="7600"/>
    <n v="36741"/>
    <n v="24078"/>
    <n v="15139"/>
    <n v="29492"/>
    <n v="45372"/>
    <n v="23004"/>
    <n v="21742"/>
    <n v="26701"/>
    <n v="34641"/>
    <n v="36988"/>
    <n v="0.05"/>
    <n v="0.21"/>
    <n v="0.13"/>
    <n v="0.15999999999999998"/>
    <n v="0.10999999999999999"/>
  </r>
  <r>
    <x v="1"/>
    <x v="1"/>
    <n v="10021"/>
    <n v="5311"/>
    <n v="0.12"/>
    <n v="5900"/>
    <n v="6700"/>
    <n v="4100"/>
    <n v="6900"/>
    <n v="44641"/>
    <n v="29129"/>
    <n v="12241"/>
    <n v="20588"/>
    <n v="47242"/>
    <n v="21807"/>
    <n v="25386"/>
    <n v="32377"/>
    <n v="35110"/>
    <n v="33712"/>
    <n v="7.0000000000000007E-2"/>
    <n v="0.23"/>
    <n v="0.17"/>
    <n v="0.18"/>
    <n v="0.13"/>
  </r>
  <r>
    <x v="1"/>
    <x v="2"/>
    <n v="11177"/>
    <n v="6147"/>
    <n v="0.14000000000000001"/>
    <n v="7300"/>
    <n v="6000"/>
    <n v="4700"/>
    <n v="6100"/>
    <n v="47045"/>
    <n v="28461"/>
    <n v="11777"/>
    <n v="18531"/>
    <n v="43860"/>
    <n v="23365"/>
    <n v="32143"/>
    <n v="35259"/>
    <n v="30966"/>
    <n v="27789"/>
    <n v="0.18"/>
    <n v="0.35"/>
    <n v="0.21"/>
    <n v="0.3"/>
    <n v="0.24999999999999997"/>
  </r>
  <r>
    <x v="1"/>
    <x v="3"/>
    <n v="11427"/>
    <n v="5256"/>
    <n v="0.15"/>
    <n v="9000"/>
    <n v="6200"/>
    <n v="5200"/>
    <n v="6400"/>
    <n v="42282"/>
    <n v="21596"/>
    <n v="15999"/>
    <n v="24249"/>
    <n v="37349"/>
    <n v="27254"/>
    <n v="35678"/>
    <n v="33791"/>
    <n v="24328"/>
    <n v="22394"/>
    <n v="0.2"/>
    <n v="0.37"/>
    <n v="0.37"/>
    <n v="0.32"/>
    <n v="0.27"/>
  </r>
  <r>
    <x v="1"/>
    <x v="4"/>
    <n v="10698"/>
    <n v="4921"/>
    <n v="0.16"/>
    <n v="10100"/>
    <n v="7400"/>
    <n v="5700"/>
    <n v="7300"/>
    <n v="33241"/>
    <n v="18347"/>
    <n v="26491"/>
    <n v="34593"/>
    <n v="32728"/>
    <n v="31971"/>
    <n v="38166"/>
    <n v="28748"/>
    <n v="21311"/>
    <n v="21286"/>
    <n v="0.22"/>
    <n v="0.39"/>
    <n v="0.39"/>
    <n v="0.34"/>
    <n v="0.29000000000000004"/>
  </r>
  <r>
    <x v="1"/>
    <x v="5"/>
    <n v="9219"/>
    <n v="5070"/>
    <n v="0.15"/>
    <n v="11100"/>
    <n v="7900"/>
    <n v="5250"/>
    <n v="7800"/>
    <n v="23786"/>
    <n v="20762"/>
    <n v="36437"/>
    <n v="44407"/>
    <n v="30687"/>
    <n v="35146"/>
    <n v="37155"/>
    <n v="24002"/>
    <n v="20256"/>
    <n v="23609"/>
    <n v="0.24"/>
    <n v="0.41"/>
    <n v="0.51"/>
    <n v="0.36"/>
    <n v="0.30999999999999994"/>
  </r>
  <r>
    <x v="1"/>
    <x v="6"/>
    <n v="7448"/>
    <n v="4022"/>
    <n v="0.11"/>
    <n v="10900"/>
    <n v="7100"/>
    <n v="5750"/>
    <n v="7400"/>
    <n v="17645"/>
    <n v="26785"/>
    <n v="42604"/>
    <n v="44339"/>
    <n v="29559"/>
    <n v="34015"/>
    <n v="30473"/>
    <n v="21283"/>
    <n v="22806"/>
    <n v="28897"/>
    <n v="0.56000000000000005"/>
    <n v="0.72"/>
    <n v="0.53"/>
    <n v="0.66999999999999993"/>
    <n v="0.62"/>
  </r>
  <r>
    <x v="1"/>
    <x v="7"/>
    <n v="5969"/>
    <n v="3462"/>
    <n v="0.09"/>
    <n v="9800"/>
    <n v="6500"/>
    <n v="4800"/>
    <n v="6800"/>
    <n v="17175"/>
    <n v="34653"/>
    <n v="42977"/>
    <n v="36763"/>
    <n v="26658"/>
    <n v="28791"/>
    <n v="23869"/>
    <n v="21773"/>
    <n v="28334"/>
    <n v="33156"/>
    <n v="0.6"/>
    <n v="0.76"/>
    <n v="0.55000000000000004"/>
    <n v="0.71"/>
    <n v="0.66"/>
  </r>
  <r>
    <x v="1"/>
    <x v="8"/>
    <n v="5240"/>
    <n v="2987"/>
    <n v="0.11"/>
    <n v="8200"/>
    <n v="7000"/>
    <n v="5300"/>
    <n v="7200"/>
    <n v="21736"/>
    <n v="42224"/>
    <n v="45800"/>
    <n v="30277"/>
    <n v="18212"/>
    <n v="35847"/>
    <n v="32370"/>
    <n v="27171"/>
    <n v="25453"/>
    <n v="22096"/>
    <n v="0.72"/>
    <n v="0.88"/>
    <n v="0.56999999999999995"/>
    <n v="0.83"/>
    <n v="0.78"/>
  </r>
  <r>
    <x v="1"/>
    <x v="9"/>
    <n v="5490"/>
    <n v="3020"/>
    <n v="0.17"/>
    <n v="6700"/>
    <n v="8100"/>
    <n v="5000"/>
    <n v="8000"/>
    <n v="24574"/>
    <n v="47145"/>
    <n v="43193"/>
    <n v="21438"/>
    <n v="15732"/>
    <n v="24245"/>
    <n v="21755"/>
    <n v="26109"/>
    <n v="33516"/>
    <n v="36213"/>
    <n v="0.78"/>
    <n v="0.94"/>
    <n v="0.88"/>
    <n v="0.8899999999999999"/>
    <n v="0.84"/>
  </r>
  <r>
    <x v="1"/>
    <x v="10"/>
    <n v="6646"/>
    <n v="3722"/>
    <n v="0.1"/>
    <n v="5450"/>
    <n v="8800"/>
    <n v="5300"/>
    <n v="7700"/>
    <n v="29431"/>
    <n v="47286"/>
    <n v="37787"/>
    <n v="15420"/>
    <n v="16644"/>
    <n v="22468"/>
    <n v="25573"/>
    <n v="31289"/>
    <n v="34812"/>
    <n v="34888"/>
    <n v="0.81"/>
    <n v="0.97"/>
    <n v="0.92"/>
    <n v="0.91999999999999993"/>
    <n v="0.87"/>
  </r>
  <r>
    <x v="1"/>
    <x v="11"/>
    <n v="8333"/>
    <n v="3750"/>
    <n v="0.15"/>
    <n v="8181"/>
    <n v="6969"/>
    <n v="5151"/>
    <n v="7171"/>
    <n v="32768"/>
    <n v="44020"/>
    <n v="32520"/>
    <n v="13741"/>
    <n v="20993"/>
    <n v="23190"/>
    <n v="30064"/>
    <n v="34157"/>
    <n v="31956"/>
    <n v="30683"/>
    <n v="0.88"/>
    <n v="1"/>
    <n v="1"/>
    <n v="0.95"/>
    <n v="0.9"/>
  </r>
  <r>
    <x v="2"/>
    <x v="0"/>
    <n v="7857"/>
    <n v="4007"/>
    <n v="0.16"/>
    <n v="6666"/>
    <n v="7878"/>
    <n v="4797.5"/>
    <n v="7979"/>
    <n v="31692"/>
    <n v="36106"/>
    <n v="31104"/>
    <n v="17288"/>
    <n v="27818"/>
    <n v="26101"/>
    <n v="34899"/>
    <n v="33653"/>
    <n v="27219"/>
    <n v="24998"/>
    <n v="0.09"/>
    <n v="0.05"/>
    <n v="0.05"/>
    <n v="0"/>
    <n v="-0.05"/>
  </r>
  <r>
    <x v="2"/>
    <x v="1"/>
    <n v="7337"/>
    <n v="4182"/>
    <n v="0.16"/>
    <n v="5656"/>
    <n v="8585"/>
    <n v="5252"/>
    <n v="7575"/>
    <n v="26597"/>
    <n v="26485"/>
    <n v="35586"/>
    <n v="25217"/>
    <n v="34949"/>
    <n v="30219"/>
    <n v="36544"/>
    <n v="29372"/>
    <n v="23101"/>
    <n v="22890"/>
    <n v="0.11"/>
    <n v="0.25"/>
    <n v="0.17"/>
    <n v="0.2"/>
    <n v="0.15"/>
  </r>
  <r>
    <x v="2"/>
    <x v="2"/>
    <n v="8030"/>
    <n v="3292"/>
    <n v="0.11"/>
    <n v="5050"/>
    <n v="8282"/>
    <n v="5403.5"/>
    <n v="7676"/>
    <n v="21055"/>
    <n v="20257"/>
    <n v="42245"/>
    <n v="33635"/>
    <n v="39292"/>
    <n v="33486"/>
    <n v="35748"/>
    <n v="24536"/>
    <n v="21034"/>
    <n v="23892"/>
    <n v="0.23"/>
    <n v="0.27"/>
    <n v="0.21"/>
    <n v="0.22000000000000003"/>
    <n v="0.17"/>
  </r>
  <r>
    <x v="2"/>
    <x v="3"/>
    <n v="8954"/>
    <n v="4656"/>
    <n v="0.11"/>
    <n v="5959"/>
    <n v="6767"/>
    <n v="4141"/>
    <n v="6969"/>
    <n v="18012"/>
    <n v="20871"/>
    <n v="45197"/>
    <n v="39789"/>
    <n v="38565"/>
    <n v="34991"/>
    <n v="30400"/>
    <n v="21062"/>
    <n v="22553"/>
    <n v="27687"/>
    <n v="0.25"/>
    <n v="0.39"/>
    <n v="0.25"/>
    <n v="0.34"/>
    <n v="0.29000000000000004"/>
  </r>
  <r>
    <x v="2"/>
    <x v="4"/>
    <n v="8319"/>
    <n v="4492"/>
    <n v="0.09"/>
    <n v="7373"/>
    <n v="6060"/>
    <n v="4747"/>
    <n v="6161"/>
    <n v="19402"/>
    <n v="26627"/>
    <n v="42893"/>
    <n v="40858"/>
    <n v="33890"/>
    <n v="32155"/>
    <n v="24688"/>
    <n v="21686"/>
    <n v="27311"/>
    <n v="31055"/>
    <n v="0.27"/>
    <n v="0.41"/>
    <n v="0.41"/>
    <n v="0.36"/>
    <n v="0.30999999999999994"/>
  </r>
  <r>
    <x v="2"/>
    <x v="5"/>
    <n v="6932"/>
    <n v="3327"/>
    <n v="0.1"/>
    <n v="9090"/>
    <n v="6262"/>
    <n v="5252"/>
    <n v="6464"/>
    <n v="24530"/>
    <n v="31782"/>
    <n v="36376"/>
    <n v="35861"/>
    <n v="27116"/>
    <n v="28030"/>
    <n v="21503"/>
    <n v="24869"/>
    <n v="32877"/>
    <n v="33387"/>
    <n v="0.28999999999999998"/>
    <n v="0.43"/>
    <n v="0.43"/>
    <n v="0.38"/>
    <n v="0.32999999999999996"/>
  </r>
  <r>
    <x v="2"/>
    <x v="6"/>
    <n v="6817"/>
    <n v="3340"/>
    <n v="0.12"/>
    <n v="10201"/>
    <n v="7474"/>
    <n v="5757"/>
    <n v="7373"/>
    <n v="30449"/>
    <n v="33114"/>
    <n v="28285"/>
    <n v="26959"/>
    <n v="21270"/>
    <n v="24653"/>
    <n v="22626"/>
    <n v="30513"/>
    <n v="36461"/>
    <n v="32248"/>
    <n v="0.6"/>
    <n v="0.45"/>
    <n v="0.55000000000000004"/>
    <n v="0.4"/>
    <n v="0.35"/>
  </r>
  <r>
    <x v="2"/>
    <x v="7"/>
    <n v="7741"/>
    <n v="3251"/>
    <n v="0.11"/>
    <n v="11211"/>
    <n v="7979"/>
    <n v="5302.5"/>
    <n v="7878"/>
    <n v="35455"/>
    <n v="30156"/>
    <n v="22212"/>
    <n v="20725"/>
    <n v="19318"/>
    <n v="22793"/>
    <n v="27717"/>
    <n v="34500"/>
    <n v="35696"/>
    <n v="29072"/>
    <n v="0.64"/>
    <n v="0.76"/>
    <n v="0.56999999999999995"/>
    <n v="0.71"/>
    <n v="0.66"/>
  </r>
  <r>
    <x v="2"/>
    <x v="8"/>
    <n v="9474"/>
    <n v="4074"/>
    <n v="0.16"/>
    <n v="11009"/>
    <n v="7171"/>
    <n v="5807.5"/>
    <n v="7474"/>
    <n v="37333"/>
    <n v="27074"/>
    <n v="19522"/>
    <n v="19704"/>
    <n v="21882"/>
    <n v="24418"/>
    <n v="33610"/>
    <n v="35721"/>
    <n v="31222"/>
    <n v="25283"/>
    <n v="0.76"/>
    <n v="0.8"/>
    <n v="0.59"/>
    <n v="0.75"/>
    <n v="0.70000000000000007"/>
  </r>
  <r>
    <x v="2"/>
    <x v="9"/>
    <n v="10168"/>
    <n v="4271"/>
    <n v="0.14000000000000001"/>
    <n v="9898"/>
    <n v="6565"/>
    <n v="4848"/>
    <n v="6868"/>
    <n v="34335"/>
    <n v="26546"/>
    <n v="20258"/>
    <n v="23826"/>
    <n v="27356"/>
    <n v="28507"/>
    <n v="36877"/>
    <n v="32385"/>
    <n v="24619"/>
    <n v="21914"/>
    <n v="0.82"/>
    <n v="0.92"/>
    <n v="0.61"/>
    <n v="0.87"/>
    <n v="0.82000000000000006"/>
  </r>
  <r>
    <x v="2"/>
    <x v="10"/>
    <n v="9705"/>
    <n v="5532"/>
    <n v="0.15"/>
    <n v="8282"/>
    <n v="7070"/>
    <n v="5353"/>
    <n v="7272"/>
    <n v="28633"/>
    <n v="28992"/>
    <n v="24071"/>
    <n v="30913"/>
    <n v="33269"/>
    <n v="32778"/>
    <n v="35477"/>
    <n v="26766"/>
    <n v="21422"/>
    <n v="22357"/>
    <n v="0.85"/>
    <n v="0.98"/>
    <n v="0.92"/>
    <n v="0.92999999999999994"/>
    <n v="0.88"/>
  </r>
  <r>
    <x v="2"/>
    <x v="11"/>
    <n v="8666"/>
    <n v="4853"/>
    <n v="0.13"/>
    <n v="6767"/>
    <n v="8181"/>
    <n v="5050"/>
    <n v="8080"/>
    <n v="23527"/>
    <n v="31398"/>
    <n v="29650"/>
    <n v="37298"/>
    <n v="35896"/>
    <n v="35415"/>
    <n v="29680"/>
    <n v="22190"/>
    <n v="22100"/>
    <n v="26385"/>
    <n v="0.92"/>
    <n v="1"/>
    <n v="0.96"/>
    <n v="0.95"/>
    <n v="0.9"/>
  </r>
  <r>
    <x v="3"/>
    <x v="0"/>
    <n v="7800"/>
    <n v="3900"/>
    <n v="0.15"/>
    <n v="5504.5"/>
    <n v="8888"/>
    <n v="5353"/>
    <n v="7777"/>
    <n v="21331"/>
    <n v="32190"/>
    <n v="34484"/>
    <n v="39213"/>
    <n v="34138"/>
    <n v="33169"/>
    <n v="23348"/>
    <n v="24244"/>
    <n v="26367"/>
    <n v="30946"/>
    <n v="0.13"/>
    <n v="0.09"/>
    <n v="0.09"/>
    <n v="3.9999999999999994E-2"/>
    <n v="-1.0000000000000009E-2"/>
  </r>
  <r>
    <x v="3"/>
    <x v="1"/>
    <n v="10014"/>
    <n v="5408"/>
    <n v="0.12"/>
    <n v="5252"/>
    <n v="8484"/>
    <n v="5454"/>
    <n v="7979"/>
    <n v="23085"/>
    <n v="31289"/>
    <n v="36333"/>
    <n v="36100"/>
    <n v="30058"/>
    <n v="27990"/>
    <n v="21398"/>
    <n v="28661"/>
    <n v="31747"/>
    <n v="32722"/>
    <n v="0.15"/>
    <n v="0.28999999999999998"/>
    <n v="0.21"/>
    <n v="0.24"/>
    <n v="0.18999999999999997"/>
  </r>
  <r>
    <x v="3"/>
    <x v="2"/>
    <n v="10696"/>
    <n v="4278"/>
    <n v="0.11"/>
    <n v="5757"/>
    <n v="6615.5"/>
    <n v="4242"/>
    <n v="7019.5"/>
    <n v="26987"/>
    <n v="30582"/>
    <n v="34864"/>
    <n v="30278"/>
    <n v="25736"/>
    <n v="23489"/>
    <n v="24373"/>
    <n v="33111"/>
    <n v="35304"/>
    <n v="30719"/>
    <n v="0.27"/>
    <n v="0.31"/>
    <n v="0.25"/>
    <n v="0.26"/>
    <n v="0.21"/>
  </r>
  <r>
    <x v="3"/>
    <x v="3"/>
    <n v="9380"/>
    <n v="4784"/>
    <n v="0.12"/>
    <n v="7272"/>
    <n v="5908.5"/>
    <n v="4545"/>
    <n v="6211.5"/>
    <n v="30892"/>
    <n v="31222"/>
    <n v="30599"/>
    <n v="24194"/>
    <n v="22820"/>
    <n v="22158"/>
    <n v="28834"/>
    <n v="35699"/>
    <n v="33533"/>
    <n v="26324"/>
    <n v="0.28999999999999998"/>
    <n v="0.43"/>
    <n v="0.28999999999999998"/>
    <n v="0.38"/>
    <n v="0.32999999999999996"/>
  </r>
  <r>
    <x v="3"/>
    <x v="4"/>
    <n v="6972"/>
    <n v="4183"/>
    <n v="0.15"/>
    <n v="8888"/>
    <n v="6009.5"/>
    <n v="5100.5"/>
    <n v="6413.5"/>
    <n v="32641"/>
    <n v="32699"/>
    <n v="25306"/>
    <n v="19980"/>
    <n v="22836"/>
    <n v="23974"/>
    <n v="32344"/>
    <n v="34488"/>
    <n v="28896"/>
    <n v="22815"/>
    <n v="0.31"/>
    <n v="0.45"/>
    <n v="0.45"/>
    <n v="0.4"/>
    <n v="0.35"/>
  </r>
  <r>
    <x v="3"/>
    <x v="5"/>
    <n v="5138"/>
    <n v="2826"/>
    <n v="0.12"/>
    <n v="10403"/>
    <n v="7322.5"/>
    <n v="5555"/>
    <n v="7221.5"/>
    <n v="30850"/>
    <n v="32767"/>
    <n v="20885"/>
    <n v="19263"/>
    <n v="26095"/>
    <n v="27543"/>
    <n v="34696"/>
    <n v="30657"/>
    <n v="24100"/>
    <n v="21362"/>
    <n v="0.33"/>
    <n v="0.47"/>
    <n v="0.47"/>
    <n v="0.42"/>
    <n v="0.37"/>
  </r>
  <r>
    <x v="3"/>
    <x v="6"/>
    <n v="5138"/>
    <n v="2723"/>
    <n v="0.09"/>
    <n v="11110"/>
    <n v="7827.5"/>
    <n v="5201.5"/>
    <n v="7726.5"/>
    <n v="25985"/>
    <n v="29990"/>
    <n v="19099"/>
    <n v="22490"/>
    <n v="31506"/>
    <n v="31457"/>
    <n v="33218"/>
    <n v="25576"/>
    <n v="21308"/>
    <n v="22980"/>
    <n v="0.64"/>
    <n v="0.49"/>
    <n v="0.59"/>
    <n v="0.44"/>
    <n v="0.39"/>
  </r>
  <r>
    <x v="3"/>
    <x v="7"/>
    <n v="6972"/>
    <n v="2859"/>
    <n v="0.13"/>
    <n v="10807"/>
    <n v="6969"/>
    <n v="5656"/>
    <n v="7322.5"/>
    <n v="20453"/>
    <n v="24891"/>
    <n v="21521"/>
    <n v="28787"/>
    <n v="36695"/>
    <n v="33817"/>
    <n v="28466"/>
    <n v="22201"/>
    <n v="23555"/>
    <n v="27290"/>
    <n v="0.68"/>
    <n v="0.8"/>
    <n v="0.61"/>
    <n v="0.75"/>
    <n v="0.70000000000000007"/>
  </r>
  <r>
    <x v="3"/>
    <x v="8"/>
    <n v="9380"/>
    <n v="3940"/>
    <n v="0.1"/>
    <n v="9696"/>
    <n v="6363"/>
    <n v="4646"/>
    <n v="6716.5"/>
    <n v="17731"/>
    <n v="20065"/>
    <n v="27043"/>
    <n v="35420"/>
    <n v="39067"/>
    <n v="32712"/>
    <n v="24409"/>
    <n v="22638"/>
    <n v="28589"/>
    <n v="30948"/>
    <n v="0.8"/>
    <n v="0.84"/>
    <n v="0.63"/>
    <n v="0.78999999999999992"/>
    <n v="0.74"/>
  </r>
  <r>
    <x v="3"/>
    <x v="9"/>
    <n v="10696"/>
    <n v="4278"/>
    <n v="0.15"/>
    <n v="8029.5"/>
    <n v="6817.5"/>
    <n v="5050"/>
    <n v="7019.5"/>
    <n v="19530"/>
    <n v="18358"/>
    <n v="31959"/>
    <n v="38447"/>
    <n v="36932"/>
    <n v="29042"/>
    <n v="22690"/>
    <n v="26811"/>
    <n v="33279"/>
    <n v="31363"/>
    <n v="0.86"/>
    <n v="0.96"/>
    <n v="0.65"/>
    <n v="0.90999999999999992"/>
    <n v="0.86"/>
  </r>
  <r>
    <x v="3"/>
    <x v="10"/>
    <n v="10014"/>
    <n v="5007"/>
    <n v="0.08"/>
    <n v="6363"/>
    <n v="8332.5"/>
    <n v="5302.5"/>
    <n v="8181"/>
    <n v="24764"/>
    <n v="20794"/>
    <n v="33934"/>
    <n v="37040"/>
    <n v="31723"/>
    <n v="25116"/>
    <n v="24833"/>
    <n v="31993"/>
    <n v="35147"/>
    <n v="28493"/>
    <n v="0.89"/>
    <n v="0.98"/>
    <n v="0.96"/>
    <n v="0.92999999999999994"/>
    <n v="0.88"/>
  </r>
  <r>
    <x v="3"/>
    <x v="11"/>
    <n v="7800"/>
    <n v="3432"/>
    <n v="0.14000000000000001"/>
    <n v="5151"/>
    <n v="8938.5"/>
    <n v="5403.5"/>
    <n v="7423.5"/>
    <n v="30878"/>
    <n v="26284"/>
    <n v="31862"/>
    <n v="31846"/>
    <n v="26150"/>
    <n v="23325"/>
    <n v="29676"/>
    <n v="35309"/>
    <n v="33641"/>
    <n v="24033"/>
    <n v="0.96"/>
    <n v="1"/>
    <n v="1"/>
    <n v="0.95"/>
    <n v="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65CA59-9D25-4DC2-81AB-5C000C1FE225}" name="PivotTable1"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W5" firstHeaderRow="0" firstDataRow="1" firstDataCol="1"/>
  <pivotFields count="24">
    <pivotField showAll="0">
      <items count="5">
        <item h="1" x="0"/>
        <item x="1"/>
        <item h="1" x="2"/>
        <item h="1" x="3"/>
        <item t="default"/>
      </items>
    </pivotField>
    <pivotField axis="axisRow" showAll="0">
      <items count="13">
        <item x="0"/>
        <item h="1" x="1"/>
        <item h="1" x="2"/>
        <item h="1" x="3"/>
        <item h="1" x="4"/>
        <item h="1" x="5"/>
        <item h="1" x="6"/>
        <item h="1" x="7"/>
        <item h="1" x="8"/>
        <item h="1" x="9"/>
        <item h="1" x="10"/>
        <item h="1" x="11"/>
        <item t="default"/>
      </items>
    </pivotField>
    <pivotField dataField="1" showAll="0"/>
    <pivotField dataField="1" showAll="0"/>
    <pivotField dataField="1" numFmtId="9"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9" showAll="0"/>
    <pivotField dataField="1" numFmtId="9" showAll="0"/>
    <pivotField dataField="1" numFmtId="9" showAll="0"/>
    <pivotField dataField="1" numFmtId="9" showAll="0"/>
    <pivotField dataField="1" numFmtId="9" showAll="0"/>
  </pivotFields>
  <rowFields count="1">
    <field x="1"/>
  </rowFields>
  <rowItems count="2">
    <i>
      <x/>
    </i>
    <i t="grand">
      <x/>
    </i>
  </rowItems>
  <colFields count="1">
    <field x="-2"/>
  </colFields>
  <colItems count="2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colItems>
  <dataFields count="22">
    <dataField name="Sum of Visitors" fld="2" baseField="0" baseItem="0"/>
    <dataField name="Sum of Buyers" fld="3" baseField="0" baseItem="0"/>
    <dataField name="Average of Conversion" fld="4" subtotal="average" baseField="1" baseItem="0" numFmtId="9"/>
    <dataField name="Sum of Profit" fld="5" baseField="0" baseItem="0"/>
    <dataField name="Sum of Plan" fld="6" baseField="0" baseItem="0"/>
    <dataField name="Sum of Break-Even Point" fld="7" baseField="0" baseItem="0"/>
    <dataField name="Sum of Debt" fld="8" baseField="0" baseItem="0"/>
    <dataField name="Sum of ETask 1" fld="9" baseField="0" baseItem="0"/>
    <dataField name="Sum of ETask 2" fld="10" baseField="0" baseItem="0"/>
    <dataField name="Sum of ETask 3" fld="11" baseField="0" baseItem="0"/>
    <dataField name="Sum of ETask 4" fld="12" baseField="0" baseItem="0"/>
    <dataField name="Sum of ETask 5" fld="13" baseField="0" baseItem="0"/>
    <dataField name="Sum of DTask 1" fld="14" baseField="0" baseItem="0"/>
    <dataField name="Sum of DTask 2" fld="15" baseField="0" baseItem="0"/>
    <dataField name="Sum of DTask 3" fld="16" baseField="0" baseItem="0"/>
    <dataField name="Sum of DTask 4" fld="17" baseField="0" baseItem="0"/>
    <dataField name="Sum of DTask 5" fld="18" baseField="0" baseItem="0"/>
    <dataField name="Average of Task 1" fld="19" subtotal="average" baseField="1" baseItem="0" numFmtId="9"/>
    <dataField name="Average of Task 2" fld="20" subtotal="average" baseField="1" baseItem="0" numFmtId="9"/>
    <dataField name="Average of Task 3" fld="21" subtotal="average" baseField="1" baseItem="0" numFmtId="9"/>
    <dataField name="Average of Task 4" fld="22" subtotal="average" baseField="1" baseItem="0" numFmtId="9"/>
    <dataField name="Average of Task 5" fld="23" subtotal="average" baseField="1"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EDA523-50DE-4E90-976F-B95EDA482452}" name="PivotTable2"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G33" firstHeaderRow="0" firstDataRow="1" firstDataCol="1"/>
  <pivotFields count="24">
    <pivotField showAll="0">
      <items count="5">
        <item h="1" x="0"/>
        <item x="1"/>
        <item h="1" x="2"/>
        <item h="1" x="3"/>
        <item t="default"/>
      </items>
    </pivotField>
    <pivotField axis="axisRow" showAll="0">
      <items count="13">
        <item x="0"/>
        <item x="1"/>
        <item x="2"/>
        <item x="3"/>
        <item x="4"/>
        <item x="5"/>
        <item x="6"/>
        <item x="7"/>
        <item x="8"/>
        <item x="9"/>
        <item x="10"/>
        <item x="11"/>
        <item t="default"/>
      </items>
    </pivotField>
    <pivotField dataField="1" showAll="0"/>
    <pivotField dataField="1" showAll="0"/>
    <pivotField numFmtId="9"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numFmtId="9" showAll="0"/>
    <pivotField numFmtId="9" showAll="0"/>
    <pivotField numFmtId="9" showAll="0"/>
  </pivotFields>
  <rowFields count="1">
    <field x="1"/>
  </rowFields>
  <rowItems count="13">
    <i>
      <x/>
    </i>
    <i>
      <x v="1"/>
    </i>
    <i>
      <x v="2"/>
    </i>
    <i>
      <x v="3"/>
    </i>
    <i>
      <x v="4"/>
    </i>
    <i>
      <x v="5"/>
    </i>
    <i>
      <x v="6"/>
    </i>
    <i>
      <x v="7"/>
    </i>
    <i>
      <x v="8"/>
    </i>
    <i>
      <x v="9"/>
    </i>
    <i>
      <x v="10"/>
    </i>
    <i>
      <x v="11"/>
    </i>
    <i t="grand">
      <x/>
    </i>
  </rowItems>
  <colFields count="1">
    <field x="-2"/>
  </colFields>
  <colItems count="6">
    <i>
      <x/>
    </i>
    <i i="1">
      <x v="1"/>
    </i>
    <i i="2">
      <x v="2"/>
    </i>
    <i i="3">
      <x v="3"/>
    </i>
    <i i="4">
      <x v="4"/>
    </i>
    <i i="5">
      <x v="5"/>
    </i>
  </colItems>
  <dataFields count="6">
    <dataField name="Sum of Visitors" fld="2" baseField="0" baseItem="0"/>
    <dataField name="Sum of Buyers" fld="3" baseField="0" baseItem="0"/>
    <dataField name="Sum of Profit" fld="5" baseField="0" baseItem="0"/>
    <dataField name="Sum of Plan" fld="6" baseField="0" baseItem="0"/>
    <dataField name="Sum of Break-Even Point" fld="7" baseField="0" baseItem="0"/>
    <dataField name="Sum of Deb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ED14DBB-CF4F-40B1-A79A-4773E09553B2}" sourceName="Year">
  <pivotTables>
    <pivotTable tabId="9" name="PivotTable1"/>
    <pivotTable tabId="9" name="PivotTable2"/>
  </pivotTables>
  <data>
    <tabular pivotCacheId="1797427053">
      <items count="4">
        <i x="0"/>
        <i x="1" s="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116918F-86BF-4BBE-8E6D-4DA35AF75FC8}" sourceName="Month">
  <pivotTables>
    <pivotTable tabId="9" name="PivotTable1"/>
  </pivotTables>
  <data>
    <tabular pivotCacheId="1797427053">
      <items count="12">
        <i x="0" s="1"/>
        <i x="1"/>
        <i x="2"/>
        <i x="3"/>
        <i x="4"/>
        <i x="5"/>
        <i x="6"/>
        <i x="7"/>
        <i x="8"/>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5DEF7FC1-F8F8-4EF9-B175-E21F9F82A036}" cache="Slicer_Year" caption="Year" columnCount="4" showCaption="0" style="SlicerStyleLight1 3" rowHeight="365760"/>
  <slicer name="Month 4" xr10:uid="{14CCAE49-CC9A-43FD-B8D7-A17A50E69556}" cache="Slicer_Month" caption="Month" columnCount="3" showCaption="0" style="SlicerStyleLight1 3"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06A163D-EE48-4226-A6B2-D2986CEAA463}" cache="Slicer_Year" caption="Year" columnCount="4" showCaption="0" style="SlicerStyleLight1 3" rowHeight="365760"/>
  <slicer name="Month" xr10:uid="{ADA3E74D-46A9-4D9B-8E02-D1FFAF1A40F2}" cache="Slicer_Month" caption="Month" columnCount="12" showCaption="0" style="SlicerStyleLight1 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E11DBE3-5EB5-47B2-8BA2-5E07DE8736C7}" cache="Slicer_Year" caption="Year" columnCount="4" showCaption="0" style="SlicerStyleLight1 3" rowHeight="365760"/>
  <slicer name="Month 1" xr10:uid="{2F985B63-93B9-4BB5-A9EA-81CD23E7E882}" cache="Slicer_Month" caption="Month" columnCount="12" showCaption="0" style="SlicerStyleLight1 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8EAF8A8B-F0FC-4E7D-9BF5-8B5C02A7D537}" cache="Slicer_Year" caption="Year" columnCount="4" showCaption="0" style="SlicerStyleLight1 3" rowHeight="365760"/>
  <slicer name="Month 2" xr10:uid="{AA5DD58A-B2FF-4F8F-97FE-C0BC83694379}" cache="Slicer_Month" caption="Month" columnCount="12" showCaption="0" style="SlicerStyleLight1 2"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46B41140-A565-4048-9EC1-00E91F526CE2}" cache="Slicer_Year" caption="Year" columnCount="4" showCaption="0" style="SlicerStyleLight1 3" rowHeight="365760"/>
  <slicer name="Month 3" xr10:uid="{F83E2791-9247-482E-936C-82A12195102B}" cache="Slicer_Month" caption="Month" columnCount="12" showCaption="0" style="SlicerStyleLight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EB6ADB-DFE5-43AC-BA84-3950DA4F422B}" name="mydata" displayName="mydata" ref="A2:X50" totalsRowShown="0" headerRowDxfId="25" dataDxfId="24">
  <autoFilter ref="A2:X50" xr:uid="{97EB6ADB-DFE5-43AC-BA84-3950DA4F422B}"/>
  <tableColumns count="24">
    <tableColumn id="1" xr3:uid="{E0D22681-3167-4F18-8547-CA985D18176D}" name="Year" dataDxfId="23"/>
    <tableColumn id="2" xr3:uid="{E56DD733-72D9-49C9-904F-1E6532DE65FD}" name="Month" dataDxfId="22"/>
    <tableColumn id="3" xr3:uid="{2C15B74D-D683-494C-92C7-70BA71B69894}" name="Visitors" dataDxfId="21"/>
    <tableColumn id="4" xr3:uid="{B9B8000B-73DD-4CCD-91E7-299BF7881CDB}" name="Buyers" dataDxfId="20"/>
    <tableColumn id="5" xr3:uid="{7A5134ED-D4CA-4975-8ABF-13CE40F0C618}" name="Conversion" dataDxfId="19" dataCellStyle="Percent"/>
    <tableColumn id="6" xr3:uid="{763AA3B4-2807-4ACB-99C1-CC7DAE2BA346}" name="Profit" dataDxfId="18"/>
    <tableColumn id="7" xr3:uid="{015941F3-A790-4F24-BBBA-2AE9C99B0294}" name="Plan" dataDxfId="17"/>
    <tableColumn id="8" xr3:uid="{E1C92303-B436-4EBF-B62C-C7AFE74120A1}" name="Break-Even Point" dataDxfId="16"/>
    <tableColumn id="9" xr3:uid="{DE1630B5-7A43-4728-BAF7-958FE01539F4}" name="Debt" dataDxfId="15"/>
    <tableColumn id="10" xr3:uid="{4B900152-7509-4B2A-9724-DE79C3CF899A}" name="ETask 1" dataDxfId="14"/>
    <tableColumn id="11" xr3:uid="{649971CF-EB52-4912-A9AD-3D27F50732F5}" name="ETask 2" dataDxfId="13"/>
    <tableColumn id="12" xr3:uid="{96F3B109-B729-40DB-B6DE-65545B9B31DD}" name="ETask 3" dataDxfId="12"/>
    <tableColumn id="13" xr3:uid="{EBDE42D1-B398-470D-AFB0-B6A14656235D}" name="ETask 4" dataDxfId="11"/>
    <tableColumn id="14" xr3:uid="{FEF22ED6-EBFE-4D63-8F66-4768B1E1BE75}" name="ETask 5" dataDxfId="10"/>
    <tableColumn id="15" xr3:uid="{D2F4EE41-949D-4D9D-9644-6EBB7D0EFCFB}" name="DTask 1" dataDxfId="9"/>
    <tableColumn id="16" xr3:uid="{34E1588E-7447-4B84-BFB3-27BF62A188EC}" name="DTask 2" dataDxfId="8"/>
    <tableColumn id="17" xr3:uid="{C75F1A72-4E43-4D07-B119-D1D391F6DD72}" name="DTask 3" dataDxfId="7"/>
    <tableColumn id="18" xr3:uid="{1687A8A1-6BE8-4221-89A0-9C78DC6367D3}" name="DTask 4" dataDxfId="6"/>
    <tableColumn id="19" xr3:uid="{E6547E12-5248-493F-BD23-856E86FE3E82}" name="DTask 5" dataDxfId="5"/>
    <tableColumn id="20" xr3:uid="{BA4B5FDD-C1CD-4E5E-BCB9-AF7E2904E606}" name="Task 1" dataDxfId="4"/>
    <tableColumn id="21" xr3:uid="{913ECAEA-7BE4-4AF2-B0BC-89820884DC68}" name="Task 2" dataDxfId="3"/>
    <tableColumn id="22" xr3:uid="{B5A1A20B-55BB-4059-90E9-4288B8E44E3E}" name="Task 3" dataDxfId="2"/>
    <tableColumn id="23" xr3:uid="{73FEB9B5-1030-4015-9BC7-2AEB1CCE2F4E}" name="Task 4" dataDxfId="1" dataCellStyle="Percent"/>
    <tableColumn id="24" xr3:uid="{984987CF-63B3-4004-BE7C-FA245CB37A9F}" name="Task 5"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01617-2237-4FF8-B8EE-C5680E003B2F}">
  <dimension ref="Q2:U3"/>
  <sheetViews>
    <sheetView showRowColHeaders="0" tabSelected="1" zoomScale="65" zoomScaleNormal="65" workbookViewId="0"/>
  </sheetViews>
  <sheetFormatPr defaultColWidth="8.85546875" defaultRowHeight="15" x14ac:dyDescent="0.25"/>
  <cols>
    <col min="1" max="16384" width="8.85546875" style="1"/>
  </cols>
  <sheetData>
    <row r="2" spans="17:21" ht="14.45" customHeight="1" x14ac:dyDescent="0.25">
      <c r="Q2" s="37"/>
      <c r="R2" s="38"/>
      <c r="S2" s="38"/>
      <c r="T2" s="38"/>
      <c r="U2" s="38"/>
    </row>
    <row r="3" spans="17:21" ht="14.45" customHeight="1" x14ac:dyDescent="0.25">
      <c r="Q3" s="38"/>
      <c r="R3" s="38"/>
      <c r="S3" s="38"/>
      <c r="T3" s="38"/>
      <c r="U3" s="3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DF5B1-CB2F-45C5-903F-5879D9E71F71}">
  <dimension ref="Q2:U3"/>
  <sheetViews>
    <sheetView showRowColHeaders="0" topLeftCell="A16" zoomScale="65" zoomScaleNormal="65" workbookViewId="0"/>
  </sheetViews>
  <sheetFormatPr defaultColWidth="8.85546875" defaultRowHeight="15" x14ac:dyDescent="0.25"/>
  <cols>
    <col min="1" max="16384" width="8.85546875" style="1"/>
  </cols>
  <sheetData>
    <row r="2" spans="17:21" ht="14.45" customHeight="1" x14ac:dyDescent="0.25">
      <c r="Q2" s="37"/>
      <c r="R2" s="38"/>
      <c r="S2" s="38"/>
      <c r="T2" s="38"/>
      <c r="U2" s="38"/>
    </row>
    <row r="3" spans="17:21" ht="14.45" customHeight="1" x14ac:dyDescent="0.25">
      <c r="Q3" s="38"/>
      <c r="R3" s="38"/>
      <c r="S3" s="38"/>
      <c r="T3" s="38"/>
      <c r="U3" s="3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17996-79CA-4BB5-8B6D-36061C1221EC}">
  <dimension ref="A2:A3"/>
  <sheetViews>
    <sheetView showRowColHeaders="0" zoomScale="65" zoomScaleNormal="65" workbookViewId="0"/>
  </sheetViews>
  <sheetFormatPr defaultColWidth="8.85546875" defaultRowHeight="15" x14ac:dyDescent="0.25"/>
  <cols>
    <col min="1" max="16384" width="8.85546875" style="1"/>
  </cols>
  <sheetData>
    <row r="2" ht="14.45" customHeight="1" x14ac:dyDescent="0.25"/>
    <row r="3" ht="14.4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8E186-EA0E-4319-A3EC-2F17F82CAC6C}">
  <dimension ref="A2:A3"/>
  <sheetViews>
    <sheetView showRowColHeaders="0" zoomScale="65" zoomScaleNormal="65" workbookViewId="0"/>
  </sheetViews>
  <sheetFormatPr defaultColWidth="8.85546875" defaultRowHeight="15" x14ac:dyDescent="0.25"/>
  <cols>
    <col min="1" max="16384" width="8.85546875" style="1"/>
  </cols>
  <sheetData>
    <row r="2" ht="14.45" customHeight="1" x14ac:dyDescent="0.25"/>
    <row r="3" ht="14.4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A090D-1A45-4948-BC6F-1F09D2FA819E}">
  <dimension ref="A2:A3"/>
  <sheetViews>
    <sheetView showRowColHeaders="0" zoomScale="65" zoomScaleNormal="65" workbookViewId="0"/>
  </sheetViews>
  <sheetFormatPr defaultColWidth="8.85546875" defaultRowHeight="15" x14ac:dyDescent="0.25"/>
  <cols>
    <col min="1" max="16384" width="8.85546875" style="1"/>
  </cols>
  <sheetData>
    <row r="2" ht="14.45" customHeight="1" x14ac:dyDescent="0.25"/>
    <row r="3" ht="14.4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DC9C5-C74B-4688-983F-4087BBC5F763}">
  <dimension ref="A1:L32"/>
  <sheetViews>
    <sheetView zoomScale="85" zoomScaleNormal="85" workbookViewId="0"/>
  </sheetViews>
  <sheetFormatPr defaultRowHeight="15" x14ac:dyDescent="0.25"/>
  <cols>
    <col min="1" max="1" width="9.42578125" customWidth="1"/>
    <col min="2" max="2" width="11.28515625" bestFit="1" customWidth="1"/>
    <col min="7" max="7" width="12.28515625" bestFit="1" customWidth="1"/>
    <col min="8" max="8" width="12.42578125" bestFit="1" customWidth="1"/>
    <col min="9" max="11" width="10.28515625" bestFit="1" customWidth="1"/>
    <col min="12" max="12" width="11.28515625" bestFit="1" customWidth="1"/>
  </cols>
  <sheetData>
    <row r="1" spans="1:12" ht="14.45" customHeight="1" x14ac:dyDescent="0.25">
      <c r="A1" t="s">
        <v>69</v>
      </c>
      <c r="F1" s="7">
        <v>72</v>
      </c>
      <c r="G1" s="7">
        <v>72</v>
      </c>
      <c r="H1" s="7">
        <v>72</v>
      </c>
      <c r="I1" s="7">
        <v>72</v>
      </c>
      <c r="J1" s="7">
        <v>72</v>
      </c>
    </row>
    <row r="2" spans="1:12" ht="14.45" customHeight="1" x14ac:dyDescent="0.25">
      <c r="A2" t="s">
        <v>0</v>
      </c>
      <c r="B2" s="4">
        <f>GETPIVOTDATA("Sum of Visitors",Control!$A$3)</f>
        <v>8333</v>
      </c>
      <c r="F2" s="7">
        <v>72</v>
      </c>
      <c r="G2" s="7">
        <v>72</v>
      </c>
      <c r="H2" s="7">
        <v>72</v>
      </c>
      <c r="I2" s="7">
        <v>72</v>
      </c>
      <c r="J2" s="7">
        <v>72</v>
      </c>
    </row>
    <row r="3" spans="1:12" x14ac:dyDescent="0.25">
      <c r="A3" t="s">
        <v>2</v>
      </c>
      <c r="B3" s="3">
        <f>GETPIVOTDATA("Average of Conversion",Control!$A$3)</f>
        <v>0.16</v>
      </c>
      <c r="C3" s="3">
        <f>100%-B3</f>
        <v>0.84</v>
      </c>
      <c r="F3" s="7">
        <v>72</v>
      </c>
      <c r="G3" s="7">
        <v>72</v>
      </c>
      <c r="H3" s="7">
        <v>72</v>
      </c>
      <c r="I3" s="7">
        <v>72</v>
      </c>
      <c r="J3" s="7">
        <v>72</v>
      </c>
    </row>
    <row r="4" spans="1:12" x14ac:dyDescent="0.25">
      <c r="A4" t="s">
        <v>1</v>
      </c>
      <c r="B4" s="2">
        <f>L29</f>
        <v>5000</v>
      </c>
    </row>
    <row r="5" spans="1:12" x14ac:dyDescent="0.25">
      <c r="A5" t="s">
        <v>3</v>
      </c>
      <c r="B5" s="3">
        <f>AVERAGE(B8:B12)</f>
        <v>0.13200000000000001</v>
      </c>
      <c r="C5" s="3">
        <v>0.05</v>
      </c>
      <c r="D5" s="3">
        <f>100%-B5</f>
        <v>0.86799999999999999</v>
      </c>
    </row>
    <row r="6" spans="1:12" x14ac:dyDescent="0.25">
      <c r="F6" t="s">
        <v>71</v>
      </c>
    </row>
    <row r="7" spans="1:12" x14ac:dyDescent="0.25">
      <c r="A7" t="s">
        <v>9</v>
      </c>
      <c r="D7" t="s">
        <v>10</v>
      </c>
      <c r="G7" t="s">
        <v>31</v>
      </c>
      <c r="H7" t="s">
        <v>28</v>
      </c>
    </row>
    <row r="8" spans="1:12" x14ac:dyDescent="0.25">
      <c r="A8" t="s">
        <v>4</v>
      </c>
      <c r="B8" s="3">
        <f>GETPIVOTDATA(""&amp;A8,Control!$A$3)</f>
        <v>0.05</v>
      </c>
      <c r="C8" s="3">
        <f>100%-B8</f>
        <v>0.95</v>
      </c>
      <c r="D8" s="3">
        <f>$D$13</f>
        <v>2.3E-2</v>
      </c>
      <c r="F8" t="s">
        <v>4</v>
      </c>
      <c r="G8">
        <f>GETPIVOTDATA(LEFT(G$7,1)&amp;$F8,Control!$A$3)</f>
        <v>36741</v>
      </c>
      <c r="H8">
        <f>GETPIVOTDATA(LEFT(H$7,1)&amp;$F8,Control!$A$3)</f>
        <v>23004</v>
      </c>
    </row>
    <row r="9" spans="1:12" x14ac:dyDescent="0.25">
      <c r="A9" t="s">
        <v>5</v>
      </c>
      <c r="B9" s="3">
        <f>GETPIVOTDATA(""&amp;A9,Control!$A$3)</f>
        <v>0.21</v>
      </c>
      <c r="C9" s="3">
        <f>100%-B9</f>
        <v>0.79</v>
      </c>
      <c r="D9" s="3">
        <f t="shared" ref="D9:D12" si="0">$D$13</f>
        <v>2.3E-2</v>
      </c>
      <c r="F9" t="s">
        <v>5</v>
      </c>
      <c r="G9">
        <f>GETPIVOTDATA(LEFT(G$7,1)&amp;$F9,Control!$A$3)</f>
        <v>24078</v>
      </c>
      <c r="H9">
        <f>GETPIVOTDATA(LEFT(H$7,1)&amp;$F9,Control!$A$3)</f>
        <v>21742</v>
      </c>
    </row>
    <row r="10" spans="1:12" x14ac:dyDescent="0.25">
      <c r="A10" t="s">
        <v>6</v>
      </c>
      <c r="B10" s="3">
        <f>GETPIVOTDATA(""&amp;A10,Control!$A$3)</f>
        <v>0.13</v>
      </c>
      <c r="C10" s="3">
        <f>100%-B10</f>
        <v>0.87</v>
      </c>
      <c r="D10" s="3">
        <f t="shared" si="0"/>
        <v>2.3E-2</v>
      </c>
      <c r="F10" t="s">
        <v>6</v>
      </c>
      <c r="G10">
        <f>GETPIVOTDATA(LEFT(G$7,1)&amp;$F10,Control!$A$3)</f>
        <v>15139</v>
      </c>
      <c r="H10">
        <f>GETPIVOTDATA(LEFT(H$7,1)&amp;$F10,Control!$A$3)</f>
        <v>26701</v>
      </c>
    </row>
    <row r="11" spans="1:12" x14ac:dyDescent="0.25">
      <c r="A11" t="s">
        <v>7</v>
      </c>
      <c r="B11" s="3">
        <f>GETPIVOTDATA(""&amp;A11,Control!$A$3)</f>
        <v>0.15999999999999998</v>
      </c>
      <c r="C11" s="3">
        <f>100%-B11</f>
        <v>0.84000000000000008</v>
      </c>
      <c r="D11" s="3">
        <f t="shared" si="0"/>
        <v>2.3E-2</v>
      </c>
      <c r="F11" t="s">
        <v>7</v>
      </c>
      <c r="G11">
        <f>GETPIVOTDATA(LEFT(G$7,1)&amp;$F11,Control!$A$3)</f>
        <v>29492</v>
      </c>
      <c r="H11">
        <f>GETPIVOTDATA(LEFT(H$7,1)&amp;$F11,Control!$A$3)</f>
        <v>34641</v>
      </c>
    </row>
    <row r="12" spans="1:12" x14ac:dyDescent="0.25">
      <c r="A12" t="s">
        <v>8</v>
      </c>
      <c r="B12" s="3">
        <f>GETPIVOTDATA(""&amp;A12,Control!$A$3)</f>
        <v>0.10999999999999999</v>
      </c>
      <c r="C12" s="3">
        <f>100%-B12</f>
        <v>0.89</v>
      </c>
      <c r="D12" s="3">
        <f t="shared" si="0"/>
        <v>2.3E-2</v>
      </c>
      <c r="F12" t="s">
        <v>8</v>
      </c>
      <c r="G12">
        <f>GETPIVOTDATA(LEFT(G$7,1)&amp;$F12,Control!$A$3)</f>
        <v>45372</v>
      </c>
      <c r="H12">
        <f>GETPIVOTDATA(LEFT(H$7,1)&amp;$F12,Control!$A$3)</f>
        <v>36988</v>
      </c>
    </row>
    <row r="13" spans="1:12" x14ac:dyDescent="0.25">
      <c r="D13" s="5">
        <v>2.3E-2</v>
      </c>
      <c r="G13" s="2">
        <f>SUM(G8:G12)</f>
        <v>150822</v>
      </c>
      <c r="H13" s="13">
        <f>SUM(H8:H12)</f>
        <v>143076</v>
      </c>
    </row>
    <row r="15" spans="1:12" x14ac:dyDescent="0.25">
      <c r="B15" t="s">
        <v>0</v>
      </c>
      <c r="H15" t="s">
        <v>27</v>
      </c>
    </row>
    <row r="16" spans="1:12" x14ac:dyDescent="0.25">
      <c r="B16" s="8" t="s">
        <v>11</v>
      </c>
      <c r="C16" s="8" t="s">
        <v>12</v>
      </c>
      <c r="D16" s="8" t="s">
        <v>47</v>
      </c>
      <c r="E16" s="8" t="s">
        <v>46</v>
      </c>
      <c r="H16" t="s">
        <v>1</v>
      </c>
      <c r="I16" t="s">
        <v>25</v>
      </c>
      <c r="J16" t="s">
        <v>26</v>
      </c>
      <c r="K16" t="s">
        <v>28</v>
      </c>
      <c r="L16" t="s">
        <v>49</v>
      </c>
    </row>
    <row r="17" spans="1:12" x14ac:dyDescent="0.25">
      <c r="A17" t="s">
        <v>13</v>
      </c>
      <c r="B17" s="7">
        <f>GETPIVOTDATA(""&amp;B$16,Control!$A$20,"Month",""&amp;$A17)</f>
        <v>8333</v>
      </c>
      <c r="C17" s="7">
        <f>GETPIVOTDATA(""&amp;C$16,Control!$A$20,"Month",""&amp;$A17)</f>
        <v>4500</v>
      </c>
      <c r="D17">
        <f>IFERROR(GETPIVOTDATA(""&amp;B$16,Control!$A$3,"Month",""&amp;$A17),NA())</f>
        <v>8333</v>
      </c>
      <c r="E17">
        <f>IFERROR(GETPIVOTDATA(""&amp;C$16,Control!$A$3,"Month",""&amp;$A17),NA())</f>
        <v>4500</v>
      </c>
      <c r="G17" t="s">
        <v>13</v>
      </c>
      <c r="H17">
        <f>GETPIVOTDATA(""&amp;H$16,Control!$A$20,"Month",""&amp;$G17)</f>
        <v>5000</v>
      </c>
      <c r="I17">
        <f>GETPIVOTDATA(""&amp;I$16,Control!$A$20,"Month",""&amp;$G17)</f>
        <v>8200</v>
      </c>
      <c r="J17">
        <f>GETPIVOTDATA(""&amp;J$16,Control!$A$20,"Month",""&amp;$G17)</f>
        <v>5350</v>
      </c>
      <c r="K17">
        <f>GETPIVOTDATA(""&amp;K$16,Control!$A$20,"Month",""&amp;$G17)</f>
        <v>7600</v>
      </c>
      <c r="L17">
        <f>IFERROR(GETPIVOTDATA("Sum of Profit",Control!$A$3,"Month",""&amp;G17),NA())</f>
        <v>5000</v>
      </c>
    </row>
    <row r="18" spans="1:12" x14ac:dyDescent="0.25">
      <c r="A18" t="s">
        <v>14</v>
      </c>
      <c r="B18" s="7">
        <f>GETPIVOTDATA(""&amp;B$16,Control!$A$20,"Month",""&amp;$A18)</f>
        <v>10021</v>
      </c>
      <c r="C18" s="7">
        <f>GETPIVOTDATA(""&amp;C$16,Control!$A$20,"Month",""&amp;$A18)</f>
        <v>5311</v>
      </c>
      <c r="D18" t="e">
        <f>IFERROR(GETPIVOTDATA(""&amp;B$16,Control!$A$3,"Month",""&amp;$A18),NA())</f>
        <v>#N/A</v>
      </c>
      <c r="E18" t="e">
        <f>IFERROR(GETPIVOTDATA(""&amp;C$16,Control!$A$3,"Month",""&amp;$A18),NA())</f>
        <v>#N/A</v>
      </c>
      <c r="G18" t="s">
        <v>14</v>
      </c>
      <c r="H18">
        <f>GETPIVOTDATA(""&amp;H$16,Control!$A$20,"Month",""&amp;$G18)</f>
        <v>5900</v>
      </c>
      <c r="I18">
        <f>GETPIVOTDATA(""&amp;I$16,Control!$A$20,"Month",""&amp;$G18)</f>
        <v>6700</v>
      </c>
      <c r="J18">
        <f>GETPIVOTDATA(""&amp;J$16,Control!$A$20,"Month",""&amp;$G18)</f>
        <v>4100</v>
      </c>
      <c r="K18">
        <f>GETPIVOTDATA(""&amp;K$16,Control!$A$20,"Month",""&amp;$G18)</f>
        <v>6900</v>
      </c>
      <c r="L18" t="e">
        <f>IFERROR(GETPIVOTDATA("Sum of Profit",Control!$A$3,"Month",""&amp;G18),NA())</f>
        <v>#N/A</v>
      </c>
    </row>
    <row r="19" spans="1:12" x14ac:dyDescent="0.25">
      <c r="A19" t="s">
        <v>15</v>
      </c>
      <c r="B19" s="7">
        <f>GETPIVOTDATA(""&amp;B$16,Control!$A$20,"Month",""&amp;$A19)</f>
        <v>11177</v>
      </c>
      <c r="C19" s="7">
        <f>GETPIVOTDATA(""&amp;C$16,Control!$A$20,"Month",""&amp;$A19)</f>
        <v>6147</v>
      </c>
      <c r="D19" t="e">
        <f>IFERROR(GETPIVOTDATA(""&amp;B$16,Control!$A$3,"Month",""&amp;$A19),NA())</f>
        <v>#N/A</v>
      </c>
      <c r="E19" t="e">
        <f>IFERROR(GETPIVOTDATA(""&amp;C$16,Control!$A$3,"Month",""&amp;$A19),NA())</f>
        <v>#N/A</v>
      </c>
      <c r="G19" t="s">
        <v>15</v>
      </c>
      <c r="H19">
        <f>GETPIVOTDATA(""&amp;H$16,Control!$A$20,"Month",""&amp;$G19)</f>
        <v>7300</v>
      </c>
      <c r="I19">
        <f>GETPIVOTDATA(""&amp;I$16,Control!$A$20,"Month",""&amp;$G19)</f>
        <v>6000</v>
      </c>
      <c r="J19">
        <f>GETPIVOTDATA(""&amp;J$16,Control!$A$20,"Month",""&amp;$G19)</f>
        <v>4700</v>
      </c>
      <c r="K19">
        <f>GETPIVOTDATA(""&amp;K$16,Control!$A$20,"Month",""&amp;$G19)</f>
        <v>6100</v>
      </c>
      <c r="L19" t="e">
        <f>IFERROR(GETPIVOTDATA("Sum of Profit",Control!$A$3,"Month",""&amp;G19),NA())</f>
        <v>#N/A</v>
      </c>
    </row>
    <row r="20" spans="1:12" x14ac:dyDescent="0.25">
      <c r="A20" t="s">
        <v>16</v>
      </c>
      <c r="B20" s="7">
        <f>GETPIVOTDATA(""&amp;B$16,Control!$A$20,"Month",""&amp;$A20)</f>
        <v>11427</v>
      </c>
      <c r="C20" s="7">
        <f>GETPIVOTDATA(""&amp;C$16,Control!$A$20,"Month",""&amp;$A20)</f>
        <v>5256</v>
      </c>
      <c r="D20" t="e">
        <f>IFERROR(GETPIVOTDATA(""&amp;B$16,Control!$A$3,"Month",""&amp;$A20),NA())</f>
        <v>#N/A</v>
      </c>
      <c r="E20" t="e">
        <f>IFERROR(GETPIVOTDATA(""&amp;C$16,Control!$A$3,"Month",""&amp;$A20),NA())</f>
        <v>#N/A</v>
      </c>
      <c r="G20" t="s">
        <v>16</v>
      </c>
      <c r="H20">
        <f>GETPIVOTDATA(""&amp;H$16,Control!$A$20,"Month",""&amp;$G20)</f>
        <v>9000</v>
      </c>
      <c r="I20">
        <f>GETPIVOTDATA(""&amp;I$16,Control!$A$20,"Month",""&amp;$G20)</f>
        <v>6200</v>
      </c>
      <c r="J20">
        <f>GETPIVOTDATA(""&amp;J$16,Control!$A$20,"Month",""&amp;$G20)</f>
        <v>5200</v>
      </c>
      <c r="K20">
        <f>GETPIVOTDATA(""&amp;K$16,Control!$A$20,"Month",""&amp;$G20)</f>
        <v>6400</v>
      </c>
      <c r="L20" t="e">
        <f>IFERROR(GETPIVOTDATA("Sum of Profit",Control!$A$3,"Month",""&amp;G20),NA())</f>
        <v>#N/A</v>
      </c>
    </row>
    <row r="21" spans="1:12" x14ac:dyDescent="0.25">
      <c r="A21" t="s">
        <v>17</v>
      </c>
      <c r="B21" s="7">
        <f>GETPIVOTDATA(""&amp;B$16,Control!$A$20,"Month",""&amp;$A21)</f>
        <v>10698</v>
      </c>
      <c r="C21" s="7">
        <f>GETPIVOTDATA(""&amp;C$16,Control!$A$20,"Month",""&amp;$A21)</f>
        <v>4921</v>
      </c>
      <c r="D21" t="e">
        <f>IFERROR(GETPIVOTDATA(""&amp;B$16,Control!$A$3,"Month",""&amp;$A21),NA())</f>
        <v>#N/A</v>
      </c>
      <c r="E21" t="e">
        <f>IFERROR(GETPIVOTDATA(""&amp;C$16,Control!$A$3,"Month",""&amp;$A21),NA())</f>
        <v>#N/A</v>
      </c>
      <c r="G21" t="s">
        <v>17</v>
      </c>
      <c r="H21">
        <f>GETPIVOTDATA(""&amp;H$16,Control!$A$20,"Month",""&amp;$G21)</f>
        <v>10100</v>
      </c>
      <c r="I21">
        <f>GETPIVOTDATA(""&amp;I$16,Control!$A$20,"Month",""&amp;$G21)</f>
        <v>7400</v>
      </c>
      <c r="J21">
        <f>GETPIVOTDATA(""&amp;J$16,Control!$A$20,"Month",""&amp;$G21)</f>
        <v>5700</v>
      </c>
      <c r="K21">
        <f>GETPIVOTDATA(""&amp;K$16,Control!$A$20,"Month",""&amp;$G21)</f>
        <v>7300</v>
      </c>
      <c r="L21" t="e">
        <f>IFERROR(GETPIVOTDATA("Sum of Profit",Control!$A$3,"Month",""&amp;G21),NA())</f>
        <v>#N/A</v>
      </c>
    </row>
    <row r="22" spans="1:12" x14ac:dyDescent="0.25">
      <c r="A22" t="s">
        <v>18</v>
      </c>
      <c r="B22" s="7">
        <f>GETPIVOTDATA(""&amp;B$16,Control!$A$20,"Month",""&amp;$A22)</f>
        <v>9219</v>
      </c>
      <c r="C22" s="7">
        <f>GETPIVOTDATA(""&amp;C$16,Control!$A$20,"Month",""&amp;$A22)</f>
        <v>5070</v>
      </c>
      <c r="D22" t="e">
        <f>IFERROR(GETPIVOTDATA(""&amp;B$16,Control!$A$3,"Month",""&amp;$A22),NA())</f>
        <v>#N/A</v>
      </c>
      <c r="E22" t="e">
        <f>IFERROR(GETPIVOTDATA(""&amp;C$16,Control!$A$3,"Month",""&amp;$A22),NA())</f>
        <v>#N/A</v>
      </c>
      <c r="G22" t="s">
        <v>18</v>
      </c>
      <c r="H22">
        <f>GETPIVOTDATA(""&amp;H$16,Control!$A$20,"Month",""&amp;$G22)</f>
        <v>11100</v>
      </c>
      <c r="I22">
        <f>GETPIVOTDATA(""&amp;I$16,Control!$A$20,"Month",""&amp;$G22)</f>
        <v>7900</v>
      </c>
      <c r="J22">
        <f>GETPIVOTDATA(""&amp;J$16,Control!$A$20,"Month",""&amp;$G22)</f>
        <v>5250</v>
      </c>
      <c r="K22">
        <f>GETPIVOTDATA(""&amp;K$16,Control!$A$20,"Month",""&amp;$G22)</f>
        <v>7800</v>
      </c>
      <c r="L22" t="e">
        <f>IFERROR(GETPIVOTDATA("Sum of Profit",Control!$A$3,"Month",""&amp;G22),NA())</f>
        <v>#N/A</v>
      </c>
    </row>
    <row r="23" spans="1:12" x14ac:dyDescent="0.25">
      <c r="A23" t="s">
        <v>19</v>
      </c>
      <c r="B23" s="7">
        <f>GETPIVOTDATA(""&amp;B$16,Control!$A$20,"Month",""&amp;$A23)</f>
        <v>7448</v>
      </c>
      <c r="C23" s="7">
        <f>GETPIVOTDATA(""&amp;C$16,Control!$A$20,"Month",""&amp;$A23)</f>
        <v>4022</v>
      </c>
      <c r="D23" t="e">
        <f>IFERROR(GETPIVOTDATA(""&amp;B$16,Control!$A$3,"Month",""&amp;$A23),NA())</f>
        <v>#N/A</v>
      </c>
      <c r="E23" t="e">
        <f>IFERROR(GETPIVOTDATA(""&amp;C$16,Control!$A$3,"Month",""&amp;$A23),NA())</f>
        <v>#N/A</v>
      </c>
      <c r="G23" t="s">
        <v>19</v>
      </c>
      <c r="H23">
        <f>GETPIVOTDATA(""&amp;H$16,Control!$A$20,"Month",""&amp;$G23)</f>
        <v>10900</v>
      </c>
      <c r="I23">
        <f>GETPIVOTDATA(""&amp;I$16,Control!$A$20,"Month",""&amp;$G23)</f>
        <v>7100</v>
      </c>
      <c r="J23">
        <f>GETPIVOTDATA(""&amp;J$16,Control!$A$20,"Month",""&amp;$G23)</f>
        <v>5750</v>
      </c>
      <c r="K23">
        <f>GETPIVOTDATA(""&amp;K$16,Control!$A$20,"Month",""&amp;$G23)</f>
        <v>7400</v>
      </c>
      <c r="L23" t="e">
        <f>IFERROR(GETPIVOTDATA("Sum of Profit",Control!$A$3,"Month",""&amp;G23),NA())</f>
        <v>#N/A</v>
      </c>
    </row>
    <row r="24" spans="1:12" x14ac:dyDescent="0.25">
      <c r="A24" t="s">
        <v>20</v>
      </c>
      <c r="B24" s="7">
        <f>GETPIVOTDATA(""&amp;B$16,Control!$A$20,"Month",""&amp;$A24)</f>
        <v>5969</v>
      </c>
      <c r="C24" s="7">
        <f>GETPIVOTDATA(""&amp;C$16,Control!$A$20,"Month",""&amp;$A24)</f>
        <v>3462</v>
      </c>
      <c r="D24" t="e">
        <f>IFERROR(GETPIVOTDATA(""&amp;B$16,Control!$A$3,"Month",""&amp;$A24),NA())</f>
        <v>#N/A</v>
      </c>
      <c r="E24" t="e">
        <f>IFERROR(GETPIVOTDATA(""&amp;C$16,Control!$A$3,"Month",""&amp;$A24),NA())</f>
        <v>#N/A</v>
      </c>
      <c r="G24" t="s">
        <v>20</v>
      </c>
      <c r="H24">
        <f>GETPIVOTDATA(""&amp;H$16,Control!$A$20,"Month",""&amp;$G24)</f>
        <v>9800</v>
      </c>
      <c r="I24">
        <f>GETPIVOTDATA(""&amp;I$16,Control!$A$20,"Month",""&amp;$G24)</f>
        <v>6500</v>
      </c>
      <c r="J24">
        <f>GETPIVOTDATA(""&amp;J$16,Control!$A$20,"Month",""&amp;$G24)</f>
        <v>4800</v>
      </c>
      <c r="K24">
        <f>GETPIVOTDATA(""&amp;K$16,Control!$A$20,"Month",""&amp;$G24)</f>
        <v>6800</v>
      </c>
      <c r="L24" t="e">
        <f>IFERROR(GETPIVOTDATA("Sum of Profit",Control!$A$3,"Month",""&amp;G24),NA())</f>
        <v>#N/A</v>
      </c>
    </row>
    <row r="25" spans="1:12" x14ac:dyDescent="0.25">
      <c r="A25" t="s">
        <v>21</v>
      </c>
      <c r="B25" s="7">
        <f>GETPIVOTDATA(""&amp;B$16,Control!$A$20,"Month",""&amp;$A25)</f>
        <v>5240</v>
      </c>
      <c r="C25" s="7">
        <f>GETPIVOTDATA(""&amp;C$16,Control!$A$20,"Month",""&amp;$A25)</f>
        <v>2987</v>
      </c>
      <c r="D25" t="e">
        <f>IFERROR(GETPIVOTDATA(""&amp;B$16,Control!$A$3,"Month",""&amp;$A25),NA())</f>
        <v>#N/A</v>
      </c>
      <c r="E25" t="e">
        <f>IFERROR(GETPIVOTDATA(""&amp;C$16,Control!$A$3,"Month",""&amp;$A25),NA())</f>
        <v>#N/A</v>
      </c>
      <c r="G25" t="s">
        <v>21</v>
      </c>
      <c r="H25">
        <f>GETPIVOTDATA(""&amp;H$16,Control!$A$20,"Month",""&amp;$G25)</f>
        <v>8200</v>
      </c>
      <c r="I25">
        <f>GETPIVOTDATA(""&amp;I$16,Control!$A$20,"Month",""&amp;$G25)</f>
        <v>7000</v>
      </c>
      <c r="J25">
        <f>GETPIVOTDATA(""&amp;J$16,Control!$A$20,"Month",""&amp;$G25)</f>
        <v>5300</v>
      </c>
      <c r="K25">
        <f>GETPIVOTDATA(""&amp;K$16,Control!$A$20,"Month",""&amp;$G25)</f>
        <v>7200</v>
      </c>
      <c r="L25" t="e">
        <f>IFERROR(GETPIVOTDATA("Sum of Profit",Control!$A$3,"Month",""&amp;G25),NA())</f>
        <v>#N/A</v>
      </c>
    </row>
    <row r="26" spans="1:12" x14ac:dyDescent="0.25">
      <c r="A26" t="s">
        <v>22</v>
      </c>
      <c r="B26" s="7">
        <f>GETPIVOTDATA(""&amp;B$16,Control!$A$20,"Month",""&amp;$A26)</f>
        <v>5490</v>
      </c>
      <c r="C26" s="7">
        <f>GETPIVOTDATA(""&amp;C$16,Control!$A$20,"Month",""&amp;$A26)</f>
        <v>3020</v>
      </c>
      <c r="D26" t="e">
        <f>IFERROR(GETPIVOTDATA(""&amp;B$16,Control!$A$3,"Month",""&amp;$A26),NA())</f>
        <v>#N/A</v>
      </c>
      <c r="E26" t="e">
        <f>IFERROR(GETPIVOTDATA(""&amp;C$16,Control!$A$3,"Month",""&amp;$A26),NA())</f>
        <v>#N/A</v>
      </c>
      <c r="G26" t="s">
        <v>22</v>
      </c>
      <c r="H26">
        <f>GETPIVOTDATA(""&amp;H$16,Control!$A$20,"Month",""&amp;$G26)</f>
        <v>6700</v>
      </c>
      <c r="I26">
        <f>GETPIVOTDATA(""&amp;I$16,Control!$A$20,"Month",""&amp;$G26)</f>
        <v>8100</v>
      </c>
      <c r="J26">
        <f>GETPIVOTDATA(""&amp;J$16,Control!$A$20,"Month",""&amp;$G26)</f>
        <v>5000</v>
      </c>
      <c r="K26">
        <f>GETPIVOTDATA(""&amp;K$16,Control!$A$20,"Month",""&amp;$G26)</f>
        <v>8000</v>
      </c>
      <c r="L26" t="e">
        <f>IFERROR(GETPIVOTDATA("Sum of Profit",Control!$A$3,"Month",""&amp;G26),NA())</f>
        <v>#N/A</v>
      </c>
    </row>
    <row r="27" spans="1:12" x14ac:dyDescent="0.25">
      <c r="A27" t="s">
        <v>23</v>
      </c>
      <c r="B27" s="7">
        <f>GETPIVOTDATA(""&amp;B$16,Control!$A$20,"Month",""&amp;$A27)</f>
        <v>6646</v>
      </c>
      <c r="C27" s="7">
        <f>GETPIVOTDATA(""&amp;C$16,Control!$A$20,"Month",""&amp;$A27)</f>
        <v>3722</v>
      </c>
      <c r="D27" t="e">
        <f>IFERROR(GETPIVOTDATA(""&amp;B$16,Control!$A$3,"Month",""&amp;$A27),NA())</f>
        <v>#N/A</v>
      </c>
      <c r="E27" t="e">
        <f>IFERROR(GETPIVOTDATA(""&amp;C$16,Control!$A$3,"Month",""&amp;$A27),NA())</f>
        <v>#N/A</v>
      </c>
      <c r="G27" t="s">
        <v>23</v>
      </c>
      <c r="H27">
        <f>GETPIVOTDATA(""&amp;H$16,Control!$A$20,"Month",""&amp;$G27)</f>
        <v>5450</v>
      </c>
      <c r="I27">
        <f>GETPIVOTDATA(""&amp;I$16,Control!$A$20,"Month",""&amp;$G27)</f>
        <v>8800</v>
      </c>
      <c r="J27">
        <f>GETPIVOTDATA(""&amp;J$16,Control!$A$20,"Month",""&amp;$G27)</f>
        <v>5300</v>
      </c>
      <c r="K27">
        <f>GETPIVOTDATA(""&amp;K$16,Control!$A$20,"Month",""&amp;$G27)</f>
        <v>7700</v>
      </c>
      <c r="L27" t="e">
        <f>IFERROR(GETPIVOTDATA("Sum of Profit",Control!$A$3,"Month",""&amp;G27),NA())</f>
        <v>#N/A</v>
      </c>
    </row>
    <row r="28" spans="1:12" x14ac:dyDescent="0.25">
      <c r="A28" t="s">
        <v>24</v>
      </c>
      <c r="B28" s="7">
        <f>GETPIVOTDATA(""&amp;B$16,Control!$A$20,"Month",""&amp;$A28)</f>
        <v>8333</v>
      </c>
      <c r="C28" s="7">
        <f>GETPIVOTDATA(""&amp;C$16,Control!$A$20,"Month",""&amp;$A28)</f>
        <v>3750</v>
      </c>
      <c r="D28" t="e">
        <f>IFERROR(GETPIVOTDATA(""&amp;B$16,Control!$A$3,"Month",""&amp;$A28),NA())</f>
        <v>#N/A</v>
      </c>
      <c r="E28" t="e">
        <f>IFERROR(GETPIVOTDATA(""&amp;C$16,Control!$A$3,"Month",""&amp;$A28),NA())</f>
        <v>#N/A</v>
      </c>
      <c r="G28" t="s">
        <v>24</v>
      </c>
      <c r="H28">
        <f>GETPIVOTDATA(""&amp;H$16,Control!$A$20,"Month",""&amp;$G28)</f>
        <v>8181</v>
      </c>
      <c r="I28">
        <f>GETPIVOTDATA(""&amp;I$16,Control!$A$20,"Month",""&amp;$G28)</f>
        <v>6969</v>
      </c>
      <c r="J28">
        <f>GETPIVOTDATA(""&amp;J$16,Control!$A$20,"Month",""&amp;$G28)</f>
        <v>5151</v>
      </c>
      <c r="K28">
        <f>GETPIVOTDATA(""&amp;K$16,Control!$A$20,"Month",""&amp;$G28)</f>
        <v>7171</v>
      </c>
      <c r="L28" t="e">
        <f>IFERROR(GETPIVOTDATA("Sum of Profit",Control!$A$3,"Month",""&amp;G28),NA())</f>
        <v>#N/A</v>
      </c>
    </row>
    <row r="29" spans="1:12" x14ac:dyDescent="0.25">
      <c r="D29" s="4">
        <f>GETPIVOTDATA("Sum of Visitors",Control!$A$3)</f>
        <v>8333</v>
      </c>
      <c r="E29" s="4">
        <f>GETPIVOTDATA("Sum of Buyers",Control!$A$3)</f>
        <v>4500</v>
      </c>
      <c r="H29" s="12">
        <f>GETPIVOTDATA(""&amp;H16,Control!$A$3)</f>
        <v>5000</v>
      </c>
      <c r="I29" s="12">
        <f>GETPIVOTDATA(""&amp;I16,Control!$A$3)+J29</f>
        <v>13550</v>
      </c>
      <c r="J29" s="12">
        <f>GETPIVOTDATA(""&amp;J16,Control!$A$3)</f>
        <v>5350</v>
      </c>
      <c r="K29" s="12">
        <f>GETPIVOTDATA(""&amp;K16,Control!$A$3)</f>
        <v>7600</v>
      </c>
      <c r="L29" s="12">
        <f>GETPIVOTDATA("Sum of Profit",Control!$A$3)</f>
        <v>5000</v>
      </c>
    </row>
    <row r="32" spans="1:12" x14ac:dyDescent="0.25">
      <c r="J32" s="8"/>
      <c r="K32" s="8"/>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0B224-9329-4ABE-8D70-569A9AF3CE42}">
  <dimension ref="A1:W33"/>
  <sheetViews>
    <sheetView workbookViewId="0"/>
  </sheetViews>
  <sheetFormatPr defaultRowHeight="15" x14ac:dyDescent="0.25"/>
  <cols>
    <col min="1" max="1" width="13.42578125" bestFit="1" customWidth="1"/>
    <col min="2" max="2" width="14.7109375" bestFit="1" customWidth="1"/>
    <col min="3" max="3" width="14" bestFit="1" customWidth="1"/>
    <col min="4" max="4" width="12.7109375" bestFit="1" customWidth="1"/>
    <col min="5" max="5" width="11.5703125" bestFit="1" customWidth="1"/>
    <col min="6" max="6" width="23.42578125" bestFit="1" customWidth="1"/>
    <col min="7" max="8" width="12.140625" bestFit="1" customWidth="1"/>
    <col min="9" max="13" width="14.42578125" bestFit="1" customWidth="1"/>
    <col min="14" max="18" width="14.7109375" bestFit="1" customWidth="1"/>
    <col min="19" max="23" width="16.42578125" bestFit="1" customWidth="1"/>
  </cols>
  <sheetData>
    <row r="1" spans="1:23" ht="14.45" customHeight="1" x14ac:dyDescent="0.25"/>
    <row r="2" spans="1:23" ht="14.45" customHeight="1" x14ac:dyDescent="0.25"/>
    <row r="3" spans="1:23" x14ac:dyDescent="0.25">
      <c r="A3" s="11" t="s">
        <v>42</v>
      </c>
      <c r="B3" t="s">
        <v>44</v>
      </c>
      <c r="C3" t="s">
        <v>45</v>
      </c>
      <c r="D3" t="s">
        <v>48</v>
      </c>
      <c r="E3" t="s">
        <v>50</v>
      </c>
      <c r="F3" t="s">
        <v>51</v>
      </c>
      <c r="G3" t="s">
        <v>52</v>
      </c>
      <c r="H3" t="s">
        <v>53</v>
      </c>
      <c r="I3" t="s">
        <v>54</v>
      </c>
      <c r="J3" t="s">
        <v>55</v>
      </c>
      <c r="K3" t="s">
        <v>56</v>
      </c>
      <c r="L3" t="s">
        <v>57</v>
      </c>
      <c r="M3" t="s">
        <v>58</v>
      </c>
      <c r="N3" t="s">
        <v>59</v>
      </c>
      <c r="O3" t="s">
        <v>60</v>
      </c>
      <c r="P3" t="s">
        <v>61</v>
      </c>
      <c r="Q3" t="s">
        <v>62</v>
      </c>
      <c r="R3" t="s">
        <v>63</v>
      </c>
      <c r="S3" t="s">
        <v>64</v>
      </c>
      <c r="T3" t="s">
        <v>65</v>
      </c>
      <c r="U3" t="s">
        <v>66</v>
      </c>
      <c r="V3" t="s">
        <v>67</v>
      </c>
      <c r="W3" t="s">
        <v>68</v>
      </c>
    </row>
    <row r="4" spans="1:23" x14ac:dyDescent="0.25">
      <c r="A4" s="9" t="s">
        <v>13</v>
      </c>
      <c r="B4" s="39">
        <v>8333</v>
      </c>
      <c r="C4" s="39">
        <v>4500</v>
      </c>
      <c r="D4" s="3">
        <v>0.16</v>
      </c>
      <c r="E4" s="39">
        <v>5000</v>
      </c>
      <c r="F4" s="39">
        <v>8200</v>
      </c>
      <c r="G4" s="39">
        <v>5350</v>
      </c>
      <c r="H4" s="39">
        <v>7600</v>
      </c>
      <c r="I4" s="39">
        <v>36741</v>
      </c>
      <c r="J4" s="39">
        <v>24078</v>
      </c>
      <c r="K4" s="39">
        <v>15139</v>
      </c>
      <c r="L4" s="39">
        <v>29492</v>
      </c>
      <c r="M4" s="39">
        <v>45372</v>
      </c>
      <c r="N4" s="39">
        <v>23004</v>
      </c>
      <c r="O4" s="39">
        <v>21742</v>
      </c>
      <c r="P4" s="39">
        <v>26701</v>
      </c>
      <c r="Q4" s="39">
        <v>34641</v>
      </c>
      <c r="R4" s="39">
        <v>36988</v>
      </c>
      <c r="S4" s="3">
        <v>0.05</v>
      </c>
      <c r="T4" s="3">
        <v>0.21</v>
      </c>
      <c r="U4" s="3">
        <v>0.13</v>
      </c>
      <c r="V4" s="3">
        <v>0.15999999999999998</v>
      </c>
      <c r="W4" s="3">
        <v>0.10999999999999999</v>
      </c>
    </row>
    <row r="5" spans="1:23" x14ac:dyDescent="0.25">
      <c r="A5" s="9" t="s">
        <v>43</v>
      </c>
      <c r="B5" s="39">
        <v>8333</v>
      </c>
      <c r="C5" s="39">
        <v>4500</v>
      </c>
      <c r="D5" s="3">
        <v>0.16</v>
      </c>
      <c r="E5" s="39">
        <v>5000</v>
      </c>
      <c r="F5" s="39">
        <v>8200</v>
      </c>
      <c r="G5" s="39">
        <v>5350</v>
      </c>
      <c r="H5" s="39">
        <v>7600</v>
      </c>
      <c r="I5" s="39">
        <v>36741</v>
      </c>
      <c r="J5" s="39">
        <v>24078</v>
      </c>
      <c r="K5" s="39">
        <v>15139</v>
      </c>
      <c r="L5" s="39">
        <v>29492</v>
      </c>
      <c r="M5" s="39">
        <v>45372</v>
      </c>
      <c r="N5" s="39">
        <v>23004</v>
      </c>
      <c r="O5" s="39">
        <v>21742</v>
      </c>
      <c r="P5" s="39">
        <v>26701</v>
      </c>
      <c r="Q5" s="39">
        <v>34641</v>
      </c>
      <c r="R5" s="39">
        <v>36988</v>
      </c>
      <c r="S5" s="3">
        <v>0.05</v>
      </c>
      <c r="T5" s="3">
        <v>0.21</v>
      </c>
      <c r="U5" s="3">
        <v>0.13</v>
      </c>
      <c r="V5" s="3">
        <v>0.15999999999999998</v>
      </c>
      <c r="W5" s="3">
        <v>0.10999999999999999</v>
      </c>
    </row>
    <row r="20" spans="1:7" x14ac:dyDescent="0.25">
      <c r="A20" s="11" t="s">
        <v>42</v>
      </c>
      <c r="B20" t="s">
        <v>44</v>
      </c>
      <c r="C20" t="s">
        <v>45</v>
      </c>
      <c r="D20" t="s">
        <v>50</v>
      </c>
      <c r="E20" t="s">
        <v>51</v>
      </c>
      <c r="F20" t="s">
        <v>52</v>
      </c>
      <c r="G20" t="s">
        <v>53</v>
      </c>
    </row>
    <row r="21" spans="1:7" x14ac:dyDescent="0.25">
      <c r="A21" s="9" t="s">
        <v>13</v>
      </c>
      <c r="B21" s="39">
        <v>8333</v>
      </c>
      <c r="C21" s="39">
        <v>4500</v>
      </c>
      <c r="D21" s="39">
        <v>5000</v>
      </c>
      <c r="E21" s="39">
        <v>8200</v>
      </c>
      <c r="F21" s="39">
        <v>5350</v>
      </c>
      <c r="G21" s="39">
        <v>7600</v>
      </c>
    </row>
    <row r="22" spans="1:7" x14ac:dyDescent="0.25">
      <c r="A22" s="9" t="s">
        <v>14</v>
      </c>
      <c r="B22" s="39">
        <v>10021</v>
      </c>
      <c r="C22" s="39">
        <v>5311</v>
      </c>
      <c r="D22" s="39">
        <v>5900</v>
      </c>
      <c r="E22" s="39">
        <v>6700</v>
      </c>
      <c r="F22" s="39">
        <v>4100</v>
      </c>
      <c r="G22" s="39">
        <v>6900</v>
      </c>
    </row>
    <row r="23" spans="1:7" x14ac:dyDescent="0.25">
      <c r="A23" s="9" t="s">
        <v>15</v>
      </c>
      <c r="B23" s="39">
        <v>11177</v>
      </c>
      <c r="C23" s="39">
        <v>6147</v>
      </c>
      <c r="D23" s="39">
        <v>7300</v>
      </c>
      <c r="E23" s="39">
        <v>6000</v>
      </c>
      <c r="F23" s="39">
        <v>4700</v>
      </c>
      <c r="G23" s="39">
        <v>6100</v>
      </c>
    </row>
    <row r="24" spans="1:7" x14ac:dyDescent="0.25">
      <c r="A24" s="9" t="s">
        <v>16</v>
      </c>
      <c r="B24" s="39">
        <v>11427</v>
      </c>
      <c r="C24" s="39">
        <v>5256</v>
      </c>
      <c r="D24" s="39">
        <v>9000</v>
      </c>
      <c r="E24" s="39">
        <v>6200</v>
      </c>
      <c r="F24" s="39">
        <v>5200</v>
      </c>
      <c r="G24" s="39">
        <v>6400</v>
      </c>
    </row>
    <row r="25" spans="1:7" x14ac:dyDescent="0.25">
      <c r="A25" s="9" t="s">
        <v>17</v>
      </c>
      <c r="B25" s="39">
        <v>10698</v>
      </c>
      <c r="C25" s="39">
        <v>4921</v>
      </c>
      <c r="D25" s="39">
        <v>10100</v>
      </c>
      <c r="E25" s="39">
        <v>7400</v>
      </c>
      <c r="F25" s="39">
        <v>5700</v>
      </c>
      <c r="G25" s="39">
        <v>7300</v>
      </c>
    </row>
    <row r="26" spans="1:7" x14ac:dyDescent="0.25">
      <c r="A26" s="9" t="s">
        <v>18</v>
      </c>
      <c r="B26" s="39">
        <v>9219</v>
      </c>
      <c r="C26" s="39">
        <v>5070</v>
      </c>
      <c r="D26" s="39">
        <v>11100</v>
      </c>
      <c r="E26" s="39">
        <v>7900</v>
      </c>
      <c r="F26" s="39">
        <v>5250</v>
      </c>
      <c r="G26" s="39">
        <v>7800</v>
      </c>
    </row>
    <row r="27" spans="1:7" x14ac:dyDescent="0.25">
      <c r="A27" s="9" t="s">
        <v>19</v>
      </c>
      <c r="B27" s="39">
        <v>7448</v>
      </c>
      <c r="C27" s="39">
        <v>4022</v>
      </c>
      <c r="D27" s="39">
        <v>10900</v>
      </c>
      <c r="E27" s="39">
        <v>7100</v>
      </c>
      <c r="F27" s="39">
        <v>5750</v>
      </c>
      <c r="G27" s="39">
        <v>7400</v>
      </c>
    </row>
    <row r="28" spans="1:7" x14ac:dyDescent="0.25">
      <c r="A28" s="9" t="s">
        <v>20</v>
      </c>
      <c r="B28" s="39">
        <v>5969</v>
      </c>
      <c r="C28" s="39">
        <v>3462</v>
      </c>
      <c r="D28" s="39">
        <v>9800</v>
      </c>
      <c r="E28" s="39">
        <v>6500</v>
      </c>
      <c r="F28" s="39">
        <v>4800</v>
      </c>
      <c r="G28" s="39">
        <v>6800</v>
      </c>
    </row>
    <row r="29" spans="1:7" x14ac:dyDescent="0.25">
      <c r="A29" s="9" t="s">
        <v>21</v>
      </c>
      <c r="B29" s="39">
        <v>5240</v>
      </c>
      <c r="C29" s="39">
        <v>2987</v>
      </c>
      <c r="D29" s="39">
        <v>8200</v>
      </c>
      <c r="E29" s="39">
        <v>7000</v>
      </c>
      <c r="F29" s="39">
        <v>5300</v>
      </c>
      <c r="G29" s="39">
        <v>7200</v>
      </c>
    </row>
    <row r="30" spans="1:7" x14ac:dyDescent="0.25">
      <c r="A30" s="9" t="s">
        <v>22</v>
      </c>
      <c r="B30" s="39">
        <v>5490</v>
      </c>
      <c r="C30" s="39">
        <v>3020</v>
      </c>
      <c r="D30" s="39">
        <v>6700</v>
      </c>
      <c r="E30" s="39">
        <v>8100</v>
      </c>
      <c r="F30" s="39">
        <v>5000</v>
      </c>
      <c r="G30" s="39">
        <v>8000</v>
      </c>
    </row>
    <row r="31" spans="1:7" x14ac:dyDescent="0.25">
      <c r="A31" s="9" t="s">
        <v>23</v>
      </c>
      <c r="B31" s="39">
        <v>6646</v>
      </c>
      <c r="C31" s="39">
        <v>3722</v>
      </c>
      <c r="D31" s="39">
        <v>5450</v>
      </c>
      <c r="E31" s="39">
        <v>8800</v>
      </c>
      <c r="F31" s="39">
        <v>5300</v>
      </c>
      <c r="G31" s="39">
        <v>7700</v>
      </c>
    </row>
    <row r="32" spans="1:7" x14ac:dyDescent="0.25">
      <c r="A32" s="9" t="s">
        <v>24</v>
      </c>
      <c r="B32" s="39">
        <v>8333</v>
      </c>
      <c r="C32" s="39">
        <v>3750</v>
      </c>
      <c r="D32" s="39">
        <v>8181</v>
      </c>
      <c r="E32" s="39">
        <v>6969</v>
      </c>
      <c r="F32" s="39">
        <v>5151</v>
      </c>
      <c r="G32" s="39">
        <v>7171</v>
      </c>
    </row>
    <row r="33" spans="1:7" x14ac:dyDescent="0.25">
      <c r="A33" s="9" t="s">
        <v>43</v>
      </c>
      <c r="B33" s="39">
        <v>100001</v>
      </c>
      <c r="C33" s="39">
        <v>52168</v>
      </c>
      <c r="D33" s="39">
        <v>97631</v>
      </c>
      <c r="E33" s="39">
        <v>86869</v>
      </c>
      <c r="F33" s="39">
        <v>61601</v>
      </c>
      <c r="G33" s="39">
        <v>86371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4CF51-C4F9-40DF-A30D-78F89C2B9BAA}">
  <dimension ref="A1:X50"/>
  <sheetViews>
    <sheetView workbookViewId="0"/>
  </sheetViews>
  <sheetFormatPr defaultRowHeight="15" x14ac:dyDescent="0.25"/>
  <cols>
    <col min="3" max="3" width="9.28515625" style="7" customWidth="1"/>
    <col min="4" max="4" width="8.85546875" style="7"/>
    <col min="5" max="5" width="12.140625" customWidth="1"/>
    <col min="6" max="7" width="8.85546875" style="7"/>
    <col min="8" max="8" width="16.85546875" style="7" customWidth="1"/>
    <col min="9" max="9" width="8.85546875" style="7"/>
    <col min="10" max="14" width="9" customWidth="1"/>
    <col min="15" max="19" width="9.28515625" customWidth="1"/>
    <col min="20" max="24" width="8.85546875" style="7"/>
  </cols>
  <sheetData>
    <row r="1" spans="1:24" ht="14.45" customHeight="1" x14ac:dyDescent="0.25">
      <c r="C1" s="36" t="s">
        <v>0</v>
      </c>
      <c r="D1" s="36"/>
      <c r="F1" s="36" t="s">
        <v>27</v>
      </c>
      <c r="G1" s="36"/>
      <c r="H1" s="36"/>
      <c r="I1" s="36"/>
      <c r="J1" s="36" t="s">
        <v>31</v>
      </c>
      <c r="K1" s="36"/>
      <c r="L1" s="36"/>
      <c r="M1" s="36"/>
      <c r="N1" s="36"/>
      <c r="O1" s="36" t="s">
        <v>28</v>
      </c>
      <c r="P1" s="36"/>
      <c r="Q1" s="36"/>
      <c r="R1" s="36"/>
      <c r="S1" s="36"/>
      <c r="T1" s="36" t="s">
        <v>9</v>
      </c>
      <c r="U1" s="36"/>
      <c r="V1" s="36"/>
      <c r="W1" s="36"/>
      <c r="X1" s="36"/>
    </row>
    <row r="2" spans="1:24" ht="14.45" customHeight="1" x14ac:dyDescent="0.25">
      <c r="A2" s="8" t="s">
        <v>29</v>
      </c>
      <c r="B2" s="8" t="s">
        <v>30</v>
      </c>
      <c r="C2" s="8" t="s">
        <v>11</v>
      </c>
      <c r="D2" s="8" t="s">
        <v>12</v>
      </c>
      <c r="E2" s="6" t="s">
        <v>2</v>
      </c>
      <c r="F2" s="8" t="s">
        <v>1</v>
      </c>
      <c r="G2" s="8" t="s">
        <v>25</v>
      </c>
      <c r="H2" s="8" t="s">
        <v>26</v>
      </c>
      <c r="I2" s="8" t="s">
        <v>28</v>
      </c>
      <c r="J2" s="8" t="s">
        <v>32</v>
      </c>
      <c r="K2" s="8" t="s">
        <v>33</v>
      </c>
      <c r="L2" s="8" t="s">
        <v>34</v>
      </c>
      <c r="M2" s="8" t="s">
        <v>35</v>
      </c>
      <c r="N2" s="8" t="s">
        <v>36</v>
      </c>
      <c r="O2" s="8" t="s">
        <v>37</v>
      </c>
      <c r="P2" s="8" t="s">
        <v>38</v>
      </c>
      <c r="Q2" s="8" t="s">
        <v>39</v>
      </c>
      <c r="R2" s="8" t="s">
        <v>40</v>
      </c>
      <c r="S2" s="8" t="s">
        <v>41</v>
      </c>
      <c r="T2" s="8" t="s">
        <v>4</v>
      </c>
      <c r="U2" s="8" t="s">
        <v>5</v>
      </c>
      <c r="V2" s="8" t="s">
        <v>6</v>
      </c>
      <c r="W2" s="8" t="s">
        <v>7</v>
      </c>
      <c r="X2" s="8" t="s">
        <v>8</v>
      </c>
    </row>
    <row r="3" spans="1:24" x14ac:dyDescent="0.25">
      <c r="A3" s="7">
        <v>2025</v>
      </c>
      <c r="B3" s="7" t="s">
        <v>13</v>
      </c>
      <c r="C3" s="7">
        <v>5270</v>
      </c>
      <c r="D3" s="7">
        <v>816</v>
      </c>
      <c r="E3" s="10">
        <v>0.13</v>
      </c>
      <c r="F3">
        <v>8080</v>
      </c>
      <c r="G3">
        <v>7575</v>
      </c>
      <c r="H3">
        <v>4545</v>
      </c>
      <c r="I3">
        <v>7070</v>
      </c>
      <c r="J3" s="7">
        <v>47096</v>
      </c>
      <c r="K3" s="7">
        <v>28182</v>
      </c>
      <c r="L3" s="7">
        <v>13507</v>
      </c>
      <c r="M3" s="7">
        <v>32366</v>
      </c>
      <c r="N3" s="7">
        <v>46241</v>
      </c>
      <c r="O3" s="7">
        <v>37321</v>
      </c>
      <c r="P3" s="7">
        <v>28729</v>
      </c>
      <c r="Q3" s="7">
        <v>20315</v>
      </c>
      <c r="R3" s="7">
        <v>29726</v>
      </c>
      <c r="S3" s="7">
        <v>39202</v>
      </c>
      <c r="T3" s="14">
        <v>0.13</v>
      </c>
      <c r="U3" s="14">
        <v>0.17</v>
      </c>
      <c r="V3" s="14">
        <v>0.05</v>
      </c>
      <c r="W3" s="10">
        <v>0.12000000000000001</v>
      </c>
      <c r="X3" s="10">
        <v>7.0000000000000007E-2</v>
      </c>
    </row>
    <row r="4" spans="1:24" x14ac:dyDescent="0.25">
      <c r="A4" s="7">
        <v>2025</v>
      </c>
      <c r="B4" s="7" t="s">
        <v>14</v>
      </c>
      <c r="C4" s="7">
        <v>5270</v>
      </c>
      <c r="D4" s="7">
        <v>2080</v>
      </c>
      <c r="E4" s="10">
        <v>0.1</v>
      </c>
      <c r="F4">
        <v>6443.8</v>
      </c>
      <c r="G4">
        <v>8484</v>
      </c>
      <c r="H4">
        <v>5050</v>
      </c>
      <c r="I4">
        <v>8181</v>
      </c>
      <c r="J4" s="7">
        <v>33425</v>
      </c>
      <c r="K4" s="7">
        <v>35068</v>
      </c>
      <c r="L4" s="7">
        <v>26642</v>
      </c>
      <c r="M4" s="7">
        <v>24449</v>
      </c>
      <c r="N4" s="7">
        <v>34073</v>
      </c>
      <c r="O4" s="7">
        <v>29349</v>
      </c>
      <c r="P4" s="7">
        <v>28895</v>
      </c>
      <c r="Q4" s="7">
        <v>23165</v>
      </c>
      <c r="R4" s="7">
        <v>26403</v>
      </c>
      <c r="S4" s="7">
        <v>34380</v>
      </c>
      <c r="T4" s="14">
        <v>0.14000000000000001</v>
      </c>
      <c r="U4" s="14">
        <v>0.19</v>
      </c>
      <c r="V4" s="14">
        <v>0.09</v>
      </c>
      <c r="W4" s="10">
        <v>0.14000000000000001</v>
      </c>
      <c r="X4" s="10">
        <v>0.09</v>
      </c>
    </row>
    <row r="5" spans="1:24" x14ac:dyDescent="0.25">
      <c r="A5" s="7">
        <v>2025</v>
      </c>
      <c r="B5" s="7" t="s">
        <v>15</v>
      </c>
      <c r="C5" s="7">
        <v>7150</v>
      </c>
      <c r="D5" s="7">
        <v>1200</v>
      </c>
      <c r="E5" s="10">
        <v>0.12</v>
      </c>
      <c r="F5">
        <v>5322.7</v>
      </c>
      <c r="G5">
        <v>8888</v>
      </c>
      <c r="H5">
        <v>5050</v>
      </c>
      <c r="I5">
        <v>7575</v>
      </c>
      <c r="J5" s="7">
        <v>31885</v>
      </c>
      <c r="K5" s="7">
        <v>16048</v>
      </c>
      <c r="L5" s="7">
        <v>29495</v>
      </c>
      <c r="M5" s="7">
        <v>41274</v>
      </c>
      <c r="N5" s="7">
        <v>31697</v>
      </c>
      <c r="O5" s="7">
        <v>27610</v>
      </c>
      <c r="P5" s="7">
        <v>21140</v>
      </c>
      <c r="Q5" s="7">
        <v>25957</v>
      </c>
      <c r="R5" s="7">
        <v>35532</v>
      </c>
      <c r="S5" s="7">
        <v>34006</v>
      </c>
      <c r="T5" s="14">
        <v>0.26</v>
      </c>
      <c r="U5" s="14">
        <v>0.31</v>
      </c>
      <c r="V5" s="14">
        <v>0.13</v>
      </c>
      <c r="W5" s="10">
        <v>0.26</v>
      </c>
      <c r="X5" s="10">
        <v>0.21</v>
      </c>
    </row>
    <row r="6" spans="1:24" x14ac:dyDescent="0.25">
      <c r="A6" s="7">
        <v>2025</v>
      </c>
      <c r="B6" s="7" t="s">
        <v>16</v>
      </c>
      <c r="C6" s="7">
        <v>7150</v>
      </c>
      <c r="D6" s="7">
        <v>3440</v>
      </c>
      <c r="E6" s="10">
        <v>0.12</v>
      </c>
      <c r="F6">
        <v>5080.3</v>
      </c>
      <c r="G6">
        <v>8282</v>
      </c>
      <c r="H6">
        <v>5555</v>
      </c>
      <c r="I6">
        <v>7979</v>
      </c>
      <c r="J6" s="7">
        <v>22137</v>
      </c>
      <c r="K6" s="7">
        <v>23255</v>
      </c>
      <c r="L6" s="7">
        <v>38004</v>
      </c>
      <c r="M6" s="7">
        <v>36927</v>
      </c>
      <c r="N6" s="7">
        <v>22468</v>
      </c>
      <c r="O6" s="7">
        <v>22753</v>
      </c>
      <c r="P6" s="7">
        <v>21567</v>
      </c>
      <c r="Q6" s="7">
        <v>29541</v>
      </c>
      <c r="R6" s="7">
        <v>35391</v>
      </c>
      <c r="S6" s="7">
        <v>35639</v>
      </c>
      <c r="T6" s="14">
        <v>0.28999999999999998</v>
      </c>
      <c r="U6" s="14">
        <v>0.33</v>
      </c>
      <c r="V6" s="14">
        <v>0.33</v>
      </c>
      <c r="W6" s="10">
        <v>0.28000000000000003</v>
      </c>
      <c r="X6" s="10">
        <v>0.23</v>
      </c>
    </row>
    <row r="7" spans="1:24" x14ac:dyDescent="0.25">
      <c r="A7" s="7">
        <v>2025</v>
      </c>
      <c r="B7" s="7" t="s">
        <v>17</v>
      </c>
      <c r="C7" s="7">
        <v>8000</v>
      </c>
      <c r="D7" s="7">
        <v>2640</v>
      </c>
      <c r="E7" s="10">
        <v>0.08</v>
      </c>
      <c r="F7">
        <v>5787.3</v>
      </c>
      <c r="G7">
        <v>6767</v>
      </c>
      <c r="H7">
        <v>4040</v>
      </c>
      <c r="I7">
        <v>6969</v>
      </c>
      <c r="J7" s="7">
        <v>24618</v>
      </c>
      <c r="K7" s="7">
        <v>25243</v>
      </c>
      <c r="L7" s="7">
        <v>35565</v>
      </c>
      <c r="M7" s="7">
        <v>35034</v>
      </c>
      <c r="N7" s="7">
        <v>26135</v>
      </c>
      <c r="O7" s="7">
        <v>21495</v>
      </c>
      <c r="P7" s="7">
        <v>26087</v>
      </c>
      <c r="Q7" s="7">
        <v>33496</v>
      </c>
      <c r="R7" s="7">
        <v>33233</v>
      </c>
      <c r="S7" s="7">
        <v>30826</v>
      </c>
      <c r="T7" s="14">
        <v>0.3</v>
      </c>
      <c r="U7" s="14">
        <v>0.35</v>
      </c>
      <c r="V7" s="14">
        <v>0.35</v>
      </c>
      <c r="W7" s="10">
        <v>0.3</v>
      </c>
      <c r="X7" s="10">
        <v>0.24999999999999997</v>
      </c>
    </row>
    <row r="8" spans="1:24" x14ac:dyDescent="0.25">
      <c r="A8" s="7">
        <v>2025</v>
      </c>
      <c r="B8" s="7" t="s">
        <v>18</v>
      </c>
      <c r="C8" s="7">
        <v>8000</v>
      </c>
      <c r="D8" s="7">
        <v>3752</v>
      </c>
      <c r="E8" s="10">
        <v>0.15</v>
      </c>
      <c r="F8">
        <v>7221.5</v>
      </c>
      <c r="G8">
        <v>5959</v>
      </c>
      <c r="H8">
        <v>4545</v>
      </c>
      <c r="I8">
        <v>6161</v>
      </c>
      <c r="J8" s="7">
        <v>30192</v>
      </c>
      <c r="K8" s="7">
        <v>35630</v>
      </c>
      <c r="L8" s="7">
        <v>34117</v>
      </c>
      <c r="M8" s="7">
        <v>25597</v>
      </c>
      <c r="N8" s="7">
        <v>23426</v>
      </c>
      <c r="O8" s="7">
        <v>21890</v>
      </c>
      <c r="P8" s="7">
        <v>31229</v>
      </c>
      <c r="Q8" s="7">
        <v>34093</v>
      </c>
      <c r="R8" s="7">
        <v>28849</v>
      </c>
      <c r="S8" s="7">
        <v>23972</v>
      </c>
      <c r="T8" s="14">
        <v>0.33</v>
      </c>
      <c r="U8" s="14">
        <v>0.37</v>
      </c>
      <c r="V8" s="14">
        <v>0.47</v>
      </c>
      <c r="W8" s="10">
        <v>0.32</v>
      </c>
      <c r="X8" s="10">
        <v>0.27</v>
      </c>
    </row>
    <row r="9" spans="1:24" x14ac:dyDescent="0.25">
      <c r="A9" s="7">
        <v>2025</v>
      </c>
      <c r="B9" s="7" t="s">
        <v>19</v>
      </c>
      <c r="C9" s="7">
        <v>9620</v>
      </c>
      <c r="D9" s="7">
        <v>5080</v>
      </c>
      <c r="E9" s="10">
        <v>0.16</v>
      </c>
      <c r="F9">
        <v>8938.5</v>
      </c>
      <c r="G9">
        <v>6060</v>
      </c>
      <c r="H9">
        <v>5050</v>
      </c>
      <c r="I9">
        <v>6363</v>
      </c>
      <c r="J9" s="7">
        <v>35662</v>
      </c>
      <c r="K9" s="7">
        <v>44346</v>
      </c>
      <c r="L9" s="7">
        <v>36069</v>
      </c>
      <c r="M9" s="7">
        <v>17107</v>
      </c>
      <c r="N9" s="7">
        <v>19982</v>
      </c>
      <c r="O9" s="7">
        <v>24628</v>
      </c>
      <c r="P9" s="7">
        <v>37241</v>
      </c>
      <c r="Q9" s="7">
        <v>31466</v>
      </c>
      <c r="R9" s="7">
        <v>23634</v>
      </c>
      <c r="S9" s="7">
        <v>22879</v>
      </c>
      <c r="T9" s="14">
        <v>0.65</v>
      </c>
      <c r="U9" s="14">
        <v>0.68</v>
      </c>
      <c r="V9" s="14">
        <v>0.49</v>
      </c>
      <c r="W9" s="10">
        <v>0.63</v>
      </c>
      <c r="X9" s="10">
        <v>0.58000000000000007</v>
      </c>
    </row>
    <row r="10" spans="1:24" x14ac:dyDescent="0.25">
      <c r="A10" s="7">
        <v>2025</v>
      </c>
      <c r="B10" s="7" t="s">
        <v>20</v>
      </c>
      <c r="C10" s="7">
        <v>9620</v>
      </c>
      <c r="D10" s="7">
        <v>4120</v>
      </c>
      <c r="E10" s="10">
        <v>0.08</v>
      </c>
      <c r="F10">
        <v>10372.700000000001</v>
      </c>
      <c r="G10">
        <v>7272</v>
      </c>
      <c r="H10">
        <v>5555</v>
      </c>
      <c r="I10">
        <v>7171</v>
      </c>
      <c r="J10" s="7">
        <v>33610</v>
      </c>
      <c r="K10" s="7">
        <v>47170</v>
      </c>
      <c r="L10" s="7">
        <v>43682</v>
      </c>
      <c r="M10" s="7">
        <v>17055</v>
      </c>
      <c r="N10" s="7">
        <v>19915</v>
      </c>
      <c r="O10" s="7">
        <v>30652</v>
      </c>
      <c r="P10" s="7">
        <v>39310</v>
      </c>
      <c r="Q10" s="7">
        <v>28760</v>
      </c>
      <c r="R10" s="7">
        <v>21834</v>
      </c>
      <c r="S10" s="7">
        <v>22740</v>
      </c>
      <c r="T10" s="14">
        <v>0.7</v>
      </c>
      <c r="U10" s="14">
        <v>0.72</v>
      </c>
      <c r="V10" s="14">
        <v>0.51</v>
      </c>
      <c r="W10" s="10">
        <v>0.66999999999999993</v>
      </c>
      <c r="X10" s="10">
        <v>0.62</v>
      </c>
    </row>
    <row r="11" spans="1:24" x14ac:dyDescent="0.25">
      <c r="A11" s="7">
        <v>2025</v>
      </c>
      <c r="B11" s="7" t="s">
        <v>21</v>
      </c>
      <c r="C11" s="7">
        <v>10270</v>
      </c>
      <c r="D11" s="7">
        <v>5496</v>
      </c>
      <c r="E11" s="10">
        <v>0.14000000000000001</v>
      </c>
      <c r="F11">
        <v>11079.7</v>
      </c>
      <c r="G11">
        <v>7827.5</v>
      </c>
      <c r="H11">
        <v>5050</v>
      </c>
      <c r="I11">
        <v>7676</v>
      </c>
      <c r="J11" s="7">
        <v>24123</v>
      </c>
      <c r="K11" s="7">
        <v>38184</v>
      </c>
      <c r="L11" s="7">
        <v>49500</v>
      </c>
      <c r="M11" s="7">
        <v>25194</v>
      </c>
      <c r="N11" s="7">
        <v>21174</v>
      </c>
      <c r="O11" s="7">
        <v>36033</v>
      </c>
      <c r="P11" s="7">
        <v>39496</v>
      </c>
      <c r="Q11" s="7">
        <v>23447</v>
      </c>
      <c r="R11" s="7">
        <v>20036</v>
      </c>
      <c r="S11" s="7">
        <v>25161</v>
      </c>
      <c r="T11" s="14">
        <v>0.83</v>
      </c>
      <c r="U11" s="14">
        <v>0.84</v>
      </c>
      <c r="V11" s="14">
        <v>0.53</v>
      </c>
      <c r="W11" s="10">
        <v>0.78999999999999992</v>
      </c>
      <c r="X11" s="10">
        <v>0.74</v>
      </c>
    </row>
    <row r="12" spans="1:24" x14ac:dyDescent="0.25">
      <c r="A12" s="7">
        <v>2025</v>
      </c>
      <c r="B12" s="7" t="s">
        <v>22</v>
      </c>
      <c r="C12" s="7">
        <v>10270</v>
      </c>
      <c r="D12" s="7">
        <v>6680</v>
      </c>
      <c r="E12" s="10">
        <v>0.16</v>
      </c>
      <c r="F12">
        <v>10837.3</v>
      </c>
      <c r="G12">
        <v>7019.5</v>
      </c>
      <c r="H12">
        <v>5555</v>
      </c>
      <c r="I12">
        <v>7272</v>
      </c>
      <c r="J12" s="7">
        <v>19319</v>
      </c>
      <c r="K12" s="7">
        <v>26910</v>
      </c>
      <c r="L12" s="7">
        <v>47133</v>
      </c>
      <c r="M12" s="7">
        <v>38235</v>
      </c>
      <c r="N12" s="7">
        <v>27042</v>
      </c>
      <c r="O12" s="7">
        <v>35598</v>
      </c>
      <c r="P12" s="7">
        <v>34070</v>
      </c>
      <c r="Q12" s="7">
        <v>21694</v>
      </c>
      <c r="R12" s="7">
        <v>20990</v>
      </c>
      <c r="S12" s="7">
        <v>28479</v>
      </c>
      <c r="T12" s="14">
        <v>0.9</v>
      </c>
      <c r="U12" s="14">
        <v>0.9</v>
      </c>
      <c r="V12" s="14">
        <v>0.84</v>
      </c>
      <c r="W12" s="10">
        <v>0.85</v>
      </c>
      <c r="X12" s="10">
        <v>0.8</v>
      </c>
    </row>
    <row r="13" spans="1:24" x14ac:dyDescent="0.25">
      <c r="A13" s="7">
        <v>2025</v>
      </c>
      <c r="B13" s="7" t="s">
        <v>23</v>
      </c>
      <c r="C13" s="7">
        <v>10970</v>
      </c>
      <c r="D13" s="7">
        <v>5000</v>
      </c>
      <c r="E13" s="10">
        <v>0.12</v>
      </c>
      <c r="F13">
        <v>9716.2000000000007</v>
      </c>
      <c r="G13">
        <v>6413.5</v>
      </c>
      <c r="H13">
        <v>4545</v>
      </c>
      <c r="I13">
        <v>6666</v>
      </c>
      <c r="J13" s="7">
        <v>20157</v>
      </c>
      <c r="K13" s="7">
        <v>21395</v>
      </c>
      <c r="L13" s="7">
        <v>37271</v>
      </c>
      <c r="M13" s="7">
        <v>43962</v>
      </c>
      <c r="N13" s="7">
        <v>32890</v>
      </c>
      <c r="O13" s="7">
        <v>31843</v>
      </c>
      <c r="P13" s="7">
        <v>26922</v>
      </c>
      <c r="Q13" s="7">
        <v>20419</v>
      </c>
      <c r="R13" s="7">
        <v>23808</v>
      </c>
      <c r="S13" s="7">
        <v>32786</v>
      </c>
      <c r="T13" s="14">
        <v>0.93</v>
      </c>
      <c r="U13" s="14">
        <v>0.93</v>
      </c>
      <c r="V13" s="14">
        <v>0.88</v>
      </c>
      <c r="W13" s="10">
        <v>0.88</v>
      </c>
      <c r="X13" s="10">
        <v>0.83000000000000007</v>
      </c>
    </row>
    <row r="14" spans="1:24" x14ac:dyDescent="0.25">
      <c r="A14" s="7">
        <v>2025</v>
      </c>
      <c r="B14" s="7" t="s">
        <v>24</v>
      </c>
      <c r="C14" s="7">
        <v>10970</v>
      </c>
      <c r="D14" s="7">
        <v>6400</v>
      </c>
      <c r="E14" s="10">
        <v>0.15</v>
      </c>
      <c r="F14">
        <v>5600</v>
      </c>
      <c r="G14">
        <v>8500</v>
      </c>
      <c r="H14">
        <v>5200</v>
      </c>
      <c r="I14">
        <v>7500</v>
      </c>
      <c r="J14" s="7">
        <v>26580</v>
      </c>
      <c r="K14" s="7">
        <v>20295</v>
      </c>
      <c r="L14" s="7">
        <v>24594</v>
      </c>
      <c r="M14" s="7">
        <v>40417</v>
      </c>
      <c r="N14" s="7">
        <v>39835</v>
      </c>
      <c r="O14" s="7">
        <v>27075</v>
      </c>
      <c r="P14" s="7">
        <v>23262</v>
      </c>
      <c r="Q14" s="7">
        <v>21889</v>
      </c>
      <c r="R14" s="7">
        <v>28863</v>
      </c>
      <c r="S14" s="7">
        <v>36582</v>
      </c>
      <c r="T14" s="14">
        <v>1</v>
      </c>
      <c r="U14" s="14">
        <v>1</v>
      </c>
      <c r="V14" s="14">
        <v>1</v>
      </c>
      <c r="W14" s="10">
        <v>0.95</v>
      </c>
      <c r="X14" s="10">
        <v>0.9</v>
      </c>
    </row>
    <row r="15" spans="1:24" x14ac:dyDescent="0.25">
      <c r="A15" s="7">
        <v>2026</v>
      </c>
      <c r="B15" s="7" t="s">
        <v>13</v>
      </c>
      <c r="C15" s="7">
        <v>8333</v>
      </c>
      <c r="D15" s="7">
        <v>4500</v>
      </c>
      <c r="E15" s="10">
        <v>0.16</v>
      </c>
      <c r="F15">
        <v>5000</v>
      </c>
      <c r="G15">
        <v>8200</v>
      </c>
      <c r="H15">
        <v>5350</v>
      </c>
      <c r="I15">
        <v>7600</v>
      </c>
      <c r="J15" s="7">
        <v>36741</v>
      </c>
      <c r="K15" s="7">
        <v>24078</v>
      </c>
      <c r="L15" s="7">
        <v>15139</v>
      </c>
      <c r="M15" s="7">
        <v>29492</v>
      </c>
      <c r="N15" s="7">
        <v>45372</v>
      </c>
      <c r="O15" s="7">
        <v>23004</v>
      </c>
      <c r="P15" s="7">
        <v>21742</v>
      </c>
      <c r="Q15" s="7">
        <v>26701</v>
      </c>
      <c r="R15" s="7">
        <v>34641</v>
      </c>
      <c r="S15" s="7">
        <v>36988</v>
      </c>
      <c r="T15" s="14">
        <v>0.05</v>
      </c>
      <c r="U15" s="14">
        <v>0.21</v>
      </c>
      <c r="V15" s="14">
        <v>0.13</v>
      </c>
      <c r="W15" s="10">
        <v>0.15999999999999998</v>
      </c>
      <c r="X15" s="10">
        <v>0.10999999999999999</v>
      </c>
    </row>
    <row r="16" spans="1:24" x14ac:dyDescent="0.25">
      <c r="A16" s="7">
        <v>2026</v>
      </c>
      <c r="B16" s="7" t="s">
        <v>14</v>
      </c>
      <c r="C16" s="7">
        <v>10021</v>
      </c>
      <c r="D16" s="7">
        <v>5311</v>
      </c>
      <c r="E16" s="10">
        <v>0.12</v>
      </c>
      <c r="F16">
        <v>5900</v>
      </c>
      <c r="G16">
        <v>6700</v>
      </c>
      <c r="H16">
        <v>4100</v>
      </c>
      <c r="I16">
        <v>6900</v>
      </c>
      <c r="J16" s="7">
        <v>44641</v>
      </c>
      <c r="K16" s="7">
        <v>29129</v>
      </c>
      <c r="L16" s="7">
        <v>12241</v>
      </c>
      <c r="M16" s="7">
        <v>20588</v>
      </c>
      <c r="N16" s="7">
        <v>47242</v>
      </c>
      <c r="O16" s="7">
        <v>21807</v>
      </c>
      <c r="P16" s="7">
        <v>25386</v>
      </c>
      <c r="Q16" s="7">
        <v>32377</v>
      </c>
      <c r="R16" s="7">
        <v>35110</v>
      </c>
      <c r="S16" s="7">
        <v>33712</v>
      </c>
      <c r="T16" s="14">
        <v>7.0000000000000007E-2</v>
      </c>
      <c r="U16" s="14">
        <v>0.23</v>
      </c>
      <c r="V16" s="14">
        <v>0.17</v>
      </c>
      <c r="W16" s="10">
        <v>0.18</v>
      </c>
      <c r="X16" s="10">
        <v>0.13</v>
      </c>
    </row>
    <row r="17" spans="1:24" x14ac:dyDescent="0.25">
      <c r="A17" s="7">
        <v>2026</v>
      </c>
      <c r="B17" s="7" t="s">
        <v>15</v>
      </c>
      <c r="C17" s="7">
        <v>11177</v>
      </c>
      <c r="D17" s="7">
        <v>6147</v>
      </c>
      <c r="E17" s="10">
        <v>0.14000000000000001</v>
      </c>
      <c r="F17">
        <v>7300</v>
      </c>
      <c r="G17">
        <v>6000</v>
      </c>
      <c r="H17">
        <v>4700</v>
      </c>
      <c r="I17">
        <v>6100</v>
      </c>
      <c r="J17" s="7">
        <v>47045</v>
      </c>
      <c r="K17" s="7">
        <v>28461</v>
      </c>
      <c r="L17" s="7">
        <v>11777</v>
      </c>
      <c r="M17" s="7">
        <v>18531</v>
      </c>
      <c r="N17" s="7">
        <v>43860</v>
      </c>
      <c r="O17" s="7">
        <v>23365</v>
      </c>
      <c r="P17" s="7">
        <v>32143</v>
      </c>
      <c r="Q17" s="7">
        <v>35259</v>
      </c>
      <c r="R17" s="7">
        <v>30966</v>
      </c>
      <c r="S17" s="7">
        <v>27789</v>
      </c>
      <c r="T17" s="14">
        <v>0.18</v>
      </c>
      <c r="U17" s="14">
        <v>0.35</v>
      </c>
      <c r="V17" s="14">
        <v>0.21</v>
      </c>
      <c r="W17" s="10">
        <v>0.3</v>
      </c>
      <c r="X17" s="10">
        <v>0.24999999999999997</v>
      </c>
    </row>
    <row r="18" spans="1:24" x14ac:dyDescent="0.25">
      <c r="A18" s="7">
        <v>2026</v>
      </c>
      <c r="B18" s="7" t="s">
        <v>16</v>
      </c>
      <c r="C18" s="7">
        <v>11427</v>
      </c>
      <c r="D18" s="7">
        <v>5256</v>
      </c>
      <c r="E18" s="10">
        <v>0.15</v>
      </c>
      <c r="F18">
        <v>9000</v>
      </c>
      <c r="G18">
        <v>6200</v>
      </c>
      <c r="H18">
        <v>5200</v>
      </c>
      <c r="I18">
        <v>6400</v>
      </c>
      <c r="J18" s="7">
        <v>42282</v>
      </c>
      <c r="K18" s="7">
        <v>21596</v>
      </c>
      <c r="L18" s="7">
        <v>15999</v>
      </c>
      <c r="M18" s="7">
        <v>24249</v>
      </c>
      <c r="N18" s="7">
        <v>37349</v>
      </c>
      <c r="O18" s="7">
        <v>27254</v>
      </c>
      <c r="P18" s="7">
        <v>35678</v>
      </c>
      <c r="Q18" s="7">
        <v>33791</v>
      </c>
      <c r="R18" s="7">
        <v>24328</v>
      </c>
      <c r="S18" s="7">
        <v>22394</v>
      </c>
      <c r="T18" s="14">
        <v>0.2</v>
      </c>
      <c r="U18" s="14">
        <v>0.37</v>
      </c>
      <c r="V18" s="14">
        <v>0.37</v>
      </c>
      <c r="W18" s="10">
        <v>0.32</v>
      </c>
      <c r="X18" s="10">
        <v>0.27</v>
      </c>
    </row>
    <row r="19" spans="1:24" x14ac:dyDescent="0.25">
      <c r="A19" s="7">
        <v>2026</v>
      </c>
      <c r="B19" s="7" t="s">
        <v>17</v>
      </c>
      <c r="C19" s="7">
        <v>10698</v>
      </c>
      <c r="D19" s="7">
        <v>4921</v>
      </c>
      <c r="E19" s="10">
        <v>0.16</v>
      </c>
      <c r="F19">
        <v>10100</v>
      </c>
      <c r="G19">
        <v>7400</v>
      </c>
      <c r="H19">
        <v>5700</v>
      </c>
      <c r="I19">
        <v>7300</v>
      </c>
      <c r="J19" s="7">
        <v>33241</v>
      </c>
      <c r="K19" s="7">
        <v>18347</v>
      </c>
      <c r="L19" s="7">
        <v>26491</v>
      </c>
      <c r="M19" s="7">
        <v>34593</v>
      </c>
      <c r="N19" s="7">
        <v>32728</v>
      </c>
      <c r="O19" s="7">
        <v>31971</v>
      </c>
      <c r="P19" s="7">
        <v>38166</v>
      </c>
      <c r="Q19" s="7">
        <v>28748</v>
      </c>
      <c r="R19" s="7">
        <v>21311</v>
      </c>
      <c r="S19" s="7">
        <v>21286</v>
      </c>
      <c r="T19" s="14">
        <v>0.22</v>
      </c>
      <c r="U19" s="14">
        <v>0.39</v>
      </c>
      <c r="V19" s="14">
        <v>0.39</v>
      </c>
      <c r="W19" s="10">
        <v>0.34</v>
      </c>
      <c r="X19" s="10">
        <v>0.29000000000000004</v>
      </c>
    </row>
    <row r="20" spans="1:24" x14ac:dyDescent="0.25">
      <c r="A20" s="7">
        <v>2026</v>
      </c>
      <c r="B20" s="7" t="s">
        <v>18</v>
      </c>
      <c r="C20" s="7">
        <v>9219</v>
      </c>
      <c r="D20" s="7">
        <v>5070</v>
      </c>
      <c r="E20" s="10">
        <v>0.15</v>
      </c>
      <c r="F20">
        <v>11100</v>
      </c>
      <c r="G20">
        <v>7900</v>
      </c>
      <c r="H20">
        <v>5250</v>
      </c>
      <c r="I20">
        <v>7800</v>
      </c>
      <c r="J20" s="7">
        <v>23786</v>
      </c>
      <c r="K20" s="7">
        <v>20762</v>
      </c>
      <c r="L20" s="7">
        <v>36437</v>
      </c>
      <c r="M20" s="7">
        <v>44407</v>
      </c>
      <c r="N20" s="7">
        <v>30687</v>
      </c>
      <c r="O20" s="7">
        <v>35146</v>
      </c>
      <c r="P20" s="7">
        <v>37155</v>
      </c>
      <c r="Q20" s="7">
        <v>24002</v>
      </c>
      <c r="R20" s="7">
        <v>20256</v>
      </c>
      <c r="S20" s="7">
        <v>23609</v>
      </c>
      <c r="T20" s="14">
        <v>0.24</v>
      </c>
      <c r="U20" s="14">
        <v>0.41</v>
      </c>
      <c r="V20" s="14">
        <v>0.51</v>
      </c>
      <c r="W20" s="10">
        <v>0.36</v>
      </c>
      <c r="X20" s="10">
        <v>0.30999999999999994</v>
      </c>
    </row>
    <row r="21" spans="1:24" x14ac:dyDescent="0.25">
      <c r="A21" s="7">
        <v>2026</v>
      </c>
      <c r="B21" s="7" t="s">
        <v>19</v>
      </c>
      <c r="C21" s="7">
        <v>7448</v>
      </c>
      <c r="D21" s="7">
        <v>4022</v>
      </c>
      <c r="E21" s="10">
        <v>0.11</v>
      </c>
      <c r="F21">
        <v>10900</v>
      </c>
      <c r="G21">
        <v>7100</v>
      </c>
      <c r="H21">
        <v>5750</v>
      </c>
      <c r="I21">
        <v>7400</v>
      </c>
      <c r="J21" s="7">
        <v>17645</v>
      </c>
      <c r="K21" s="7">
        <v>26785</v>
      </c>
      <c r="L21" s="7">
        <v>42604</v>
      </c>
      <c r="M21" s="7">
        <v>44339</v>
      </c>
      <c r="N21" s="7">
        <v>29559</v>
      </c>
      <c r="O21" s="7">
        <v>34015</v>
      </c>
      <c r="P21" s="7">
        <v>30473</v>
      </c>
      <c r="Q21" s="7">
        <v>21283</v>
      </c>
      <c r="R21" s="7">
        <v>22806</v>
      </c>
      <c r="S21" s="7">
        <v>28897</v>
      </c>
      <c r="T21" s="14">
        <v>0.56000000000000005</v>
      </c>
      <c r="U21" s="14">
        <v>0.72</v>
      </c>
      <c r="V21" s="14">
        <v>0.53</v>
      </c>
      <c r="W21" s="10">
        <v>0.66999999999999993</v>
      </c>
      <c r="X21" s="10">
        <v>0.62</v>
      </c>
    </row>
    <row r="22" spans="1:24" x14ac:dyDescent="0.25">
      <c r="A22" s="7">
        <v>2026</v>
      </c>
      <c r="B22" s="7" t="s">
        <v>20</v>
      </c>
      <c r="C22" s="7">
        <v>5969</v>
      </c>
      <c r="D22" s="7">
        <v>3462</v>
      </c>
      <c r="E22" s="10">
        <v>0.09</v>
      </c>
      <c r="F22">
        <v>9800</v>
      </c>
      <c r="G22">
        <v>6500</v>
      </c>
      <c r="H22">
        <v>4800</v>
      </c>
      <c r="I22">
        <v>6800</v>
      </c>
      <c r="J22" s="7">
        <v>17175</v>
      </c>
      <c r="K22" s="7">
        <v>34653</v>
      </c>
      <c r="L22" s="7">
        <v>42977</v>
      </c>
      <c r="M22" s="7">
        <v>36763</v>
      </c>
      <c r="N22" s="7">
        <v>26658</v>
      </c>
      <c r="O22" s="7">
        <v>28791</v>
      </c>
      <c r="P22" s="7">
        <v>23869</v>
      </c>
      <c r="Q22" s="7">
        <v>21773</v>
      </c>
      <c r="R22" s="7">
        <v>28334</v>
      </c>
      <c r="S22" s="7">
        <v>33156</v>
      </c>
      <c r="T22" s="14">
        <v>0.6</v>
      </c>
      <c r="U22" s="14">
        <v>0.76</v>
      </c>
      <c r="V22" s="14">
        <v>0.55000000000000004</v>
      </c>
      <c r="W22" s="10">
        <v>0.71</v>
      </c>
      <c r="X22" s="10">
        <v>0.66</v>
      </c>
    </row>
    <row r="23" spans="1:24" x14ac:dyDescent="0.25">
      <c r="A23" s="7">
        <v>2026</v>
      </c>
      <c r="B23" s="7" t="s">
        <v>21</v>
      </c>
      <c r="C23" s="7">
        <v>5240</v>
      </c>
      <c r="D23" s="7">
        <v>2987</v>
      </c>
      <c r="E23" s="10">
        <v>0.11</v>
      </c>
      <c r="F23">
        <v>8200</v>
      </c>
      <c r="G23">
        <v>7000</v>
      </c>
      <c r="H23">
        <v>5300</v>
      </c>
      <c r="I23">
        <v>7200</v>
      </c>
      <c r="J23" s="7">
        <v>21736</v>
      </c>
      <c r="K23" s="7">
        <v>42224</v>
      </c>
      <c r="L23" s="7">
        <v>45800</v>
      </c>
      <c r="M23" s="7">
        <v>30277</v>
      </c>
      <c r="N23" s="7">
        <v>18212</v>
      </c>
      <c r="O23" s="7">
        <v>35847</v>
      </c>
      <c r="P23" s="7">
        <v>32370</v>
      </c>
      <c r="Q23" s="7">
        <v>27171</v>
      </c>
      <c r="R23" s="7">
        <v>25453</v>
      </c>
      <c r="S23" s="7">
        <v>22096</v>
      </c>
      <c r="T23" s="14">
        <v>0.72</v>
      </c>
      <c r="U23" s="14">
        <v>0.88</v>
      </c>
      <c r="V23" s="14">
        <v>0.56999999999999995</v>
      </c>
      <c r="W23" s="10">
        <v>0.83</v>
      </c>
      <c r="X23" s="10">
        <v>0.78</v>
      </c>
    </row>
    <row r="24" spans="1:24" x14ac:dyDescent="0.25">
      <c r="A24" s="7">
        <v>2026</v>
      </c>
      <c r="B24" s="7" t="s">
        <v>22</v>
      </c>
      <c r="C24" s="7">
        <v>5490</v>
      </c>
      <c r="D24" s="7">
        <v>3020</v>
      </c>
      <c r="E24" s="10">
        <v>0.17</v>
      </c>
      <c r="F24">
        <v>6700</v>
      </c>
      <c r="G24">
        <v>8100</v>
      </c>
      <c r="H24">
        <v>5000</v>
      </c>
      <c r="I24">
        <v>8000</v>
      </c>
      <c r="J24" s="7">
        <v>24574</v>
      </c>
      <c r="K24" s="7">
        <v>47145</v>
      </c>
      <c r="L24" s="7">
        <v>43193</v>
      </c>
      <c r="M24" s="7">
        <v>21438</v>
      </c>
      <c r="N24" s="7">
        <v>15732</v>
      </c>
      <c r="O24" s="7">
        <v>24245</v>
      </c>
      <c r="P24" s="7">
        <v>21755</v>
      </c>
      <c r="Q24" s="7">
        <v>26109</v>
      </c>
      <c r="R24" s="7">
        <v>33516</v>
      </c>
      <c r="S24" s="7">
        <v>36213</v>
      </c>
      <c r="T24" s="14">
        <v>0.78</v>
      </c>
      <c r="U24" s="14">
        <v>0.94</v>
      </c>
      <c r="V24" s="14">
        <v>0.88</v>
      </c>
      <c r="W24" s="10">
        <v>0.8899999999999999</v>
      </c>
      <c r="X24" s="10">
        <v>0.84</v>
      </c>
    </row>
    <row r="25" spans="1:24" x14ac:dyDescent="0.25">
      <c r="A25" s="7">
        <v>2026</v>
      </c>
      <c r="B25" s="7" t="s">
        <v>23</v>
      </c>
      <c r="C25" s="7">
        <v>6646</v>
      </c>
      <c r="D25" s="7">
        <v>3722</v>
      </c>
      <c r="E25" s="10">
        <v>0.1</v>
      </c>
      <c r="F25">
        <v>5450</v>
      </c>
      <c r="G25">
        <v>8800</v>
      </c>
      <c r="H25">
        <v>5300</v>
      </c>
      <c r="I25">
        <v>7700</v>
      </c>
      <c r="J25" s="7">
        <v>29431</v>
      </c>
      <c r="K25" s="7">
        <v>47286</v>
      </c>
      <c r="L25" s="7">
        <v>37787</v>
      </c>
      <c r="M25" s="7">
        <v>15420</v>
      </c>
      <c r="N25" s="7">
        <v>16644</v>
      </c>
      <c r="O25" s="7">
        <v>22468</v>
      </c>
      <c r="P25" s="7">
        <v>25573</v>
      </c>
      <c r="Q25" s="7">
        <v>31289</v>
      </c>
      <c r="R25" s="7">
        <v>34812</v>
      </c>
      <c r="S25" s="7">
        <v>34888</v>
      </c>
      <c r="T25" s="14">
        <v>0.81</v>
      </c>
      <c r="U25" s="14">
        <v>0.97</v>
      </c>
      <c r="V25" s="14">
        <v>0.92</v>
      </c>
      <c r="W25" s="10">
        <v>0.91999999999999993</v>
      </c>
      <c r="X25" s="10">
        <v>0.87</v>
      </c>
    </row>
    <row r="26" spans="1:24" x14ac:dyDescent="0.25">
      <c r="A26" s="7">
        <v>2026</v>
      </c>
      <c r="B26" s="7" t="s">
        <v>24</v>
      </c>
      <c r="C26" s="7">
        <v>8333</v>
      </c>
      <c r="D26" s="7">
        <v>3750</v>
      </c>
      <c r="E26" s="10">
        <v>0.15</v>
      </c>
      <c r="F26">
        <v>8181</v>
      </c>
      <c r="G26">
        <v>6969</v>
      </c>
      <c r="H26">
        <v>5151</v>
      </c>
      <c r="I26">
        <v>7171</v>
      </c>
      <c r="J26" s="7">
        <v>32768</v>
      </c>
      <c r="K26" s="7">
        <v>44020</v>
      </c>
      <c r="L26" s="7">
        <v>32520</v>
      </c>
      <c r="M26" s="7">
        <v>13741</v>
      </c>
      <c r="N26" s="7">
        <v>20993</v>
      </c>
      <c r="O26" s="7">
        <v>23190</v>
      </c>
      <c r="P26" s="7">
        <v>30064</v>
      </c>
      <c r="Q26" s="7">
        <v>34157</v>
      </c>
      <c r="R26" s="7">
        <v>31956</v>
      </c>
      <c r="S26" s="7">
        <v>30683</v>
      </c>
      <c r="T26" s="14">
        <v>0.88</v>
      </c>
      <c r="U26" s="14">
        <v>1</v>
      </c>
      <c r="V26" s="14">
        <v>1</v>
      </c>
      <c r="W26" s="10">
        <v>0.95</v>
      </c>
      <c r="X26" s="10">
        <v>0.9</v>
      </c>
    </row>
    <row r="27" spans="1:24" x14ac:dyDescent="0.25">
      <c r="A27" s="7">
        <v>2027</v>
      </c>
      <c r="B27" s="7" t="s">
        <v>13</v>
      </c>
      <c r="C27" s="7">
        <v>7857</v>
      </c>
      <c r="D27" s="7">
        <v>4007</v>
      </c>
      <c r="E27" s="10">
        <v>0.16</v>
      </c>
      <c r="F27">
        <v>6666</v>
      </c>
      <c r="G27">
        <v>7878</v>
      </c>
      <c r="H27">
        <v>4797.5</v>
      </c>
      <c r="I27">
        <v>7979</v>
      </c>
      <c r="J27" s="7">
        <v>31692</v>
      </c>
      <c r="K27" s="7">
        <v>36106</v>
      </c>
      <c r="L27" s="7">
        <v>31104</v>
      </c>
      <c r="M27" s="7">
        <v>17288</v>
      </c>
      <c r="N27" s="7">
        <v>27818</v>
      </c>
      <c r="O27" s="7">
        <v>26101</v>
      </c>
      <c r="P27" s="7">
        <v>34899</v>
      </c>
      <c r="Q27" s="7">
        <v>33653</v>
      </c>
      <c r="R27" s="7">
        <v>27219</v>
      </c>
      <c r="S27" s="7">
        <v>24998</v>
      </c>
      <c r="T27" s="14">
        <v>0.09</v>
      </c>
      <c r="U27" s="14">
        <v>0.05</v>
      </c>
      <c r="V27" s="14">
        <v>0.05</v>
      </c>
      <c r="W27" s="10">
        <v>0</v>
      </c>
      <c r="X27" s="10">
        <v>0.05</v>
      </c>
    </row>
    <row r="28" spans="1:24" x14ac:dyDescent="0.25">
      <c r="A28" s="7">
        <v>2027</v>
      </c>
      <c r="B28" s="7" t="s">
        <v>14</v>
      </c>
      <c r="C28" s="7">
        <v>7337</v>
      </c>
      <c r="D28" s="7">
        <v>4182</v>
      </c>
      <c r="E28" s="10">
        <v>0.16</v>
      </c>
      <c r="F28">
        <v>5656</v>
      </c>
      <c r="G28">
        <v>8585</v>
      </c>
      <c r="H28">
        <v>5252</v>
      </c>
      <c r="I28">
        <v>7575</v>
      </c>
      <c r="J28" s="7">
        <v>26597</v>
      </c>
      <c r="K28" s="7">
        <v>26485</v>
      </c>
      <c r="L28" s="7">
        <v>35586</v>
      </c>
      <c r="M28" s="7">
        <v>25217</v>
      </c>
      <c r="N28" s="7">
        <v>34949</v>
      </c>
      <c r="O28" s="7">
        <v>30219</v>
      </c>
      <c r="P28" s="7">
        <v>36544</v>
      </c>
      <c r="Q28" s="7">
        <v>29372</v>
      </c>
      <c r="R28" s="7">
        <v>23101</v>
      </c>
      <c r="S28" s="7">
        <v>22890</v>
      </c>
      <c r="T28" s="14">
        <v>0.11</v>
      </c>
      <c r="U28" s="14">
        <v>0.25</v>
      </c>
      <c r="V28" s="14">
        <v>0.17</v>
      </c>
      <c r="W28" s="10">
        <v>0.2</v>
      </c>
      <c r="X28" s="10">
        <v>0.15</v>
      </c>
    </row>
    <row r="29" spans="1:24" x14ac:dyDescent="0.25">
      <c r="A29" s="7">
        <v>2027</v>
      </c>
      <c r="B29" s="7" t="s">
        <v>15</v>
      </c>
      <c r="C29" s="7">
        <v>8030</v>
      </c>
      <c r="D29" s="7">
        <v>3292</v>
      </c>
      <c r="E29" s="10">
        <v>0.11</v>
      </c>
      <c r="F29">
        <v>5050</v>
      </c>
      <c r="G29">
        <v>8282</v>
      </c>
      <c r="H29">
        <v>5403.5</v>
      </c>
      <c r="I29">
        <v>7676</v>
      </c>
      <c r="J29" s="7">
        <v>21055</v>
      </c>
      <c r="K29" s="7">
        <v>20257</v>
      </c>
      <c r="L29" s="7">
        <v>42245</v>
      </c>
      <c r="M29" s="7">
        <v>33635</v>
      </c>
      <c r="N29" s="7">
        <v>39292</v>
      </c>
      <c r="O29" s="7">
        <v>33486</v>
      </c>
      <c r="P29" s="7">
        <v>35748</v>
      </c>
      <c r="Q29" s="7">
        <v>24536</v>
      </c>
      <c r="R29" s="7">
        <v>21034</v>
      </c>
      <c r="S29" s="7">
        <v>23892</v>
      </c>
      <c r="T29" s="14">
        <v>0.23</v>
      </c>
      <c r="U29" s="14">
        <v>0.27</v>
      </c>
      <c r="V29" s="14">
        <v>0.21</v>
      </c>
      <c r="W29" s="10">
        <v>0.22000000000000003</v>
      </c>
      <c r="X29" s="10">
        <v>0.17</v>
      </c>
    </row>
    <row r="30" spans="1:24" x14ac:dyDescent="0.25">
      <c r="A30" s="7">
        <v>2027</v>
      </c>
      <c r="B30" s="7" t="s">
        <v>16</v>
      </c>
      <c r="C30" s="7">
        <v>8954</v>
      </c>
      <c r="D30" s="7">
        <v>4656</v>
      </c>
      <c r="E30" s="10">
        <v>0.11</v>
      </c>
      <c r="F30">
        <v>5959</v>
      </c>
      <c r="G30">
        <v>6767</v>
      </c>
      <c r="H30">
        <v>4141</v>
      </c>
      <c r="I30">
        <v>6969</v>
      </c>
      <c r="J30" s="7">
        <v>18012</v>
      </c>
      <c r="K30" s="7">
        <v>20871</v>
      </c>
      <c r="L30" s="7">
        <v>45197</v>
      </c>
      <c r="M30" s="7">
        <v>39789</v>
      </c>
      <c r="N30" s="7">
        <v>38565</v>
      </c>
      <c r="O30" s="7">
        <v>34991</v>
      </c>
      <c r="P30" s="7">
        <v>30400</v>
      </c>
      <c r="Q30" s="7">
        <v>21062</v>
      </c>
      <c r="R30" s="7">
        <v>22553</v>
      </c>
      <c r="S30" s="7">
        <v>27687</v>
      </c>
      <c r="T30" s="14">
        <v>0.25</v>
      </c>
      <c r="U30" s="14">
        <v>0.39</v>
      </c>
      <c r="V30" s="14">
        <v>0.25</v>
      </c>
      <c r="W30" s="10">
        <v>0.34</v>
      </c>
      <c r="X30" s="10">
        <v>0.29000000000000004</v>
      </c>
    </row>
    <row r="31" spans="1:24" x14ac:dyDescent="0.25">
      <c r="A31" s="7">
        <v>2027</v>
      </c>
      <c r="B31" s="7" t="s">
        <v>17</v>
      </c>
      <c r="C31" s="7">
        <v>8319</v>
      </c>
      <c r="D31" s="7">
        <v>4492</v>
      </c>
      <c r="E31" s="10">
        <v>0.09</v>
      </c>
      <c r="F31">
        <v>7373</v>
      </c>
      <c r="G31">
        <v>6060</v>
      </c>
      <c r="H31">
        <v>4747</v>
      </c>
      <c r="I31">
        <v>6161</v>
      </c>
      <c r="J31" s="7">
        <v>19402</v>
      </c>
      <c r="K31" s="7">
        <v>26627</v>
      </c>
      <c r="L31" s="7">
        <v>42893</v>
      </c>
      <c r="M31" s="7">
        <v>40858</v>
      </c>
      <c r="N31" s="7">
        <v>33890</v>
      </c>
      <c r="O31" s="7">
        <v>32155</v>
      </c>
      <c r="P31" s="7">
        <v>24688</v>
      </c>
      <c r="Q31" s="7">
        <v>21686</v>
      </c>
      <c r="R31" s="7">
        <v>27311</v>
      </c>
      <c r="S31" s="7">
        <v>31055</v>
      </c>
      <c r="T31" s="14">
        <v>0.27</v>
      </c>
      <c r="U31" s="14">
        <v>0.41</v>
      </c>
      <c r="V31" s="14">
        <v>0.41</v>
      </c>
      <c r="W31" s="10">
        <v>0.36</v>
      </c>
      <c r="X31" s="10">
        <v>0.30999999999999994</v>
      </c>
    </row>
    <row r="32" spans="1:24" x14ac:dyDescent="0.25">
      <c r="A32" s="7">
        <v>2027</v>
      </c>
      <c r="B32" s="7" t="s">
        <v>18</v>
      </c>
      <c r="C32" s="7">
        <v>6932</v>
      </c>
      <c r="D32" s="7">
        <v>3327</v>
      </c>
      <c r="E32" s="10">
        <v>0.1</v>
      </c>
      <c r="F32">
        <v>9090</v>
      </c>
      <c r="G32">
        <v>6262</v>
      </c>
      <c r="H32">
        <v>5252</v>
      </c>
      <c r="I32">
        <v>6464</v>
      </c>
      <c r="J32" s="7">
        <v>24530</v>
      </c>
      <c r="K32" s="7">
        <v>31782</v>
      </c>
      <c r="L32" s="7">
        <v>36376</v>
      </c>
      <c r="M32" s="7">
        <v>35861</v>
      </c>
      <c r="N32" s="7">
        <v>27116</v>
      </c>
      <c r="O32" s="7">
        <v>28030</v>
      </c>
      <c r="P32" s="7">
        <v>21503</v>
      </c>
      <c r="Q32" s="7">
        <v>24869</v>
      </c>
      <c r="R32" s="7">
        <v>32877</v>
      </c>
      <c r="S32" s="7">
        <v>33387</v>
      </c>
      <c r="T32" s="14">
        <v>0.28999999999999998</v>
      </c>
      <c r="U32" s="14">
        <v>0.43</v>
      </c>
      <c r="V32" s="14">
        <v>0.43</v>
      </c>
      <c r="W32" s="10">
        <v>0.38</v>
      </c>
      <c r="X32" s="10">
        <v>0.32999999999999996</v>
      </c>
    </row>
    <row r="33" spans="1:24" x14ac:dyDescent="0.25">
      <c r="A33" s="7">
        <v>2027</v>
      </c>
      <c r="B33" s="7" t="s">
        <v>19</v>
      </c>
      <c r="C33" s="7">
        <v>6817</v>
      </c>
      <c r="D33" s="7">
        <v>3340</v>
      </c>
      <c r="E33" s="10">
        <v>0.12</v>
      </c>
      <c r="F33">
        <v>10201</v>
      </c>
      <c r="G33">
        <v>7474</v>
      </c>
      <c r="H33">
        <v>5757</v>
      </c>
      <c r="I33">
        <v>7373</v>
      </c>
      <c r="J33" s="7">
        <v>30449</v>
      </c>
      <c r="K33" s="7">
        <v>33114</v>
      </c>
      <c r="L33" s="7">
        <v>28285</v>
      </c>
      <c r="M33" s="7">
        <v>26959</v>
      </c>
      <c r="N33" s="7">
        <v>21270</v>
      </c>
      <c r="O33" s="7">
        <v>24653</v>
      </c>
      <c r="P33" s="7">
        <v>22626</v>
      </c>
      <c r="Q33" s="7">
        <v>30513</v>
      </c>
      <c r="R33" s="7">
        <v>36461</v>
      </c>
      <c r="S33" s="7">
        <v>32248</v>
      </c>
      <c r="T33" s="14">
        <v>0.6</v>
      </c>
      <c r="U33" s="14">
        <v>0.45</v>
      </c>
      <c r="V33" s="14">
        <v>0.55000000000000004</v>
      </c>
      <c r="W33" s="10">
        <v>0.4</v>
      </c>
      <c r="X33" s="10">
        <v>0.35</v>
      </c>
    </row>
    <row r="34" spans="1:24" x14ac:dyDescent="0.25">
      <c r="A34" s="7">
        <v>2027</v>
      </c>
      <c r="B34" s="7" t="s">
        <v>20</v>
      </c>
      <c r="C34" s="7">
        <v>7741</v>
      </c>
      <c r="D34" s="7">
        <v>3251</v>
      </c>
      <c r="E34" s="10">
        <v>0.11</v>
      </c>
      <c r="F34">
        <v>11211</v>
      </c>
      <c r="G34">
        <v>7979</v>
      </c>
      <c r="H34">
        <v>5302.5</v>
      </c>
      <c r="I34">
        <v>7878</v>
      </c>
      <c r="J34" s="7">
        <v>35455</v>
      </c>
      <c r="K34" s="7">
        <v>30156</v>
      </c>
      <c r="L34" s="7">
        <v>22212</v>
      </c>
      <c r="M34" s="7">
        <v>20725</v>
      </c>
      <c r="N34" s="7">
        <v>19318</v>
      </c>
      <c r="O34" s="7">
        <v>22793</v>
      </c>
      <c r="P34" s="7">
        <v>27717</v>
      </c>
      <c r="Q34" s="7">
        <v>34500</v>
      </c>
      <c r="R34" s="7">
        <v>35696</v>
      </c>
      <c r="S34" s="7">
        <v>29072</v>
      </c>
      <c r="T34" s="14">
        <v>0.64</v>
      </c>
      <c r="U34" s="14">
        <v>0.76</v>
      </c>
      <c r="V34" s="14">
        <v>0.56999999999999995</v>
      </c>
      <c r="W34" s="10">
        <v>0.71</v>
      </c>
      <c r="X34" s="10">
        <v>0.66</v>
      </c>
    </row>
    <row r="35" spans="1:24" x14ac:dyDescent="0.25">
      <c r="A35" s="7">
        <v>2027</v>
      </c>
      <c r="B35" s="7" t="s">
        <v>21</v>
      </c>
      <c r="C35" s="7">
        <v>9474</v>
      </c>
      <c r="D35" s="7">
        <v>4074</v>
      </c>
      <c r="E35" s="10">
        <v>0.16</v>
      </c>
      <c r="F35">
        <v>11009</v>
      </c>
      <c r="G35">
        <v>7171</v>
      </c>
      <c r="H35">
        <v>5807.5</v>
      </c>
      <c r="I35">
        <v>7474</v>
      </c>
      <c r="J35" s="7">
        <v>37333</v>
      </c>
      <c r="K35" s="7">
        <v>27074</v>
      </c>
      <c r="L35" s="7">
        <v>19522</v>
      </c>
      <c r="M35" s="7">
        <v>19704</v>
      </c>
      <c r="N35" s="7">
        <v>21882</v>
      </c>
      <c r="O35" s="7">
        <v>24418</v>
      </c>
      <c r="P35" s="7">
        <v>33610</v>
      </c>
      <c r="Q35" s="7">
        <v>35721</v>
      </c>
      <c r="R35" s="7">
        <v>31222</v>
      </c>
      <c r="S35" s="7">
        <v>25283</v>
      </c>
      <c r="T35" s="14">
        <v>0.76</v>
      </c>
      <c r="U35" s="14">
        <v>0.8</v>
      </c>
      <c r="V35" s="14">
        <v>0.59</v>
      </c>
      <c r="W35" s="10">
        <v>0.75</v>
      </c>
      <c r="X35" s="10">
        <v>0.70000000000000007</v>
      </c>
    </row>
    <row r="36" spans="1:24" x14ac:dyDescent="0.25">
      <c r="A36" s="7">
        <v>2027</v>
      </c>
      <c r="B36" s="7" t="s">
        <v>22</v>
      </c>
      <c r="C36" s="7">
        <v>10168</v>
      </c>
      <c r="D36" s="7">
        <v>4271</v>
      </c>
      <c r="E36" s="10">
        <v>0.14000000000000001</v>
      </c>
      <c r="F36">
        <v>9898</v>
      </c>
      <c r="G36">
        <v>6565</v>
      </c>
      <c r="H36">
        <v>4848</v>
      </c>
      <c r="I36">
        <v>6868</v>
      </c>
      <c r="J36" s="7">
        <v>34335</v>
      </c>
      <c r="K36" s="7">
        <v>26546</v>
      </c>
      <c r="L36" s="7">
        <v>20258</v>
      </c>
      <c r="M36" s="7">
        <v>23826</v>
      </c>
      <c r="N36" s="7">
        <v>27356</v>
      </c>
      <c r="O36" s="7">
        <v>28507</v>
      </c>
      <c r="P36" s="7">
        <v>36877</v>
      </c>
      <c r="Q36" s="7">
        <v>32385</v>
      </c>
      <c r="R36" s="7">
        <v>24619</v>
      </c>
      <c r="S36" s="7">
        <v>21914</v>
      </c>
      <c r="T36" s="14">
        <v>0.82</v>
      </c>
      <c r="U36" s="14">
        <v>0.92</v>
      </c>
      <c r="V36" s="14">
        <v>0.61</v>
      </c>
      <c r="W36" s="10">
        <v>0.87</v>
      </c>
      <c r="X36" s="10">
        <v>0.82000000000000006</v>
      </c>
    </row>
    <row r="37" spans="1:24" x14ac:dyDescent="0.25">
      <c r="A37" s="7">
        <v>2027</v>
      </c>
      <c r="B37" s="7" t="s">
        <v>23</v>
      </c>
      <c r="C37" s="7">
        <v>9705</v>
      </c>
      <c r="D37" s="7">
        <v>5532</v>
      </c>
      <c r="E37" s="10">
        <v>0.15</v>
      </c>
      <c r="F37">
        <v>8282</v>
      </c>
      <c r="G37">
        <v>7070</v>
      </c>
      <c r="H37">
        <v>5353</v>
      </c>
      <c r="I37">
        <v>7272</v>
      </c>
      <c r="J37" s="7">
        <v>28633</v>
      </c>
      <c r="K37" s="7">
        <v>28992</v>
      </c>
      <c r="L37" s="7">
        <v>24071</v>
      </c>
      <c r="M37" s="7">
        <v>30913</v>
      </c>
      <c r="N37" s="7">
        <v>33269</v>
      </c>
      <c r="O37" s="7">
        <v>32778</v>
      </c>
      <c r="P37" s="7">
        <v>35477</v>
      </c>
      <c r="Q37" s="7">
        <v>26766</v>
      </c>
      <c r="R37" s="7">
        <v>21422</v>
      </c>
      <c r="S37" s="7">
        <v>22357</v>
      </c>
      <c r="T37" s="14">
        <v>0.85</v>
      </c>
      <c r="U37" s="14">
        <v>0.98</v>
      </c>
      <c r="V37" s="14">
        <v>0.92</v>
      </c>
      <c r="W37" s="10">
        <v>0.92999999999999994</v>
      </c>
      <c r="X37" s="10">
        <v>0.88</v>
      </c>
    </row>
    <row r="38" spans="1:24" x14ac:dyDescent="0.25">
      <c r="A38" s="7">
        <v>2027</v>
      </c>
      <c r="B38" s="7" t="s">
        <v>24</v>
      </c>
      <c r="C38" s="7">
        <v>8666</v>
      </c>
      <c r="D38" s="7">
        <v>4853</v>
      </c>
      <c r="E38" s="10">
        <v>0.13</v>
      </c>
      <c r="F38">
        <v>6767</v>
      </c>
      <c r="G38">
        <v>8181</v>
      </c>
      <c r="H38">
        <v>5050</v>
      </c>
      <c r="I38">
        <v>8080</v>
      </c>
      <c r="J38" s="7">
        <v>23527</v>
      </c>
      <c r="K38" s="7">
        <v>31398</v>
      </c>
      <c r="L38" s="7">
        <v>29650</v>
      </c>
      <c r="M38" s="7">
        <v>37298</v>
      </c>
      <c r="N38" s="7">
        <v>35896</v>
      </c>
      <c r="O38" s="7">
        <v>35415</v>
      </c>
      <c r="P38" s="7">
        <v>29680</v>
      </c>
      <c r="Q38" s="7">
        <v>22190</v>
      </c>
      <c r="R38" s="7">
        <v>22100</v>
      </c>
      <c r="S38" s="7">
        <v>26385</v>
      </c>
      <c r="T38" s="14">
        <v>0.92</v>
      </c>
      <c r="U38" s="14">
        <v>1</v>
      </c>
      <c r="V38" s="14">
        <v>0.96</v>
      </c>
      <c r="W38" s="10">
        <v>0.95</v>
      </c>
      <c r="X38" s="10">
        <v>0.9</v>
      </c>
    </row>
    <row r="39" spans="1:24" x14ac:dyDescent="0.25">
      <c r="A39" s="7">
        <v>2028</v>
      </c>
      <c r="B39" s="7" t="s">
        <v>13</v>
      </c>
      <c r="C39" s="7">
        <v>7800</v>
      </c>
      <c r="D39" s="7">
        <v>3900</v>
      </c>
      <c r="E39" s="10">
        <v>0.15</v>
      </c>
      <c r="F39">
        <v>5504.5</v>
      </c>
      <c r="G39">
        <v>8888</v>
      </c>
      <c r="H39">
        <v>5353</v>
      </c>
      <c r="I39">
        <v>7777</v>
      </c>
      <c r="J39" s="7">
        <v>21331</v>
      </c>
      <c r="K39" s="7">
        <v>32190</v>
      </c>
      <c r="L39" s="7">
        <v>34484</v>
      </c>
      <c r="M39" s="7">
        <v>39213</v>
      </c>
      <c r="N39" s="7">
        <v>34138</v>
      </c>
      <c r="O39" s="7">
        <v>33169</v>
      </c>
      <c r="P39" s="7">
        <v>23348</v>
      </c>
      <c r="Q39" s="7">
        <v>24244</v>
      </c>
      <c r="R39" s="7">
        <v>26367</v>
      </c>
      <c r="S39" s="7">
        <v>30946</v>
      </c>
      <c r="T39" s="14">
        <v>0.13</v>
      </c>
      <c r="U39" s="14">
        <v>0.09</v>
      </c>
      <c r="V39" s="14">
        <v>0.09</v>
      </c>
      <c r="W39" s="10">
        <v>3.9999999999999994E-2</v>
      </c>
      <c r="X39" s="10">
        <v>0.01</v>
      </c>
    </row>
    <row r="40" spans="1:24" x14ac:dyDescent="0.25">
      <c r="A40" s="7">
        <v>2028</v>
      </c>
      <c r="B40" s="7" t="s">
        <v>14</v>
      </c>
      <c r="C40" s="7">
        <v>10014</v>
      </c>
      <c r="D40" s="7">
        <v>5408</v>
      </c>
      <c r="E40" s="10">
        <v>0.12</v>
      </c>
      <c r="F40">
        <v>5252</v>
      </c>
      <c r="G40">
        <v>8484</v>
      </c>
      <c r="H40">
        <v>5454</v>
      </c>
      <c r="I40">
        <v>7979</v>
      </c>
      <c r="J40" s="7">
        <v>23085</v>
      </c>
      <c r="K40" s="7">
        <v>31289</v>
      </c>
      <c r="L40" s="7">
        <v>36333</v>
      </c>
      <c r="M40" s="7">
        <v>36100</v>
      </c>
      <c r="N40" s="7">
        <v>30058</v>
      </c>
      <c r="O40" s="7">
        <v>27990</v>
      </c>
      <c r="P40" s="7">
        <v>21398</v>
      </c>
      <c r="Q40" s="7">
        <v>28661</v>
      </c>
      <c r="R40" s="7">
        <v>31747</v>
      </c>
      <c r="S40" s="7">
        <v>32722</v>
      </c>
      <c r="T40" s="14">
        <v>0.15</v>
      </c>
      <c r="U40" s="14">
        <v>0.28999999999999998</v>
      </c>
      <c r="V40" s="14">
        <v>0.21</v>
      </c>
      <c r="W40" s="10">
        <v>0.24</v>
      </c>
      <c r="X40" s="10">
        <v>0.18999999999999997</v>
      </c>
    </row>
    <row r="41" spans="1:24" x14ac:dyDescent="0.25">
      <c r="A41" s="7">
        <v>2028</v>
      </c>
      <c r="B41" s="7" t="s">
        <v>15</v>
      </c>
      <c r="C41" s="7">
        <v>10696</v>
      </c>
      <c r="D41" s="7">
        <v>4278</v>
      </c>
      <c r="E41" s="10">
        <v>0.11</v>
      </c>
      <c r="F41">
        <v>5757</v>
      </c>
      <c r="G41">
        <v>6615.5</v>
      </c>
      <c r="H41">
        <v>4242</v>
      </c>
      <c r="I41">
        <v>7019.5</v>
      </c>
      <c r="J41" s="7">
        <v>26987</v>
      </c>
      <c r="K41" s="7">
        <v>30582</v>
      </c>
      <c r="L41" s="7">
        <v>34864</v>
      </c>
      <c r="M41" s="7">
        <v>30278</v>
      </c>
      <c r="N41" s="7">
        <v>25736</v>
      </c>
      <c r="O41" s="7">
        <v>23489</v>
      </c>
      <c r="P41" s="7">
        <v>24373</v>
      </c>
      <c r="Q41" s="7">
        <v>33111</v>
      </c>
      <c r="R41" s="7">
        <v>35304</v>
      </c>
      <c r="S41" s="7">
        <v>30719</v>
      </c>
      <c r="T41" s="14">
        <v>0.27</v>
      </c>
      <c r="U41" s="14">
        <v>0.31</v>
      </c>
      <c r="V41" s="14">
        <v>0.25</v>
      </c>
      <c r="W41" s="10">
        <v>0.26</v>
      </c>
      <c r="X41" s="10">
        <v>0.21</v>
      </c>
    </row>
    <row r="42" spans="1:24" x14ac:dyDescent="0.25">
      <c r="A42" s="7">
        <v>2028</v>
      </c>
      <c r="B42" s="7" t="s">
        <v>16</v>
      </c>
      <c r="C42" s="7">
        <v>9380</v>
      </c>
      <c r="D42" s="7">
        <v>4784</v>
      </c>
      <c r="E42" s="10">
        <v>0.12</v>
      </c>
      <c r="F42">
        <v>7272</v>
      </c>
      <c r="G42">
        <v>5908.5</v>
      </c>
      <c r="H42">
        <v>4545</v>
      </c>
      <c r="I42">
        <v>6211.5</v>
      </c>
      <c r="J42" s="7">
        <v>30892</v>
      </c>
      <c r="K42" s="7">
        <v>31222</v>
      </c>
      <c r="L42" s="7">
        <v>30599</v>
      </c>
      <c r="M42" s="7">
        <v>24194</v>
      </c>
      <c r="N42" s="7">
        <v>22820</v>
      </c>
      <c r="O42" s="7">
        <v>22158</v>
      </c>
      <c r="P42" s="7">
        <v>28834</v>
      </c>
      <c r="Q42" s="7">
        <v>35699</v>
      </c>
      <c r="R42" s="7">
        <v>33533</v>
      </c>
      <c r="S42" s="7">
        <v>26324</v>
      </c>
      <c r="T42" s="14">
        <v>0.28999999999999998</v>
      </c>
      <c r="U42" s="14">
        <v>0.43</v>
      </c>
      <c r="V42" s="14">
        <v>0.28999999999999998</v>
      </c>
      <c r="W42" s="10">
        <v>0.38</v>
      </c>
      <c r="X42" s="10">
        <v>0.32999999999999996</v>
      </c>
    </row>
    <row r="43" spans="1:24" x14ac:dyDescent="0.25">
      <c r="A43" s="7">
        <v>2028</v>
      </c>
      <c r="B43" s="7" t="s">
        <v>17</v>
      </c>
      <c r="C43" s="7">
        <v>6972</v>
      </c>
      <c r="D43" s="7">
        <v>4183</v>
      </c>
      <c r="E43" s="10">
        <v>0.15</v>
      </c>
      <c r="F43">
        <v>8888</v>
      </c>
      <c r="G43">
        <v>6009.5</v>
      </c>
      <c r="H43">
        <v>5100.5</v>
      </c>
      <c r="I43">
        <v>6413.5</v>
      </c>
      <c r="J43" s="7">
        <v>32641</v>
      </c>
      <c r="K43" s="7">
        <v>32699</v>
      </c>
      <c r="L43" s="7">
        <v>25306</v>
      </c>
      <c r="M43" s="7">
        <v>19980</v>
      </c>
      <c r="N43" s="7">
        <v>22836</v>
      </c>
      <c r="O43" s="7">
        <v>23974</v>
      </c>
      <c r="P43" s="7">
        <v>32344</v>
      </c>
      <c r="Q43" s="7">
        <v>34488</v>
      </c>
      <c r="R43" s="7">
        <v>28896</v>
      </c>
      <c r="S43" s="7">
        <v>22815</v>
      </c>
      <c r="T43" s="14">
        <v>0.31</v>
      </c>
      <c r="U43" s="14">
        <v>0.45</v>
      </c>
      <c r="V43" s="14">
        <v>0.45</v>
      </c>
      <c r="W43" s="10">
        <v>0.4</v>
      </c>
      <c r="X43" s="10">
        <v>0.35</v>
      </c>
    </row>
    <row r="44" spans="1:24" x14ac:dyDescent="0.25">
      <c r="A44" s="7">
        <v>2028</v>
      </c>
      <c r="B44" s="7" t="s">
        <v>18</v>
      </c>
      <c r="C44" s="7">
        <v>5138</v>
      </c>
      <c r="D44" s="7">
        <v>2826</v>
      </c>
      <c r="E44" s="10">
        <v>0.12</v>
      </c>
      <c r="F44">
        <v>10403</v>
      </c>
      <c r="G44">
        <v>7322.5</v>
      </c>
      <c r="H44">
        <v>5555</v>
      </c>
      <c r="I44">
        <v>7221.5</v>
      </c>
      <c r="J44" s="7">
        <v>30850</v>
      </c>
      <c r="K44" s="7">
        <v>32767</v>
      </c>
      <c r="L44" s="7">
        <v>20885</v>
      </c>
      <c r="M44" s="7">
        <v>19263</v>
      </c>
      <c r="N44" s="7">
        <v>26095</v>
      </c>
      <c r="O44" s="7">
        <v>27543</v>
      </c>
      <c r="P44" s="7">
        <v>34696</v>
      </c>
      <c r="Q44" s="7">
        <v>30657</v>
      </c>
      <c r="R44" s="7">
        <v>24100</v>
      </c>
      <c r="S44" s="7">
        <v>21362</v>
      </c>
      <c r="T44" s="14">
        <v>0.33</v>
      </c>
      <c r="U44" s="14">
        <v>0.47</v>
      </c>
      <c r="V44" s="14">
        <v>0.47</v>
      </c>
      <c r="W44" s="10">
        <v>0.42</v>
      </c>
      <c r="X44" s="10">
        <v>0.37</v>
      </c>
    </row>
    <row r="45" spans="1:24" x14ac:dyDescent="0.25">
      <c r="A45" s="7">
        <v>2028</v>
      </c>
      <c r="B45" s="7" t="s">
        <v>19</v>
      </c>
      <c r="C45" s="7">
        <v>5138</v>
      </c>
      <c r="D45" s="7">
        <v>2723</v>
      </c>
      <c r="E45" s="10">
        <v>0.09</v>
      </c>
      <c r="F45">
        <v>11110</v>
      </c>
      <c r="G45">
        <v>7827.5</v>
      </c>
      <c r="H45">
        <v>5201.5</v>
      </c>
      <c r="I45">
        <v>7726.5</v>
      </c>
      <c r="J45" s="7">
        <v>25985</v>
      </c>
      <c r="K45" s="7">
        <v>29990</v>
      </c>
      <c r="L45" s="7">
        <v>19099</v>
      </c>
      <c r="M45" s="7">
        <v>22490</v>
      </c>
      <c r="N45" s="7">
        <v>31506</v>
      </c>
      <c r="O45" s="7">
        <v>31457</v>
      </c>
      <c r="P45" s="7">
        <v>33218</v>
      </c>
      <c r="Q45" s="7">
        <v>25576</v>
      </c>
      <c r="R45" s="7">
        <v>21308</v>
      </c>
      <c r="S45" s="7">
        <v>22980</v>
      </c>
      <c r="T45" s="14">
        <v>0.64</v>
      </c>
      <c r="U45" s="14">
        <v>0.49</v>
      </c>
      <c r="V45" s="14">
        <v>0.59</v>
      </c>
      <c r="W45" s="10">
        <v>0.44</v>
      </c>
      <c r="X45" s="10">
        <v>0.39</v>
      </c>
    </row>
    <row r="46" spans="1:24" x14ac:dyDescent="0.25">
      <c r="A46" s="7">
        <v>2028</v>
      </c>
      <c r="B46" s="7" t="s">
        <v>20</v>
      </c>
      <c r="C46" s="7">
        <v>6972</v>
      </c>
      <c r="D46" s="7">
        <v>2859</v>
      </c>
      <c r="E46" s="10">
        <v>0.13</v>
      </c>
      <c r="F46">
        <v>10807</v>
      </c>
      <c r="G46">
        <v>6969</v>
      </c>
      <c r="H46">
        <v>5656</v>
      </c>
      <c r="I46">
        <v>7322.5</v>
      </c>
      <c r="J46" s="7">
        <v>20453</v>
      </c>
      <c r="K46" s="7">
        <v>24891</v>
      </c>
      <c r="L46" s="7">
        <v>21521</v>
      </c>
      <c r="M46" s="7">
        <v>28787</v>
      </c>
      <c r="N46" s="7">
        <v>36695</v>
      </c>
      <c r="O46" s="7">
        <v>33817</v>
      </c>
      <c r="P46" s="7">
        <v>28466</v>
      </c>
      <c r="Q46" s="7">
        <v>22201</v>
      </c>
      <c r="R46" s="7">
        <v>23555</v>
      </c>
      <c r="S46" s="7">
        <v>27290</v>
      </c>
      <c r="T46" s="14">
        <v>0.68</v>
      </c>
      <c r="U46" s="14">
        <v>0.8</v>
      </c>
      <c r="V46" s="14">
        <v>0.61</v>
      </c>
      <c r="W46" s="10">
        <v>0.75</v>
      </c>
      <c r="X46" s="10">
        <v>0.70000000000000007</v>
      </c>
    </row>
    <row r="47" spans="1:24" x14ac:dyDescent="0.25">
      <c r="A47" s="7">
        <v>2028</v>
      </c>
      <c r="B47" s="7" t="s">
        <v>21</v>
      </c>
      <c r="C47" s="7">
        <v>9380</v>
      </c>
      <c r="D47" s="7">
        <v>3940</v>
      </c>
      <c r="E47" s="10">
        <v>0.1</v>
      </c>
      <c r="F47">
        <v>9696</v>
      </c>
      <c r="G47">
        <v>6363</v>
      </c>
      <c r="H47">
        <v>4646</v>
      </c>
      <c r="I47">
        <v>6716.5</v>
      </c>
      <c r="J47" s="7">
        <v>17731</v>
      </c>
      <c r="K47" s="7">
        <v>20065</v>
      </c>
      <c r="L47" s="7">
        <v>27043</v>
      </c>
      <c r="M47" s="7">
        <v>35420</v>
      </c>
      <c r="N47" s="7">
        <v>39067</v>
      </c>
      <c r="O47" s="7">
        <v>32712</v>
      </c>
      <c r="P47" s="7">
        <v>24409</v>
      </c>
      <c r="Q47" s="7">
        <v>22638</v>
      </c>
      <c r="R47" s="7">
        <v>28589</v>
      </c>
      <c r="S47" s="7">
        <v>30948</v>
      </c>
      <c r="T47" s="14">
        <v>0.8</v>
      </c>
      <c r="U47" s="14">
        <v>0.84</v>
      </c>
      <c r="V47" s="14">
        <v>0.63</v>
      </c>
      <c r="W47" s="10">
        <v>0.78999999999999992</v>
      </c>
      <c r="X47" s="10">
        <v>0.74</v>
      </c>
    </row>
    <row r="48" spans="1:24" x14ac:dyDescent="0.25">
      <c r="A48" s="7">
        <v>2028</v>
      </c>
      <c r="B48" s="7" t="s">
        <v>22</v>
      </c>
      <c r="C48" s="7">
        <v>10696</v>
      </c>
      <c r="D48" s="7">
        <v>4278</v>
      </c>
      <c r="E48" s="10">
        <v>0.15</v>
      </c>
      <c r="F48">
        <v>8029.5</v>
      </c>
      <c r="G48">
        <v>6817.5</v>
      </c>
      <c r="H48">
        <v>5050</v>
      </c>
      <c r="I48">
        <v>7019.5</v>
      </c>
      <c r="J48" s="7">
        <v>19530</v>
      </c>
      <c r="K48" s="7">
        <v>18358</v>
      </c>
      <c r="L48" s="7">
        <v>31959</v>
      </c>
      <c r="M48" s="7">
        <v>38447</v>
      </c>
      <c r="N48" s="7">
        <v>36932</v>
      </c>
      <c r="O48" s="7">
        <v>29042</v>
      </c>
      <c r="P48" s="7">
        <v>22690</v>
      </c>
      <c r="Q48" s="7">
        <v>26811</v>
      </c>
      <c r="R48" s="7">
        <v>33279</v>
      </c>
      <c r="S48" s="7">
        <v>31363</v>
      </c>
      <c r="T48" s="14">
        <v>0.86</v>
      </c>
      <c r="U48" s="14">
        <v>0.96</v>
      </c>
      <c r="V48" s="14">
        <v>0.65</v>
      </c>
      <c r="W48" s="10">
        <v>0.90999999999999992</v>
      </c>
      <c r="X48" s="10">
        <v>0.86</v>
      </c>
    </row>
    <row r="49" spans="1:24" x14ac:dyDescent="0.25">
      <c r="A49" s="7">
        <v>2028</v>
      </c>
      <c r="B49" s="7" t="s">
        <v>23</v>
      </c>
      <c r="C49" s="7">
        <v>10014</v>
      </c>
      <c r="D49" s="7">
        <v>5007</v>
      </c>
      <c r="E49" s="10">
        <v>0.08</v>
      </c>
      <c r="F49">
        <v>6363</v>
      </c>
      <c r="G49">
        <v>8332.5</v>
      </c>
      <c r="H49">
        <v>5302.5</v>
      </c>
      <c r="I49">
        <v>8181</v>
      </c>
      <c r="J49" s="7">
        <v>24764</v>
      </c>
      <c r="K49" s="7">
        <v>20794</v>
      </c>
      <c r="L49" s="7">
        <v>33934</v>
      </c>
      <c r="M49" s="7">
        <v>37040</v>
      </c>
      <c r="N49" s="7">
        <v>31723</v>
      </c>
      <c r="O49" s="7">
        <v>25116</v>
      </c>
      <c r="P49" s="7">
        <v>24833</v>
      </c>
      <c r="Q49" s="7">
        <v>31993</v>
      </c>
      <c r="R49" s="7">
        <v>35147</v>
      </c>
      <c r="S49" s="7">
        <v>28493</v>
      </c>
      <c r="T49" s="14">
        <v>0.89</v>
      </c>
      <c r="U49" s="14">
        <v>0.98</v>
      </c>
      <c r="V49" s="14">
        <v>0.96</v>
      </c>
      <c r="W49" s="10">
        <v>0.92999999999999994</v>
      </c>
      <c r="X49" s="10">
        <v>0.88</v>
      </c>
    </row>
    <row r="50" spans="1:24" x14ac:dyDescent="0.25">
      <c r="A50" s="7">
        <v>2028</v>
      </c>
      <c r="B50" s="7" t="s">
        <v>24</v>
      </c>
      <c r="C50" s="7">
        <v>7800</v>
      </c>
      <c r="D50" s="7">
        <v>3432</v>
      </c>
      <c r="E50" s="10">
        <v>0.14000000000000001</v>
      </c>
      <c r="F50">
        <v>5151</v>
      </c>
      <c r="G50">
        <v>8938.5</v>
      </c>
      <c r="H50">
        <v>5403.5</v>
      </c>
      <c r="I50">
        <v>7423.5</v>
      </c>
      <c r="J50" s="7">
        <v>30878</v>
      </c>
      <c r="K50" s="7">
        <v>26284</v>
      </c>
      <c r="L50" s="7">
        <v>31862</v>
      </c>
      <c r="M50" s="7">
        <v>31846</v>
      </c>
      <c r="N50" s="7">
        <v>26150</v>
      </c>
      <c r="O50" s="7">
        <v>23325</v>
      </c>
      <c r="P50" s="7">
        <v>29676</v>
      </c>
      <c r="Q50" s="7">
        <v>35309</v>
      </c>
      <c r="R50" s="7">
        <v>33641</v>
      </c>
      <c r="S50" s="7">
        <v>24033</v>
      </c>
      <c r="T50" s="14">
        <v>0.96</v>
      </c>
      <c r="U50" s="14">
        <v>1</v>
      </c>
      <c r="V50" s="14">
        <v>1</v>
      </c>
      <c r="W50" s="10">
        <v>0.95</v>
      </c>
      <c r="X50" s="10">
        <v>0.9</v>
      </c>
    </row>
  </sheetData>
  <mergeCells count="5">
    <mergeCell ref="J1:N1"/>
    <mergeCell ref="O1:S1"/>
    <mergeCell ref="C1:D1"/>
    <mergeCell ref="F1:I1"/>
    <mergeCell ref="T1:X1"/>
  </mergeCells>
  <phoneticPr fontId="2"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4C481-C9E3-4DA1-AC86-0943FE4D8B46}">
  <dimension ref="A1:E29"/>
  <sheetViews>
    <sheetView workbookViewId="0"/>
  </sheetViews>
  <sheetFormatPr defaultRowHeight="15" x14ac:dyDescent="0.25"/>
  <sheetData>
    <row r="1" spans="1:5" ht="15" customHeight="1" x14ac:dyDescent="0.25">
      <c r="B1" s="15" t="s">
        <v>72</v>
      </c>
      <c r="E1" t="s">
        <v>70</v>
      </c>
    </row>
    <row r="2" spans="1:5" ht="15" customHeight="1" x14ac:dyDescent="0.25">
      <c r="B2" s="16">
        <v>249987</v>
      </c>
    </row>
    <row r="3" spans="1:5" x14ac:dyDescent="0.25">
      <c r="B3" s="17" t="s">
        <v>73</v>
      </c>
    </row>
    <row r="4" spans="1:5" x14ac:dyDescent="0.25">
      <c r="B4" s="18" t="s">
        <v>74</v>
      </c>
    </row>
    <row r="6" spans="1:5" x14ac:dyDescent="0.25">
      <c r="A6" t="s">
        <v>75</v>
      </c>
      <c r="B6" s="19" t="s">
        <v>77</v>
      </c>
    </row>
    <row r="8" spans="1:5" x14ac:dyDescent="0.25">
      <c r="B8" s="1" t="s">
        <v>76</v>
      </c>
    </row>
    <row r="9" spans="1:5" x14ac:dyDescent="0.25">
      <c r="B9" s="20">
        <v>6966</v>
      </c>
    </row>
    <row r="11" spans="1:5" x14ac:dyDescent="0.25">
      <c r="A11" t="s">
        <v>75</v>
      </c>
      <c r="B11" s="21" t="s">
        <v>78</v>
      </c>
      <c r="C11" s="3">
        <v>0.54</v>
      </c>
    </row>
    <row r="13" spans="1:5" x14ac:dyDescent="0.25">
      <c r="B13" s="22" t="s">
        <v>79</v>
      </c>
    </row>
    <row r="14" spans="1:5" x14ac:dyDescent="0.25">
      <c r="B14" s="23" t="s">
        <v>80</v>
      </c>
    </row>
    <row r="15" spans="1:5" x14ac:dyDescent="0.25">
      <c r="B15" s="24" t="s">
        <v>81</v>
      </c>
    </row>
    <row r="16" spans="1:5" x14ac:dyDescent="0.25">
      <c r="B16" s="35" t="s">
        <v>90</v>
      </c>
    </row>
    <row r="18" spans="1:2" x14ac:dyDescent="0.25">
      <c r="B18" s="25" t="s">
        <v>82</v>
      </c>
    </row>
    <row r="19" spans="1:2" x14ac:dyDescent="0.25">
      <c r="B19" s="26" t="s">
        <v>83</v>
      </c>
    </row>
    <row r="21" spans="1:2" x14ac:dyDescent="0.25">
      <c r="B21" s="27" t="s">
        <v>84</v>
      </c>
    </row>
    <row r="22" spans="1:2" x14ac:dyDescent="0.25">
      <c r="B22" s="28">
        <v>8377</v>
      </c>
    </row>
    <row r="23" spans="1:2" x14ac:dyDescent="0.25">
      <c r="B23" s="29" t="s">
        <v>85</v>
      </c>
    </row>
    <row r="24" spans="1:2" x14ac:dyDescent="0.25">
      <c r="B24" s="30" t="s">
        <v>86</v>
      </c>
    </row>
    <row r="25" spans="1:2" x14ac:dyDescent="0.25">
      <c r="B25" s="31">
        <v>99699</v>
      </c>
    </row>
    <row r="27" spans="1:2" x14ac:dyDescent="0.25">
      <c r="A27" t="s">
        <v>75</v>
      </c>
      <c r="B27" s="32" t="s">
        <v>87</v>
      </c>
    </row>
    <row r="28" spans="1:2" x14ac:dyDescent="0.25">
      <c r="B28" s="33" t="s">
        <v>88</v>
      </c>
    </row>
    <row r="29" spans="1:2" x14ac:dyDescent="0.25">
      <c r="A29" t="s">
        <v>75</v>
      </c>
      <c r="B29" s="34" t="s">
        <v>89</v>
      </c>
    </row>
  </sheetData>
  <sortState xmlns:xlrd2="http://schemas.microsoft.com/office/spreadsheetml/2017/richdata2" ref="A1:C12">
    <sortCondition descending="1" ref="A1:A12"/>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Visitors &amp; Buyers</vt:lpstr>
      <vt:lpstr>Conversion</vt:lpstr>
      <vt:lpstr>Profit</vt:lpstr>
      <vt:lpstr>Tasks</vt:lpstr>
      <vt:lpstr>Processing</vt:lpstr>
      <vt:lpstr>Control</vt:lpstr>
      <vt:lpstr>Data</vt:lpstr>
      <vt:lpstr>Resource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Presentation</dc:creator>
  <cp:lastModifiedBy>User</cp:lastModifiedBy>
  <dcterms:created xsi:type="dcterms:W3CDTF">2025-05-20T10:38:41Z</dcterms:created>
  <dcterms:modified xsi:type="dcterms:W3CDTF">2026-09-18T10:48:49Z</dcterms:modified>
</cp:coreProperties>
</file>